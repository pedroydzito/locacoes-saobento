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Filipe " sheetId="2" r:id="rId5"/>
    <sheet state="visible" name="Terra Verde " sheetId="3" r:id="rId6"/>
    <sheet state="visible" name="Gabriel- Bielzinho " sheetId="4" r:id="rId7"/>
    <sheet state="visible" name="Bonella" sheetId="5" r:id="rId8"/>
    <sheet state="visible" name="Marçal" sheetId="6" r:id="rId9"/>
    <sheet state="visible" name="Demarch" sheetId="7" r:id="rId10"/>
    <sheet state="visible" name="Geovani Reis " sheetId="8" r:id="rId11"/>
    <sheet state="visible" name="Antenor" sheetId="9" r:id="rId12"/>
    <sheet state="visible" name="Claré" sheetId="10" r:id="rId13"/>
    <sheet state="visible" name="Leandro Reis" sheetId="11" r:id="rId14"/>
    <sheet state="visible" name="Deivid" sheetId="12" r:id="rId15"/>
    <sheet state="visible" name="Compestre" sheetId="13" r:id="rId16"/>
    <sheet state="visible" name="Josual" sheetId="14" r:id="rId17"/>
    <sheet state="visible" name="Valdeci " sheetId="15" r:id="rId18"/>
    <sheet state="visible" name="Frete " sheetId="16" r:id="rId19"/>
  </sheets>
  <definedNames/>
  <calcPr/>
  <extLst>
    <ext uri="GoogleSheetsCustomDataVersion2">
      <go:sheetsCustomData xmlns:go="http://customooxmlschemas.google.com/" r:id="rId20" roundtripDataChecksum="hn0XZ5CEog3gbws5NYw7dfn6NvKWC6H/WhdvLejKD3I="/>
    </ext>
  </extLst>
</workbook>
</file>

<file path=xl/sharedStrings.xml><?xml version="1.0" encoding="utf-8"?>
<sst xmlns="http://schemas.openxmlformats.org/spreadsheetml/2006/main" count="630" uniqueCount="125">
  <si>
    <t>Data inicio</t>
  </si>
  <si>
    <t>Data final</t>
  </si>
  <si>
    <t xml:space="preserve">Cliente e serviço </t>
  </si>
  <si>
    <t>Hora inicial</t>
  </si>
  <si>
    <t>Hora final</t>
  </si>
  <si>
    <t>Total horas</t>
  </si>
  <si>
    <t>Diesel</t>
  </si>
  <si>
    <t>Valor do Diesel</t>
  </si>
  <si>
    <t>$ Diesel</t>
  </si>
  <si>
    <t xml:space="preserve">Tião - Arrumar terreno plantio de café </t>
  </si>
  <si>
    <t xml:space="preserve">220 Silvinho </t>
  </si>
  <si>
    <t>Total</t>
  </si>
  <si>
    <t>Sicoob Credivar - Pix : 44.459.342/0001-40</t>
  </si>
  <si>
    <t xml:space="preserve">Conferir foto </t>
  </si>
  <si>
    <t xml:space="preserve">Litros </t>
  </si>
  <si>
    <t>Diesel $</t>
  </si>
  <si>
    <t>Valor $</t>
  </si>
  <si>
    <t xml:space="preserve">Sitio Varginha - 220 Silvinho </t>
  </si>
  <si>
    <t xml:space="preserve">Valor Final a Pagar </t>
  </si>
  <si>
    <t xml:space="preserve">Tair - 220 Silvinho </t>
  </si>
  <si>
    <t xml:space="preserve">João Enersto - 220 Silvinho </t>
  </si>
  <si>
    <t xml:space="preserve">Estevam Mario - 220 Silvinho </t>
  </si>
  <si>
    <t>Adiantamento de serviço</t>
  </si>
  <si>
    <t>João Ernesto -Sitio Varginha ( São Thomé )</t>
  </si>
  <si>
    <t xml:space="preserve">220 A - Anderson </t>
  </si>
  <si>
    <t xml:space="preserve">Lucas - Leandro Reis </t>
  </si>
  <si>
    <t xml:space="preserve">700J A- Wendel </t>
  </si>
  <si>
    <t xml:space="preserve"> </t>
  </si>
  <si>
    <t xml:space="preserve">Fazenda Monjolo - Pedrinho </t>
  </si>
  <si>
    <t xml:space="preserve">Juninho - Faz Laginha </t>
  </si>
  <si>
    <t xml:space="preserve">220 A- Anderson </t>
  </si>
  <si>
    <t xml:space="preserve">Denis </t>
  </si>
  <si>
    <t xml:space="preserve">Adiantamento de serviço </t>
  </si>
  <si>
    <t xml:space="preserve">700J Marcelo - Campanha </t>
  </si>
  <si>
    <t xml:space="preserve">Reforma de serviço </t>
  </si>
  <si>
    <t xml:space="preserve">Frete 2544 </t>
  </si>
  <si>
    <t xml:space="preserve">Amilton Restaurante Bela Vista - Lavras </t>
  </si>
  <si>
    <t xml:space="preserve">Jardim </t>
  </si>
  <si>
    <t xml:space="preserve">215 Sany - Marco </t>
  </si>
  <si>
    <t>Samuel - Filipe</t>
  </si>
  <si>
    <t xml:space="preserve">Escavadeira Sany </t>
  </si>
  <si>
    <t xml:space="preserve">700J Marcelo - Tira Barba </t>
  </si>
  <si>
    <t xml:space="preserve">Sany Marcos - Tira Barba </t>
  </si>
  <si>
    <t xml:space="preserve">Cliente </t>
  </si>
  <si>
    <t xml:space="preserve">Fazenda Faria - Terra Verde </t>
  </si>
  <si>
    <t xml:space="preserve">220 - Silvinho </t>
  </si>
  <si>
    <t xml:space="preserve">Terra Verde </t>
  </si>
  <si>
    <t xml:space="preserve">Lavras - 700J A Wendel </t>
  </si>
  <si>
    <t xml:space="preserve">Sany - Marcos e Serginho </t>
  </si>
  <si>
    <t>Lavras - 700J Wendel</t>
  </si>
  <si>
    <t xml:space="preserve">Lavras - Sany Marcos/ Serginho </t>
  </si>
  <si>
    <t xml:space="preserve"> Diesel $</t>
  </si>
  <si>
    <t xml:space="preserve">Terra Verde - Lavras </t>
  </si>
  <si>
    <t xml:space="preserve">700J A - Wendel </t>
  </si>
  <si>
    <t xml:space="preserve">Terra Verde - Faz Faria </t>
  </si>
  <si>
    <t xml:space="preserve">Não contabilizar para recebimento, apenas demonstrativo.       Junior </t>
  </si>
  <si>
    <t xml:space="preserve">700J A Wendel </t>
  </si>
  <si>
    <t>700J Wendel</t>
  </si>
  <si>
    <t xml:space="preserve"> Sany  - Marcos e Serginho </t>
  </si>
  <si>
    <t xml:space="preserve">700J Wendel </t>
  </si>
  <si>
    <t xml:space="preserve">Recebimento Terra Verde </t>
  </si>
  <si>
    <t>R$ 46.820,50</t>
  </si>
  <si>
    <t xml:space="preserve">Bonela </t>
  </si>
  <si>
    <t xml:space="preserve">700J Marcelo - Faz mimosa </t>
  </si>
  <si>
    <t>Destoca de acabate - solicitado pelo Rafael</t>
  </si>
  <si>
    <t xml:space="preserve">Bonella </t>
  </si>
  <si>
    <t xml:space="preserve">Faz Mimosa - 700J N Sr Marcelo </t>
  </si>
  <si>
    <t>Caminhão 1513</t>
  </si>
  <si>
    <t xml:space="preserve">Fazenda Divisa - D51 Caio </t>
  </si>
  <si>
    <t xml:space="preserve">Bonela - passar subsolador </t>
  </si>
  <si>
    <t xml:space="preserve">Puma - Guilherme </t>
  </si>
  <si>
    <t xml:space="preserve">52 hactares total </t>
  </si>
  <si>
    <t xml:space="preserve">Bonella Divisa - Destoca - D51 Caio </t>
  </si>
  <si>
    <t xml:space="preserve">Bonella Mimoso - Destoca -  D51 Caio </t>
  </si>
  <si>
    <t xml:space="preserve">700J Marcelo - Faz Mimoso </t>
  </si>
  <si>
    <t xml:space="preserve">700J A  Wendel - Marçal </t>
  </si>
  <si>
    <t xml:space="preserve">Giovani Reis </t>
  </si>
  <si>
    <t xml:space="preserve">Giovane Reis - Fazenda  Bananal </t>
  </si>
  <si>
    <t xml:space="preserve">Giovane Reis - Faz Jaguarão </t>
  </si>
  <si>
    <t xml:space="preserve">Atenor Rabelo - São Francisco </t>
  </si>
  <si>
    <t>Banco do Brasil - Pix : +55 35 99803 3426</t>
  </si>
  <si>
    <t xml:space="preserve">Antenor - Pasto do pivo </t>
  </si>
  <si>
    <t xml:space="preserve">Escavadeira 220 A- Anderson </t>
  </si>
  <si>
    <t xml:space="preserve">Outubro </t>
  </si>
  <si>
    <t xml:space="preserve">Leandro Reis - Maria Vitoria </t>
  </si>
  <si>
    <t xml:space="preserve">Leandro Reis </t>
  </si>
  <si>
    <t>$</t>
  </si>
  <si>
    <t xml:space="preserve">700J A -Osmar / Maria Vitoria </t>
  </si>
  <si>
    <t xml:space="preserve">700J A- Wendel / Maria Vitoria </t>
  </si>
  <si>
    <t xml:space="preserve">700J A - Wendel / Maria Vitoria </t>
  </si>
  <si>
    <t xml:space="preserve">Adiantamento </t>
  </si>
  <si>
    <t>Sergio e Fernando Campestre -  220 Anderson - mercearia</t>
  </si>
  <si>
    <t xml:space="preserve">220A - Anderson -Lucas Campestre </t>
  </si>
  <si>
    <t xml:space="preserve">700J N - Marcelo - Lucas Campestre </t>
  </si>
  <si>
    <t>Sany Marcos - Lucas Campestre</t>
  </si>
  <si>
    <t>700J N- Marcelo - Lucas Campestre</t>
  </si>
  <si>
    <t>Caminhão caçamba 1513 - Lucas Campestre</t>
  </si>
  <si>
    <t xml:space="preserve">Desconto da moto </t>
  </si>
  <si>
    <t xml:space="preserve">700J N - Marcelo -Faz Campestre Lucas </t>
  </si>
  <si>
    <t xml:space="preserve">Sany - Marcos - Faz Campestre Lucas </t>
  </si>
  <si>
    <t xml:space="preserve">700J N - Marcelo - Faz Campestre Lucas </t>
  </si>
  <si>
    <t>Receitas</t>
  </si>
  <si>
    <t>Pix</t>
  </si>
  <si>
    <t xml:space="preserve">Valdeci </t>
  </si>
  <si>
    <t xml:space="preserve">Cheque </t>
  </si>
  <si>
    <t xml:space="preserve">Passado para o Calil </t>
  </si>
  <si>
    <t xml:space="preserve">220 - Anderson - Campo do meio </t>
  </si>
  <si>
    <t>Cheque</t>
  </si>
  <si>
    <t xml:space="preserve">Adiantamento do serviço </t>
  </si>
  <si>
    <t xml:space="preserve">1513 - Tininho </t>
  </si>
  <si>
    <t xml:space="preserve">3 Viagem na pedreira </t>
  </si>
  <si>
    <t xml:space="preserve">Valdeci Purcina </t>
  </si>
  <si>
    <t xml:space="preserve">Data </t>
  </si>
  <si>
    <t xml:space="preserve">Maquina </t>
  </si>
  <si>
    <t xml:space="preserve">Cliente e destino </t>
  </si>
  <si>
    <t xml:space="preserve">Km Inicial </t>
  </si>
  <si>
    <t>Km Final</t>
  </si>
  <si>
    <t xml:space="preserve">Km total </t>
  </si>
  <si>
    <t>R$/Km</t>
  </si>
  <si>
    <t xml:space="preserve">Trator </t>
  </si>
  <si>
    <t xml:space="preserve">Giovane Reis  - Três Pontas </t>
  </si>
  <si>
    <t xml:space="preserve">Transportar trator para Três Pontas </t>
  </si>
  <si>
    <t>Retro</t>
  </si>
  <si>
    <t xml:space="preserve">Leandro Reis - Varginha </t>
  </si>
  <si>
    <t>Transportar retroescavadeira para Varginha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</si>
</sst>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&quot;R$&quot;\ #,##0.00;[Red]\-&quot;R$&quot;\ #,##0.00"/>
    <numFmt numFmtId="166" formatCode="&quot;R$&quot;\ #,##0.00"/>
    <numFmt numFmtId="167" formatCode="[$R$ -416]#,##0.00"/>
    <numFmt numFmtId="168" formatCode="_([$R$ -416]* #,##0.00_);_([$R$ -416]* \(#,##0.00\);_([$R$ -416]* &quot;-&quot;??_);_(@_)"/>
    <numFmt numFmtId="169" formatCode="dd/mm"/>
    <numFmt numFmtId="170" formatCode="dd/mm/yyyy"/>
    <numFmt numFmtId="171" formatCode="d/m/yyyy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theme="1"/>
      <name val="Calibri"/>
      <scheme val="minor"/>
    </font>
    <font>
      <color rgb="FFFF00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6E3BC"/>
        <bgColor rgb="FFD6E3BC"/>
      </patternFill>
    </fill>
  </fills>
  <borders count="1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164" xfId="0" applyAlignment="1" applyBorder="1" applyFill="1" applyFont="1" applyNumberFormat="1">
      <alignment horizontal="center"/>
    </xf>
    <xf borderId="1" fillId="2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2" fillId="0" fontId="2" numFmtId="164" xfId="0" applyBorder="1" applyFont="1" applyNumberFormat="1"/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/>
    </xf>
    <xf borderId="2" fillId="0" fontId="2" numFmtId="165" xfId="0" applyAlignment="1" applyBorder="1" applyFont="1" applyNumberFormat="1">
      <alignment horizontal="center"/>
    </xf>
    <xf borderId="2" fillId="0" fontId="2" numFmtId="0" xfId="0" applyBorder="1" applyFont="1"/>
    <xf borderId="0" fillId="0" fontId="1" numFmtId="0" xfId="0" applyFont="1"/>
    <xf borderId="0" fillId="0" fontId="2" numFmtId="165" xfId="0" applyFont="1" applyNumberFormat="1"/>
    <xf borderId="3" fillId="2" fontId="3" numFmtId="0" xfId="0" applyAlignment="1" applyBorder="1" applyFont="1">
      <alignment horizontal="center" vertical="center"/>
    </xf>
    <xf borderId="4" fillId="0" fontId="4" numFmtId="0" xfId="0" applyBorder="1" applyFont="1"/>
    <xf borderId="2" fillId="0" fontId="2" numFmtId="166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6" xfId="0" applyFont="1" applyNumberFormat="1"/>
    <xf borderId="5" fillId="4" fontId="3" numFmtId="0" xfId="0" applyAlignment="1" applyBorder="1" applyFill="1" applyFont="1">
      <alignment horizontal="center"/>
    </xf>
    <xf borderId="6" fillId="0" fontId="4" numFmtId="0" xfId="0" applyBorder="1" applyFont="1"/>
    <xf borderId="7" fillId="4" fontId="3" numFmtId="165" xfId="0" applyBorder="1" applyFont="1" applyNumberFormat="1"/>
    <xf borderId="3" fillId="2" fontId="3" numFmtId="0" xfId="0" applyAlignment="1" applyBorder="1" applyFont="1">
      <alignment vertical="center"/>
    </xf>
    <xf borderId="2" fillId="0" fontId="2" numFmtId="165" xfId="0" applyAlignment="1" applyBorder="1" applyFont="1" applyNumberFormat="1">
      <alignment horizontal="center" readingOrder="0"/>
    </xf>
    <xf borderId="2" fillId="0" fontId="2" numFmtId="164" xfId="0" applyAlignment="1" applyBorder="1" applyFont="1" applyNumberFormat="1">
      <alignment readingOrder="0"/>
    </xf>
    <xf borderId="2" fillId="0" fontId="2" numFmtId="0" xfId="0" applyAlignment="1" applyBorder="1" applyFont="1">
      <alignment horizontal="center" readingOrder="0"/>
    </xf>
    <xf borderId="2" fillId="0" fontId="2" numFmtId="167" xfId="0" applyAlignment="1" applyBorder="1" applyFont="1" applyNumberFormat="1">
      <alignment horizontal="center" readingOrder="0"/>
    </xf>
    <xf borderId="2" fillId="0" fontId="2" numFmtId="167" xfId="0" applyAlignment="1" applyBorder="1" applyFont="1" applyNumberFormat="1">
      <alignment horizontal="center"/>
    </xf>
    <xf borderId="0" fillId="0" fontId="1" numFmtId="0" xfId="0" applyAlignment="1" applyFont="1">
      <alignment readingOrder="0"/>
    </xf>
    <xf borderId="0" fillId="5" fontId="1" numFmtId="0" xfId="0" applyFill="1" applyFont="1"/>
    <xf borderId="8" fillId="4" fontId="3" numFmtId="0" xfId="0" applyAlignment="1" applyBorder="1" applyFont="1">
      <alignment horizontal="center"/>
    </xf>
    <xf borderId="9" fillId="4" fontId="3" numFmtId="0" xfId="0" applyAlignment="1" applyBorder="1" applyFont="1">
      <alignment horizontal="center"/>
    </xf>
    <xf borderId="0" fillId="3" fontId="1" numFmtId="0" xfId="0" applyFont="1"/>
    <xf borderId="3" fillId="2" fontId="2" numFmtId="0" xfId="0" applyAlignment="1" applyBorder="1" applyFont="1">
      <alignment horizontal="center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2" fillId="0" fontId="2" numFmtId="168" xfId="0" applyAlignment="1" applyBorder="1" applyFont="1" applyNumberFormat="1">
      <alignment horizontal="center" readingOrder="0"/>
    </xf>
    <xf borderId="3" fillId="2" fontId="2" numFmtId="164" xfId="0" applyAlignment="1" applyBorder="1" applyFont="1" applyNumberFormat="1">
      <alignment horizontal="center"/>
    </xf>
    <xf borderId="2" fillId="0" fontId="2" numFmtId="4" xfId="0" applyAlignment="1" applyBorder="1" applyFont="1" applyNumberFormat="1">
      <alignment horizontal="center" readingOrder="0"/>
    </xf>
    <xf borderId="2" fillId="0" fontId="2" numFmtId="4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2" fillId="0" fontId="1" numFmtId="4" xfId="0" applyAlignment="1" applyBorder="1" applyFont="1" applyNumberFormat="1">
      <alignment horizontal="center" readingOrder="0"/>
    </xf>
    <xf borderId="5" fillId="4" fontId="5" numFmtId="0" xfId="0" applyAlignment="1" applyBorder="1" applyFont="1">
      <alignment readingOrder="0"/>
    </xf>
    <xf borderId="10" fillId="4" fontId="5" numFmtId="0" xfId="0" applyBorder="1" applyFont="1"/>
    <xf borderId="11" fillId="4" fontId="5" numFmtId="165" xfId="0" applyBorder="1" applyFont="1" applyNumberFormat="1"/>
    <xf borderId="0" fillId="0" fontId="6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5" fillId="6" fontId="5" numFmtId="0" xfId="0" applyAlignment="1" applyBorder="1" applyFill="1" applyFont="1">
      <alignment readingOrder="0"/>
    </xf>
    <xf borderId="10" fillId="6" fontId="5" numFmtId="167" xfId="0" applyAlignment="1" applyBorder="1" applyFont="1" applyNumberFormat="1">
      <alignment horizontal="center" readingOrder="0"/>
    </xf>
    <xf borderId="10" fillId="0" fontId="4" numFmtId="0" xfId="0" applyBorder="1" applyFont="1"/>
    <xf borderId="11" fillId="6" fontId="5" numFmtId="170" xfId="0" applyAlignment="1" applyBorder="1" applyFont="1" applyNumberFormat="1">
      <alignment readingOrder="0"/>
    </xf>
    <xf borderId="12" fillId="6" fontId="5" numFmtId="0" xfId="0" applyAlignment="1" applyBorder="1" applyFont="1">
      <alignment readingOrder="0"/>
    </xf>
    <xf borderId="13" fillId="6" fontId="5" numFmtId="0" xfId="0" applyAlignment="1" applyBorder="1" applyFont="1">
      <alignment horizontal="center" readingOrder="0"/>
    </xf>
    <xf borderId="13" fillId="0" fontId="4" numFmtId="0" xfId="0" applyBorder="1" applyFont="1"/>
    <xf borderId="14" fillId="6" fontId="5" numFmtId="170" xfId="0" applyAlignment="1" applyBorder="1" applyFont="1" applyNumberFormat="1">
      <alignment readingOrder="0"/>
    </xf>
    <xf borderId="2" fillId="0" fontId="2" numFmtId="170" xfId="0" applyAlignment="1" applyBorder="1" applyFont="1" applyNumberFormat="1">
      <alignment readingOrder="0"/>
    </xf>
    <xf borderId="2" fillId="0" fontId="2" numFmtId="171" xfId="0" applyAlignment="1" applyBorder="1" applyFont="1" applyNumberFormat="1">
      <alignment readingOrder="0"/>
    </xf>
    <xf borderId="2" fillId="0" fontId="2" numFmtId="49" xfId="0" applyAlignment="1" applyBorder="1" applyFont="1" applyNumberFormat="1">
      <alignment horizontal="center" readingOrder="0"/>
    </xf>
    <xf borderId="1" fillId="2" fontId="3" numFmtId="0" xfId="0" applyBorder="1" applyFont="1"/>
    <xf borderId="8" fillId="7" fontId="3" numFmtId="0" xfId="0" applyBorder="1" applyFill="1" applyFont="1"/>
    <xf borderId="9" fillId="7" fontId="2" numFmtId="0" xfId="0" applyBorder="1" applyFont="1"/>
    <xf borderId="7" fillId="7" fontId="3" numFmtId="165" xfId="0" applyBorder="1" applyFont="1" applyNumberFormat="1"/>
    <xf borderId="5" fillId="4" fontId="1" numFmtId="0" xfId="0" applyBorder="1" applyFont="1"/>
    <xf borderId="2" fillId="0" fontId="1" numFmtId="170" xfId="0" applyAlignment="1" applyBorder="1" applyFont="1" applyNumberFormat="1">
      <alignment readingOrder="0"/>
    </xf>
    <xf borderId="2" fillId="0" fontId="1" numFmtId="167" xfId="0" applyAlignment="1" applyBorder="1" applyFont="1" applyNumberForma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2" fillId="0" fontId="1" numFmtId="167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23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45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66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84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104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125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143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161</xdr:row>
      <xdr:rowOff>142875</xdr:rowOff>
    </xdr:from>
    <xdr:ext cx="714375" cy="771525"/>
    <xdr:pic>
      <xdr:nvPicPr>
        <xdr:cNvPr id="0" name="image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177</xdr:row>
      <xdr:rowOff>85725</xdr:rowOff>
    </xdr:from>
    <xdr:ext cx="971550" cy="1028700"/>
    <xdr:pic>
      <xdr:nvPicPr>
        <xdr:cNvPr id="0" name="image2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195</xdr:row>
      <xdr:rowOff>152400</xdr:rowOff>
    </xdr:from>
    <xdr:ext cx="971550" cy="1028700"/>
    <xdr:pic>
      <xdr:nvPicPr>
        <xdr:cNvPr id="0" name="image2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215</xdr:row>
      <xdr:rowOff>47625</xdr:rowOff>
    </xdr:from>
    <xdr:ext cx="971550" cy="1028700"/>
    <xdr:pic>
      <xdr:nvPicPr>
        <xdr:cNvPr id="0" name="image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2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18</xdr:row>
      <xdr:rowOff>190500</xdr:rowOff>
    </xdr:from>
    <xdr:ext cx="933450" cy="847725"/>
    <xdr:pic>
      <xdr:nvPicPr>
        <xdr:cNvPr id="0" name="image5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36</xdr:row>
      <xdr:rowOff>47625</xdr:rowOff>
    </xdr:from>
    <xdr:ext cx="933450" cy="981075"/>
    <xdr:pic>
      <xdr:nvPicPr>
        <xdr:cNvPr id="0" name="image6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2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18</xdr:row>
      <xdr:rowOff>190500</xdr:rowOff>
    </xdr:from>
    <xdr:ext cx="933450" cy="847725"/>
    <xdr:pic>
      <xdr:nvPicPr>
        <xdr:cNvPr id="0" name="image5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36</xdr:row>
      <xdr:rowOff>47625</xdr:rowOff>
    </xdr:from>
    <xdr:ext cx="933450" cy="981075"/>
    <xdr:pic>
      <xdr:nvPicPr>
        <xdr:cNvPr id="0" name="image6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50</xdr:row>
      <xdr:rowOff>180975</xdr:rowOff>
    </xdr:from>
    <xdr:ext cx="933450" cy="981075"/>
    <xdr:pic>
      <xdr:nvPicPr>
        <xdr:cNvPr id="0" name="image9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66</xdr:row>
      <xdr:rowOff>171450</xdr:rowOff>
    </xdr:from>
    <xdr:ext cx="933450" cy="923925"/>
    <xdr:pic>
      <xdr:nvPicPr>
        <xdr:cNvPr id="0" name="image10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83</xdr:row>
      <xdr:rowOff>28575</xdr:rowOff>
    </xdr:from>
    <xdr:ext cx="828675" cy="847725"/>
    <xdr:pic>
      <xdr:nvPicPr>
        <xdr:cNvPr id="0" name="image7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99</xdr:row>
      <xdr:rowOff>190500</xdr:rowOff>
    </xdr:from>
    <xdr:ext cx="933450" cy="981075"/>
    <xdr:pic>
      <xdr:nvPicPr>
        <xdr:cNvPr id="0" name="image8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19</xdr:row>
      <xdr:rowOff>114300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</xdr:row>
      <xdr:rowOff>114300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36</xdr:row>
      <xdr:rowOff>85725</xdr:rowOff>
    </xdr:from>
    <xdr:ext cx="828675" cy="981075"/>
    <xdr:pic>
      <xdr:nvPicPr>
        <xdr:cNvPr id="0" name="image4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69</xdr:row>
      <xdr:rowOff>47625</xdr:rowOff>
    </xdr:from>
    <xdr:ext cx="828675" cy="809625"/>
    <xdr:pic>
      <xdr:nvPicPr>
        <xdr:cNvPr id="0" name="image1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51</xdr:row>
      <xdr:rowOff>152400</xdr:rowOff>
    </xdr:from>
    <xdr:ext cx="828675" cy="809625"/>
    <xdr:pic>
      <xdr:nvPicPr>
        <xdr:cNvPr id="0" name="image1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142875</xdr:rowOff>
    </xdr:from>
    <xdr:ext cx="819150" cy="885825"/>
    <xdr:pic>
      <xdr:nvPicPr>
        <xdr:cNvPr id="0" name="image12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2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22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40</xdr:row>
      <xdr:rowOff>200025</xdr:rowOff>
    </xdr:from>
    <xdr:ext cx="942975" cy="981075"/>
    <xdr:pic>
      <xdr:nvPicPr>
        <xdr:cNvPr id="0" name="image13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1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20</xdr:row>
      <xdr:rowOff>38100</xdr:rowOff>
    </xdr:from>
    <xdr:ext cx="933450" cy="981075"/>
    <xdr:pic>
      <xdr:nvPicPr>
        <xdr:cNvPr id="0" name="image14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2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23</xdr:row>
      <xdr:rowOff>142875</xdr:rowOff>
    </xdr:from>
    <xdr:ext cx="828675" cy="9810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1</xdr:row>
      <xdr:rowOff>142875</xdr:rowOff>
    </xdr:from>
    <xdr:ext cx="771525" cy="809625"/>
    <xdr:pic>
      <xdr:nvPicPr>
        <xdr:cNvPr id="0" name="image4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20</xdr:row>
      <xdr:rowOff>142875</xdr:rowOff>
    </xdr:from>
    <xdr:ext cx="828675" cy="895350"/>
    <xdr:pic>
      <xdr:nvPicPr>
        <xdr:cNvPr id="0" name="image15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37</xdr:row>
      <xdr:rowOff>161925</xdr:rowOff>
    </xdr:from>
    <xdr:ext cx="981075" cy="1076325"/>
    <xdr:pic>
      <xdr:nvPicPr>
        <xdr:cNvPr id="0" name="image16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</xdr:row>
      <xdr:rowOff>85725</xdr:rowOff>
    </xdr:from>
    <xdr:ext cx="933450" cy="1009650"/>
    <xdr:pic>
      <xdr:nvPicPr>
        <xdr:cNvPr id="0" name="image18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21</xdr:row>
      <xdr:rowOff>95250</xdr:rowOff>
    </xdr:from>
    <xdr:ext cx="847725" cy="914400"/>
    <xdr:pic>
      <xdr:nvPicPr>
        <xdr:cNvPr id="0" name="image17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38100</xdr:rowOff>
    </xdr:from>
    <xdr:ext cx="1047750" cy="1133475"/>
    <xdr:pic>
      <xdr:nvPicPr>
        <xdr:cNvPr id="0" name="image20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22</xdr:row>
      <xdr:rowOff>200025</xdr:rowOff>
    </xdr:from>
    <xdr:ext cx="1047750" cy="1133475"/>
    <xdr:pic>
      <xdr:nvPicPr>
        <xdr:cNvPr id="0" name="image19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4" width="10.71"/>
    <col customWidth="1" min="5" max="5" width="38.14"/>
    <col customWidth="1" min="6" max="6" width="10.86"/>
    <col customWidth="1" min="7" max="7" width="9.57"/>
    <col customWidth="1" min="8" max="8" width="17.57"/>
    <col customWidth="1" min="9" max="9" width="9.86"/>
    <col customWidth="1" min="10" max="10" width="11.71"/>
    <col customWidth="1" min="11" max="11" width="6.57"/>
    <col customWidth="1" min="12" max="12" width="8.71"/>
    <col customWidth="1" min="13" max="13" width="11.71"/>
    <col customWidth="1" min="14" max="26" width="8.71"/>
  </cols>
  <sheetData>
    <row r="1">
      <c r="C1" s="1"/>
      <c r="D1" s="1"/>
    </row>
    <row r="2">
      <c r="C2" s="2" t="s">
        <v>0</v>
      </c>
      <c r="D2" s="2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/>
      <c r="J2" s="3"/>
      <c r="K2" s="3" t="s">
        <v>6</v>
      </c>
      <c r="L2" s="3" t="s">
        <v>7</v>
      </c>
      <c r="M2" s="3" t="s">
        <v>8</v>
      </c>
      <c r="O2" s="4"/>
    </row>
    <row r="3">
      <c r="C3" s="5">
        <v>45951.0</v>
      </c>
      <c r="D3" s="5">
        <v>45958.0</v>
      </c>
      <c r="E3" s="6" t="s">
        <v>9</v>
      </c>
      <c r="F3" s="7">
        <v>10796.8</v>
      </c>
      <c r="G3" s="7">
        <v>10836.8</v>
      </c>
      <c r="H3" s="7">
        <f t="shared" ref="H3:H8" si="1">G3-F3</f>
        <v>40</v>
      </c>
      <c r="I3" s="8">
        <v>350.0</v>
      </c>
      <c r="J3" s="8">
        <f t="shared" ref="J3:J8" si="2">H3*I3</f>
        <v>14000</v>
      </c>
      <c r="K3" s="7"/>
      <c r="L3" s="7"/>
      <c r="M3" s="7">
        <v>0.0</v>
      </c>
    </row>
    <row r="4">
      <c r="C4" s="5"/>
      <c r="D4" s="5"/>
      <c r="E4" s="9" t="s">
        <v>10</v>
      </c>
      <c r="F4" s="7">
        <v>0.0</v>
      </c>
      <c r="G4" s="7"/>
      <c r="H4" s="7">
        <f t="shared" si="1"/>
        <v>0</v>
      </c>
      <c r="I4" s="7"/>
      <c r="J4" s="8">
        <f t="shared" si="2"/>
        <v>0</v>
      </c>
      <c r="K4" s="7"/>
      <c r="L4" s="7"/>
      <c r="M4" s="7"/>
    </row>
    <row r="5">
      <c r="C5" s="5"/>
      <c r="D5" s="5"/>
      <c r="E5" s="9"/>
      <c r="F5" s="7">
        <v>0.0</v>
      </c>
      <c r="G5" s="7"/>
      <c r="H5" s="7">
        <f t="shared" si="1"/>
        <v>0</v>
      </c>
      <c r="I5" s="7"/>
      <c r="J5" s="8">
        <f t="shared" si="2"/>
        <v>0</v>
      </c>
      <c r="K5" s="7"/>
      <c r="L5" s="7"/>
      <c r="M5" s="7"/>
    </row>
    <row r="6">
      <c r="C6" s="5"/>
      <c r="D6" s="5"/>
      <c r="E6" s="9"/>
      <c r="F6" s="7">
        <v>0.0</v>
      </c>
      <c r="G6" s="7"/>
      <c r="H6" s="7">
        <f t="shared" si="1"/>
        <v>0</v>
      </c>
      <c r="I6" s="7"/>
      <c r="J6" s="8">
        <f t="shared" si="2"/>
        <v>0</v>
      </c>
      <c r="K6" s="7"/>
      <c r="L6" s="7"/>
      <c r="M6" s="7"/>
    </row>
    <row r="7">
      <c r="C7" s="5"/>
      <c r="D7" s="5"/>
      <c r="E7" s="9"/>
      <c r="F7" s="7">
        <v>0.0</v>
      </c>
      <c r="G7" s="7"/>
      <c r="H7" s="7">
        <f t="shared" si="1"/>
        <v>0</v>
      </c>
      <c r="I7" s="7"/>
      <c r="J7" s="8">
        <f t="shared" si="2"/>
        <v>0</v>
      </c>
      <c r="K7" s="7"/>
      <c r="L7" s="7"/>
      <c r="M7" s="7"/>
    </row>
    <row r="8">
      <c r="C8" s="5"/>
      <c r="D8" s="5"/>
      <c r="E8" s="9"/>
      <c r="F8" s="7">
        <v>0.0</v>
      </c>
      <c r="G8" s="7"/>
      <c r="H8" s="7">
        <f t="shared" si="1"/>
        <v>0</v>
      </c>
      <c r="I8" s="7"/>
      <c r="J8" s="8">
        <f t="shared" si="2"/>
        <v>0</v>
      </c>
      <c r="K8" s="7"/>
      <c r="L8" s="7"/>
      <c r="M8" s="7"/>
    </row>
    <row r="9">
      <c r="C9" s="1"/>
      <c r="D9" s="1"/>
      <c r="I9" s="10" t="s">
        <v>11</v>
      </c>
      <c r="J9" s="11">
        <f>SUM(J3:J8)</f>
        <v>14000</v>
      </c>
    </row>
    <row r="10">
      <c r="C10" s="1"/>
      <c r="D10" s="1"/>
    </row>
    <row r="11">
      <c r="C11" s="1"/>
      <c r="D11" s="1"/>
      <c r="E11" s="12" t="s">
        <v>12</v>
      </c>
    </row>
    <row r="12">
      <c r="C12" s="1"/>
      <c r="D12" s="1"/>
      <c r="E12" s="13"/>
      <c r="J12" s="11"/>
    </row>
    <row r="13">
      <c r="C13" s="1"/>
      <c r="D13" s="1"/>
    </row>
    <row r="14">
      <c r="C14" s="1"/>
      <c r="D14" s="1"/>
    </row>
    <row r="15">
      <c r="C15" s="1"/>
      <c r="D15" s="1"/>
    </row>
    <row r="16">
      <c r="C16" s="1"/>
      <c r="D16" s="1"/>
    </row>
    <row r="17">
      <c r="C17" s="1"/>
      <c r="D17" s="1"/>
    </row>
    <row r="18">
      <c r="C18" s="1"/>
      <c r="D18" s="1"/>
    </row>
    <row r="19">
      <c r="C19" s="1"/>
      <c r="D19" s="1"/>
    </row>
    <row r="20">
      <c r="C20" s="1"/>
      <c r="D20" s="1"/>
    </row>
    <row r="21" ht="15.75" customHeight="1">
      <c r="C21" s="1"/>
      <c r="D21" s="1"/>
    </row>
    <row r="22" ht="15.75" customHeight="1">
      <c r="C22" s="1"/>
      <c r="D22" s="1"/>
    </row>
    <row r="23" ht="15.75" customHeight="1">
      <c r="C23" s="1"/>
      <c r="D23" s="1"/>
    </row>
    <row r="24" ht="15.75" customHeight="1">
      <c r="C24" s="1"/>
      <c r="D24" s="1"/>
      <c r="N24" s="10" t="s">
        <v>13</v>
      </c>
    </row>
    <row r="25" ht="15.75" customHeight="1">
      <c r="C25" s="2" t="s">
        <v>0</v>
      </c>
      <c r="D25" s="2" t="s">
        <v>1</v>
      </c>
      <c r="E25" s="3" t="s">
        <v>2</v>
      </c>
      <c r="F25" s="3" t="s">
        <v>3</v>
      </c>
      <c r="G25" s="3" t="s">
        <v>4</v>
      </c>
      <c r="H25" s="3" t="s">
        <v>5</v>
      </c>
      <c r="I25" s="3"/>
      <c r="J25" s="3"/>
      <c r="K25" s="3" t="s">
        <v>14</v>
      </c>
      <c r="L25" s="3" t="s">
        <v>15</v>
      </c>
      <c r="M25" s="3" t="s">
        <v>16</v>
      </c>
    </row>
    <row r="26" ht="15.75" customHeight="1">
      <c r="C26" s="5">
        <v>45960.0</v>
      </c>
      <c r="D26" s="5">
        <v>45960.0</v>
      </c>
      <c r="E26" s="9" t="s">
        <v>17</v>
      </c>
      <c r="F26" s="7">
        <v>7008.0</v>
      </c>
      <c r="G26" s="7">
        <v>7020.0</v>
      </c>
      <c r="H26" s="7">
        <f t="shared" ref="H26:H31" si="3">G26-F26</f>
        <v>12</v>
      </c>
      <c r="I26" s="8">
        <v>380.0</v>
      </c>
      <c r="J26" s="8">
        <f t="shared" ref="J26:J31" si="4">H26*I26</f>
        <v>4560</v>
      </c>
      <c r="K26" s="7"/>
      <c r="L26" s="7"/>
      <c r="M26" s="14">
        <f>K26*L26</f>
        <v>0</v>
      </c>
    </row>
    <row r="27" ht="15.75" customHeight="1">
      <c r="C27" s="5"/>
      <c r="D27" s="5"/>
      <c r="E27" s="9"/>
      <c r="F27" s="7">
        <v>0.0</v>
      </c>
      <c r="G27" s="7"/>
      <c r="H27" s="7">
        <f t="shared" si="3"/>
        <v>0</v>
      </c>
      <c r="I27" s="7"/>
      <c r="J27" s="8">
        <f t="shared" si="4"/>
        <v>0</v>
      </c>
      <c r="K27" s="7"/>
      <c r="L27" s="7"/>
      <c r="M27" s="14"/>
    </row>
    <row r="28" ht="15.75" customHeight="1">
      <c r="C28" s="5"/>
      <c r="D28" s="5"/>
      <c r="E28" s="9"/>
      <c r="F28" s="7">
        <v>0.0</v>
      </c>
      <c r="G28" s="7"/>
      <c r="H28" s="7">
        <f t="shared" si="3"/>
        <v>0</v>
      </c>
      <c r="I28" s="7"/>
      <c r="J28" s="8">
        <f t="shared" si="4"/>
        <v>0</v>
      </c>
      <c r="K28" s="7"/>
      <c r="L28" s="7"/>
      <c r="M28" s="14"/>
    </row>
    <row r="29" ht="15.75" customHeight="1">
      <c r="C29" s="5"/>
      <c r="D29" s="5"/>
      <c r="E29" s="9"/>
      <c r="F29" s="7">
        <v>0.0</v>
      </c>
      <c r="G29" s="7"/>
      <c r="H29" s="7">
        <f t="shared" si="3"/>
        <v>0</v>
      </c>
      <c r="I29" s="7"/>
      <c r="J29" s="8">
        <f t="shared" si="4"/>
        <v>0</v>
      </c>
      <c r="K29" s="7"/>
      <c r="L29" s="7"/>
      <c r="M29" s="14"/>
    </row>
    <row r="30" ht="15.75" customHeight="1">
      <c r="C30" s="5"/>
      <c r="D30" s="5"/>
      <c r="E30" s="9"/>
      <c r="F30" s="7">
        <v>0.0</v>
      </c>
      <c r="G30" s="7"/>
      <c r="H30" s="7">
        <f t="shared" si="3"/>
        <v>0</v>
      </c>
      <c r="I30" s="7"/>
      <c r="J30" s="8">
        <f t="shared" si="4"/>
        <v>0</v>
      </c>
      <c r="K30" s="7"/>
      <c r="L30" s="7"/>
      <c r="M30" s="14"/>
    </row>
    <row r="31" ht="15.75" customHeight="1">
      <c r="C31" s="5"/>
      <c r="D31" s="5"/>
      <c r="E31" s="9"/>
      <c r="F31" s="7">
        <v>0.0</v>
      </c>
      <c r="G31" s="7"/>
      <c r="H31" s="7">
        <f t="shared" si="3"/>
        <v>0</v>
      </c>
      <c r="I31" s="7"/>
      <c r="J31" s="8">
        <f t="shared" si="4"/>
        <v>0</v>
      </c>
      <c r="K31" s="7"/>
      <c r="L31" s="7"/>
      <c r="M31" s="14"/>
    </row>
    <row r="32" ht="15.75" customHeight="1">
      <c r="C32" s="1"/>
      <c r="D32" s="1"/>
      <c r="I32" s="15" t="s">
        <v>11</v>
      </c>
      <c r="J32" s="11">
        <f>SUM(J26:J31)</f>
        <v>4560</v>
      </c>
      <c r="M32" s="16">
        <f>SUM(M26:M31)</f>
        <v>0</v>
      </c>
    </row>
    <row r="33" ht="15.75" customHeight="1">
      <c r="C33" s="1"/>
      <c r="D33" s="1"/>
    </row>
    <row r="34" ht="15.75" customHeight="1">
      <c r="C34" s="1"/>
      <c r="D34" s="1"/>
      <c r="H34" s="17" t="s">
        <v>18</v>
      </c>
      <c r="I34" s="18"/>
      <c r="J34" s="19">
        <f>J32-M32</f>
        <v>4560</v>
      </c>
    </row>
    <row r="35" ht="15.75" customHeight="1">
      <c r="C35" s="1"/>
      <c r="D35" s="1"/>
    </row>
    <row r="36" ht="15.75" customHeight="1">
      <c r="C36" s="1"/>
      <c r="D36" s="1"/>
      <c r="E36" s="20" t="s">
        <v>12</v>
      </c>
    </row>
    <row r="37" ht="15.75" customHeight="1">
      <c r="C37" s="1"/>
      <c r="D37" s="1"/>
      <c r="E37" s="13"/>
    </row>
    <row r="38" ht="15.75" customHeight="1">
      <c r="C38" s="1"/>
      <c r="D38" s="1"/>
    </row>
    <row r="39" ht="15.75" customHeight="1">
      <c r="C39" s="1"/>
      <c r="D39" s="1"/>
    </row>
    <row r="40" ht="15.75" customHeight="1">
      <c r="C40" s="1"/>
      <c r="D40" s="1"/>
    </row>
    <row r="41" ht="15.75" customHeight="1">
      <c r="C41" s="1"/>
      <c r="D41" s="1"/>
    </row>
    <row r="42" ht="15.75" customHeight="1">
      <c r="C42" s="1"/>
      <c r="D42" s="1"/>
    </row>
    <row r="43" ht="15.75" customHeight="1">
      <c r="C43" s="1"/>
      <c r="D43" s="1"/>
    </row>
    <row r="44" ht="15.75" customHeight="1">
      <c r="C44" s="1"/>
      <c r="D44" s="1"/>
    </row>
    <row r="45" ht="15.75" customHeight="1">
      <c r="C45" s="1"/>
      <c r="D45" s="1"/>
    </row>
    <row r="46" ht="15.75" customHeight="1">
      <c r="C46" s="1"/>
      <c r="D46" s="1"/>
    </row>
    <row r="47" ht="15.75" customHeight="1">
      <c r="C47" s="2" t="s">
        <v>0</v>
      </c>
      <c r="D47" s="2" t="s">
        <v>1</v>
      </c>
      <c r="E47" s="3" t="s">
        <v>2</v>
      </c>
      <c r="F47" s="3" t="s">
        <v>3</v>
      </c>
      <c r="G47" s="3" t="s">
        <v>4</v>
      </c>
      <c r="H47" s="3" t="s">
        <v>5</v>
      </c>
      <c r="I47" s="3"/>
      <c r="J47" s="3"/>
      <c r="K47" s="3" t="s">
        <v>14</v>
      </c>
      <c r="L47" s="3" t="s">
        <v>15</v>
      </c>
      <c r="M47" s="3" t="s">
        <v>16</v>
      </c>
    </row>
    <row r="48" ht="15.75" customHeight="1">
      <c r="C48" s="5">
        <v>45947.0</v>
      </c>
      <c r="D48" s="5">
        <v>45951.0</v>
      </c>
      <c r="E48" s="9" t="s">
        <v>19</v>
      </c>
      <c r="F48" s="7">
        <v>10755.5</v>
      </c>
      <c r="G48" s="7">
        <v>10795.4</v>
      </c>
      <c r="H48" s="7">
        <f t="shared" ref="H48:H53" si="5">G48-F48</f>
        <v>39.9</v>
      </c>
      <c r="I48" s="8">
        <v>380.0</v>
      </c>
      <c r="J48" s="8">
        <f t="shared" ref="J48:J53" si="6">H48*I48</f>
        <v>15162</v>
      </c>
      <c r="K48" s="7"/>
      <c r="L48" s="7"/>
      <c r="M48" s="14">
        <f>K48*L48</f>
        <v>0</v>
      </c>
    </row>
    <row r="49" ht="15.75" customHeight="1">
      <c r="C49" s="5"/>
      <c r="D49" s="5"/>
      <c r="E49" s="9"/>
      <c r="F49" s="7">
        <v>0.0</v>
      </c>
      <c r="G49" s="7"/>
      <c r="H49" s="7">
        <f t="shared" si="5"/>
        <v>0</v>
      </c>
      <c r="I49" s="7"/>
      <c r="J49" s="8">
        <f t="shared" si="6"/>
        <v>0</v>
      </c>
      <c r="K49" s="7"/>
      <c r="L49" s="7"/>
      <c r="M49" s="14"/>
    </row>
    <row r="50" ht="15.75" customHeight="1">
      <c r="C50" s="5"/>
      <c r="D50" s="5"/>
      <c r="E50" s="9"/>
      <c r="F50" s="7">
        <v>0.0</v>
      </c>
      <c r="G50" s="7"/>
      <c r="H50" s="7">
        <f t="shared" si="5"/>
        <v>0</v>
      </c>
      <c r="I50" s="7"/>
      <c r="J50" s="8">
        <f t="shared" si="6"/>
        <v>0</v>
      </c>
      <c r="K50" s="7"/>
      <c r="L50" s="7"/>
      <c r="M50" s="14"/>
    </row>
    <row r="51" ht="15.75" customHeight="1">
      <c r="C51" s="5"/>
      <c r="D51" s="5"/>
      <c r="E51" s="9"/>
      <c r="F51" s="7">
        <v>0.0</v>
      </c>
      <c r="G51" s="7"/>
      <c r="H51" s="7">
        <f t="shared" si="5"/>
        <v>0</v>
      </c>
      <c r="I51" s="7"/>
      <c r="J51" s="8">
        <f t="shared" si="6"/>
        <v>0</v>
      </c>
      <c r="K51" s="7"/>
      <c r="L51" s="7"/>
      <c r="M51" s="14"/>
    </row>
    <row r="52" ht="15.75" customHeight="1">
      <c r="C52" s="5"/>
      <c r="D52" s="5"/>
      <c r="E52" s="9"/>
      <c r="F52" s="7">
        <v>0.0</v>
      </c>
      <c r="G52" s="7"/>
      <c r="H52" s="7">
        <f t="shared" si="5"/>
        <v>0</v>
      </c>
      <c r="I52" s="7"/>
      <c r="J52" s="8">
        <f t="shared" si="6"/>
        <v>0</v>
      </c>
      <c r="K52" s="7"/>
      <c r="L52" s="7"/>
      <c r="M52" s="14"/>
    </row>
    <row r="53" ht="15.75" customHeight="1">
      <c r="C53" s="5"/>
      <c r="D53" s="5"/>
      <c r="E53" s="9"/>
      <c r="F53" s="7">
        <v>0.0</v>
      </c>
      <c r="G53" s="7"/>
      <c r="H53" s="7">
        <f t="shared" si="5"/>
        <v>0</v>
      </c>
      <c r="I53" s="7"/>
      <c r="J53" s="8">
        <f t="shared" si="6"/>
        <v>0</v>
      </c>
      <c r="K53" s="7"/>
      <c r="L53" s="7"/>
      <c r="M53" s="14"/>
    </row>
    <row r="54" ht="15.75" customHeight="1">
      <c r="C54" s="1"/>
      <c r="D54" s="1"/>
      <c r="I54" s="15" t="s">
        <v>11</v>
      </c>
      <c r="J54" s="11">
        <f>SUM(J48:J53)</f>
        <v>15162</v>
      </c>
      <c r="M54" s="16">
        <f>SUM(M48:M53)</f>
        <v>0</v>
      </c>
    </row>
    <row r="55" ht="15.75" customHeight="1">
      <c r="C55" s="1"/>
      <c r="D55" s="1"/>
    </row>
    <row r="56" ht="15.75" customHeight="1">
      <c r="C56" s="1"/>
      <c r="D56" s="1"/>
      <c r="H56" s="17" t="s">
        <v>18</v>
      </c>
      <c r="I56" s="18"/>
      <c r="J56" s="19">
        <f>J54-M54</f>
        <v>15162</v>
      </c>
    </row>
    <row r="57" ht="15.75" customHeight="1">
      <c r="C57" s="1"/>
      <c r="D57" s="1"/>
    </row>
    <row r="58" ht="15.75" customHeight="1">
      <c r="C58" s="1"/>
      <c r="D58" s="1"/>
      <c r="E58" s="20" t="s">
        <v>12</v>
      </c>
    </row>
    <row r="59" ht="15.75" customHeight="1">
      <c r="C59" s="1"/>
      <c r="D59" s="1"/>
      <c r="E59" s="13"/>
    </row>
    <row r="60" ht="15.75" customHeight="1">
      <c r="C60" s="1"/>
      <c r="D60" s="1"/>
    </row>
    <row r="61" ht="15.75" customHeight="1">
      <c r="C61" s="1"/>
      <c r="D61" s="1"/>
    </row>
    <row r="62" ht="15.75" customHeight="1">
      <c r="C62" s="1"/>
      <c r="D62" s="1"/>
    </row>
    <row r="63" ht="15.75" customHeight="1">
      <c r="C63" s="1"/>
      <c r="D63" s="1"/>
    </row>
    <row r="64" ht="15.75" customHeight="1">
      <c r="C64" s="1"/>
      <c r="D64" s="1"/>
    </row>
    <row r="65" ht="15.75" customHeight="1">
      <c r="C65" s="1"/>
      <c r="D65" s="1"/>
    </row>
    <row r="66" ht="15.75" customHeight="1">
      <c r="C66" s="1"/>
      <c r="D66" s="1"/>
    </row>
    <row r="67" ht="15.75" customHeight="1">
      <c r="C67" s="1"/>
      <c r="D67" s="1"/>
    </row>
    <row r="68" ht="15.75" customHeight="1">
      <c r="C68" s="2" t="s">
        <v>0</v>
      </c>
      <c r="D68" s="2" t="s">
        <v>1</v>
      </c>
      <c r="E68" s="3" t="s">
        <v>2</v>
      </c>
      <c r="F68" s="3" t="s">
        <v>3</v>
      </c>
      <c r="G68" s="3" t="s">
        <v>4</v>
      </c>
      <c r="H68" s="3" t="s">
        <v>5</v>
      </c>
      <c r="I68" s="3"/>
      <c r="J68" s="3"/>
      <c r="K68" s="3" t="s">
        <v>14</v>
      </c>
      <c r="L68" s="3" t="s">
        <v>15</v>
      </c>
      <c r="M68" s="3" t="s">
        <v>16</v>
      </c>
    </row>
    <row r="69" ht="15.75" customHeight="1">
      <c r="C69" s="5">
        <v>45959.0</v>
      </c>
      <c r="D69" s="5">
        <v>45959.0</v>
      </c>
      <c r="E69" s="9" t="s">
        <v>20</v>
      </c>
      <c r="F69" s="7">
        <v>10837.8</v>
      </c>
      <c r="G69" s="7">
        <v>10846.5</v>
      </c>
      <c r="H69" s="7">
        <f t="shared" ref="H69:H74" si="7">G69-F69</f>
        <v>8.7</v>
      </c>
      <c r="I69" s="8">
        <v>380.0</v>
      </c>
      <c r="J69" s="8">
        <f t="shared" ref="J69:J74" si="8">H69*I69</f>
        <v>3306</v>
      </c>
      <c r="K69" s="7"/>
      <c r="L69" s="7"/>
      <c r="M69" s="14">
        <f>K69*L69</f>
        <v>0</v>
      </c>
    </row>
    <row r="70" ht="15.75" customHeight="1">
      <c r="C70" s="5"/>
      <c r="D70" s="5"/>
      <c r="E70" s="9"/>
      <c r="F70" s="7">
        <v>0.0</v>
      </c>
      <c r="G70" s="7"/>
      <c r="H70" s="7">
        <f t="shared" si="7"/>
        <v>0</v>
      </c>
      <c r="I70" s="7"/>
      <c r="J70" s="8">
        <f t="shared" si="8"/>
        <v>0</v>
      </c>
      <c r="K70" s="7"/>
      <c r="L70" s="7"/>
      <c r="M70" s="14"/>
    </row>
    <row r="71" ht="15.75" customHeight="1">
      <c r="C71" s="5"/>
      <c r="D71" s="5"/>
      <c r="E71" s="9"/>
      <c r="F71" s="7">
        <v>0.0</v>
      </c>
      <c r="G71" s="7"/>
      <c r="H71" s="7">
        <f t="shared" si="7"/>
        <v>0</v>
      </c>
      <c r="I71" s="7"/>
      <c r="J71" s="8">
        <f t="shared" si="8"/>
        <v>0</v>
      </c>
      <c r="K71" s="7"/>
      <c r="L71" s="7"/>
      <c r="M71" s="14"/>
    </row>
    <row r="72" ht="15.75" customHeight="1">
      <c r="C72" s="5"/>
      <c r="D72" s="5"/>
      <c r="E72" s="9"/>
      <c r="F72" s="7">
        <v>0.0</v>
      </c>
      <c r="G72" s="7"/>
      <c r="H72" s="7">
        <f t="shared" si="7"/>
        <v>0</v>
      </c>
      <c r="I72" s="7"/>
      <c r="J72" s="8">
        <f t="shared" si="8"/>
        <v>0</v>
      </c>
      <c r="K72" s="7"/>
      <c r="L72" s="7"/>
      <c r="M72" s="14"/>
    </row>
    <row r="73" ht="15.75" customHeight="1">
      <c r="C73" s="5"/>
      <c r="D73" s="5"/>
      <c r="E73" s="9"/>
      <c r="F73" s="7">
        <v>0.0</v>
      </c>
      <c r="G73" s="7"/>
      <c r="H73" s="7">
        <f t="shared" si="7"/>
        <v>0</v>
      </c>
      <c r="I73" s="7"/>
      <c r="J73" s="8">
        <f t="shared" si="8"/>
        <v>0</v>
      </c>
      <c r="K73" s="7"/>
      <c r="L73" s="7"/>
      <c r="M73" s="14"/>
    </row>
    <row r="74" ht="15.75" customHeight="1">
      <c r="C74" s="5"/>
      <c r="D74" s="5"/>
      <c r="E74" s="9"/>
      <c r="F74" s="7">
        <v>0.0</v>
      </c>
      <c r="G74" s="7"/>
      <c r="H74" s="7">
        <f t="shared" si="7"/>
        <v>0</v>
      </c>
      <c r="I74" s="7"/>
      <c r="J74" s="8">
        <f t="shared" si="8"/>
        <v>0</v>
      </c>
      <c r="K74" s="7"/>
      <c r="L74" s="7"/>
      <c r="M74" s="14"/>
    </row>
    <row r="75" ht="15.75" customHeight="1">
      <c r="C75" s="1"/>
      <c r="D75" s="1"/>
      <c r="I75" s="15" t="s">
        <v>11</v>
      </c>
      <c r="J75" s="11">
        <f>SUM(J69:J74)</f>
        <v>3306</v>
      </c>
      <c r="M75" s="16">
        <f>SUM(M69:M74)</f>
        <v>0</v>
      </c>
    </row>
    <row r="76" ht="15.75" customHeight="1">
      <c r="C76" s="1"/>
      <c r="D76" s="1"/>
    </row>
    <row r="77" ht="15.75" customHeight="1">
      <c r="C77" s="1"/>
      <c r="D77" s="1"/>
      <c r="H77" s="17" t="s">
        <v>18</v>
      </c>
      <c r="I77" s="18"/>
      <c r="J77" s="19">
        <f>J75-M75</f>
        <v>3306</v>
      </c>
    </row>
    <row r="78" ht="15.75" customHeight="1">
      <c r="C78" s="1"/>
      <c r="D78" s="1"/>
    </row>
    <row r="79" ht="15.75" customHeight="1">
      <c r="C79" s="1"/>
      <c r="D79" s="1"/>
      <c r="E79" s="12" t="s">
        <v>12</v>
      </c>
    </row>
    <row r="80" ht="15.75" customHeight="1">
      <c r="C80" s="1"/>
      <c r="D80" s="1"/>
      <c r="E80" s="13"/>
    </row>
    <row r="81" ht="15.75" customHeight="1">
      <c r="C81" s="1"/>
      <c r="D81" s="1"/>
    </row>
    <row r="82" ht="15.75" customHeight="1">
      <c r="C82" s="1"/>
      <c r="D82" s="1"/>
    </row>
    <row r="83" ht="15.75" customHeight="1">
      <c r="C83" s="1"/>
      <c r="D83" s="1"/>
    </row>
    <row r="84" ht="15.75" customHeight="1">
      <c r="C84" s="1"/>
      <c r="D84" s="1"/>
    </row>
    <row r="85" ht="15.75" customHeight="1">
      <c r="C85" s="1"/>
      <c r="D85" s="1"/>
    </row>
    <row r="86" ht="15.75" customHeight="1">
      <c r="C86" s="2" t="s">
        <v>0</v>
      </c>
      <c r="D86" s="2" t="s">
        <v>1</v>
      </c>
      <c r="E86" s="3" t="s">
        <v>2</v>
      </c>
      <c r="F86" s="3" t="s">
        <v>3</v>
      </c>
      <c r="G86" s="3" t="s">
        <v>4</v>
      </c>
      <c r="H86" s="3" t="s">
        <v>5</v>
      </c>
      <c r="I86" s="3"/>
      <c r="J86" s="3"/>
      <c r="K86" s="3" t="s">
        <v>14</v>
      </c>
      <c r="L86" s="3" t="s">
        <v>15</v>
      </c>
      <c r="M86" s="3" t="s">
        <v>16</v>
      </c>
    </row>
    <row r="87" ht="15.75" customHeight="1">
      <c r="C87" s="5">
        <v>45960.0</v>
      </c>
      <c r="D87" s="5">
        <v>45961.0</v>
      </c>
      <c r="E87" s="6" t="s">
        <v>21</v>
      </c>
      <c r="F87" s="7">
        <v>10848.2</v>
      </c>
      <c r="G87" s="7">
        <v>10861.5</v>
      </c>
      <c r="H87" s="7">
        <f t="shared" ref="H87:H90" si="9">G87-F87</f>
        <v>13.3</v>
      </c>
      <c r="I87" s="21">
        <v>360.0</v>
      </c>
      <c r="J87" s="8">
        <f t="shared" ref="J87:J90" si="10">H87*I87</f>
        <v>4788</v>
      </c>
      <c r="K87" s="7"/>
      <c r="L87" s="7"/>
      <c r="M87" s="14">
        <f t="shared" ref="M87:M92" si="11">K87*L87</f>
        <v>0</v>
      </c>
    </row>
    <row r="88" ht="15.75" customHeight="1">
      <c r="C88" s="22">
        <v>45962.0</v>
      </c>
      <c r="D88" s="22">
        <v>45991.0</v>
      </c>
      <c r="E88" s="6" t="s">
        <v>21</v>
      </c>
      <c r="F88" s="23">
        <v>10861.5</v>
      </c>
      <c r="G88" s="23">
        <v>11090.1</v>
      </c>
      <c r="H88" s="7">
        <f t="shared" si="9"/>
        <v>228.6</v>
      </c>
      <c r="I88" s="24">
        <v>360.0</v>
      </c>
      <c r="J88" s="8">
        <f t="shared" si="10"/>
        <v>82296</v>
      </c>
      <c r="K88" s="23">
        <v>4000.0</v>
      </c>
      <c r="L88" s="23">
        <v>5.54</v>
      </c>
      <c r="M88" s="14">
        <f t="shared" si="11"/>
        <v>22160</v>
      </c>
    </row>
    <row r="89" ht="15.75" customHeight="1">
      <c r="C89" s="22">
        <v>45992.0</v>
      </c>
      <c r="D89" s="22">
        <v>45993.0</v>
      </c>
      <c r="E89" s="6" t="s">
        <v>21</v>
      </c>
      <c r="F89" s="23">
        <v>11090.1</v>
      </c>
      <c r="G89" s="23">
        <v>11103.2</v>
      </c>
      <c r="H89" s="7">
        <f t="shared" si="9"/>
        <v>13.1</v>
      </c>
      <c r="I89" s="24">
        <v>360.0</v>
      </c>
      <c r="J89" s="8">
        <f t="shared" si="10"/>
        <v>4716</v>
      </c>
      <c r="K89" s="23">
        <v>50.0</v>
      </c>
      <c r="L89" s="23">
        <v>5.54</v>
      </c>
      <c r="M89" s="14">
        <f t="shared" si="11"/>
        <v>277</v>
      </c>
    </row>
    <row r="90" ht="15.75" customHeight="1">
      <c r="C90" s="5"/>
      <c r="D90" s="5"/>
      <c r="E90" s="9"/>
      <c r="F90" s="7">
        <v>0.0</v>
      </c>
      <c r="G90" s="7"/>
      <c r="H90" s="7">
        <f t="shared" si="9"/>
        <v>0</v>
      </c>
      <c r="I90" s="25"/>
      <c r="J90" s="8">
        <f t="shared" si="10"/>
        <v>0</v>
      </c>
      <c r="K90" s="7"/>
      <c r="L90" s="7"/>
      <c r="M90" s="14">
        <f t="shared" si="11"/>
        <v>0</v>
      </c>
    </row>
    <row r="91" ht="15.75" customHeight="1">
      <c r="C91" s="5"/>
      <c r="D91" s="5"/>
      <c r="E91" s="6" t="s">
        <v>22</v>
      </c>
      <c r="F91" s="7">
        <v>0.0</v>
      </c>
      <c r="G91" s="7"/>
      <c r="H91" s="24">
        <v>30000.0</v>
      </c>
      <c r="I91" s="25"/>
      <c r="J91" s="21">
        <f>H91</f>
        <v>30000</v>
      </c>
      <c r="K91" s="7"/>
      <c r="L91" s="7"/>
      <c r="M91" s="14">
        <f t="shared" si="11"/>
        <v>0</v>
      </c>
    </row>
    <row r="92" ht="15.75" customHeight="1">
      <c r="C92" s="5"/>
      <c r="D92" s="5"/>
      <c r="E92" s="9"/>
      <c r="F92" s="7">
        <v>0.0</v>
      </c>
      <c r="G92" s="7"/>
      <c r="H92" s="7">
        <f>G92-F92</f>
        <v>0</v>
      </c>
      <c r="I92" s="25"/>
      <c r="J92" s="21">
        <v>0.0</v>
      </c>
      <c r="K92" s="7"/>
      <c r="L92" s="7"/>
      <c r="M92" s="14">
        <f t="shared" si="11"/>
        <v>0</v>
      </c>
    </row>
    <row r="93" ht="15.75" customHeight="1">
      <c r="C93" s="1"/>
      <c r="D93" s="1"/>
      <c r="I93" s="15" t="s">
        <v>11</v>
      </c>
      <c r="J93" s="11">
        <f>SUM(J87+J88+J89-J91)</f>
        <v>61800</v>
      </c>
      <c r="M93" s="16">
        <f>SUM(M87:M92)</f>
        <v>22437</v>
      </c>
    </row>
    <row r="94" ht="15.75" customHeight="1">
      <c r="C94" s="1"/>
      <c r="D94" s="1"/>
    </row>
    <row r="95" ht="15.75" customHeight="1">
      <c r="C95" s="1"/>
      <c r="D95" s="1"/>
      <c r="H95" s="17" t="s">
        <v>18</v>
      </c>
      <c r="I95" s="18"/>
      <c r="J95" s="19">
        <f>J93-M93</f>
        <v>39363</v>
      </c>
    </row>
    <row r="96" ht="15.75" customHeight="1">
      <c r="C96" s="1"/>
      <c r="D96" s="1"/>
    </row>
    <row r="97" ht="15.75" customHeight="1">
      <c r="C97" s="1"/>
      <c r="D97" s="1"/>
      <c r="E97" s="12" t="s">
        <v>12</v>
      </c>
    </row>
    <row r="98" ht="15.75" customHeight="1">
      <c r="C98" s="1"/>
      <c r="D98" s="1"/>
      <c r="E98" s="13"/>
    </row>
    <row r="99" ht="15.75" customHeight="1">
      <c r="C99" s="1"/>
      <c r="D99" s="1"/>
    </row>
    <row r="100" ht="15.75" customHeight="1">
      <c r="C100" s="1"/>
      <c r="D100" s="1"/>
    </row>
    <row r="101" ht="15.75" customHeight="1">
      <c r="C101" s="1"/>
      <c r="D101" s="1"/>
    </row>
    <row r="102" ht="15.75" customHeight="1">
      <c r="C102" s="1"/>
      <c r="D102" s="1"/>
    </row>
    <row r="103" ht="15.75" customHeight="1">
      <c r="C103" s="1"/>
      <c r="D103" s="1"/>
    </row>
    <row r="104" ht="15.75" customHeight="1">
      <c r="C104" s="1"/>
      <c r="D104" s="1"/>
    </row>
    <row r="105" ht="15.75" customHeight="1">
      <c r="C105" s="1"/>
      <c r="D105" s="1"/>
    </row>
    <row r="106" ht="15.75" customHeight="1">
      <c r="C106" s="2" t="s">
        <v>0</v>
      </c>
      <c r="D106" s="2" t="s">
        <v>1</v>
      </c>
      <c r="E106" s="3" t="s">
        <v>2</v>
      </c>
      <c r="F106" s="3" t="s">
        <v>3</v>
      </c>
      <c r="G106" s="3" t="s">
        <v>4</v>
      </c>
      <c r="H106" s="3" t="s">
        <v>5</v>
      </c>
      <c r="I106" s="3"/>
      <c r="J106" s="3"/>
      <c r="K106" s="3" t="s">
        <v>14</v>
      </c>
      <c r="L106" s="3" t="s">
        <v>15</v>
      </c>
      <c r="M106" s="3" t="s">
        <v>16</v>
      </c>
    </row>
    <row r="107" ht="15.75" customHeight="1">
      <c r="C107" s="5">
        <v>45959.0</v>
      </c>
      <c r="D107" s="5">
        <v>45965.0</v>
      </c>
      <c r="E107" s="9" t="s">
        <v>23</v>
      </c>
      <c r="F107" s="7">
        <v>7007.5</v>
      </c>
      <c r="G107" s="7">
        <v>7046.3</v>
      </c>
      <c r="H107" s="7">
        <f t="shared" ref="H107:H112" si="12">G107-F107</f>
        <v>38.8</v>
      </c>
      <c r="I107" s="8">
        <v>380.0</v>
      </c>
      <c r="J107" s="8">
        <f t="shared" ref="J107:J112" si="13">H107*I107</f>
        <v>14744</v>
      </c>
      <c r="K107" s="7"/>
      <c r="L107" s="7"/>
      <c r="M107" s="14">
        <f>K107*L107</f>
        <v>0</v>
      </c>
    </row>
    <row r="108" ht="15.75" customHeight="1">
      <c r="C108" s="5"/>
      <c r="D108" s="5"/>
      <c r="E108" s="9" t="s">
        <v>24</v>
      </c>
      <c r="F108" s="7">
        <v>0.0</v>
      </c>
      <c r="G108" s="7"/>
      <c r="H108" s="7">
        <f t="shared" si="12"/>
        <v>0</v>
      </c>
      <c r="I108" s="7"/>
      <c r="J108" s="8">
        <f t="shared" si="13"/>
        <v>0</v>
      </c>
      <c r="K108" s="7"/>
      <c r="L108" s="7"/>
      <c r="M108" s="14"/>
    </row>
    <row r="109" ht="15.75" customHeight="1">
      <c r="C109" s="5"/>
      <c r="D109" s="5"/>
      <c r="E109" s="9"/>
      <c r="F109" s="7">
        <v>0.0</v>
      </c>
      <c r="G109" s="7"/>
      <c r="H109" s="7">
        <f t="shared" si="12"/>
        <v>0</v>
      </c>
      <c r="I109" s="7"/>
      <c r="J109" s="8">
        <f t="shared" si="13"/>
        <v>0</v>
      </c>
      <c r="K109" s="7"/>
      <c r="L109" s="7"/>
      <c r="M109" s="14"/>
    </row>
    <row r="110" ht="15.75" customHeight="1">
      <c r="C110" s="5"/>
      <c r="D110" s="5"/>
      <c r="E110" s="9"/>
      <c r="F110" s="7">
        <v>0.0</v>
      </c>
      <c r="G110" s="7"/>
      <c r="H110" s="7">
        <f t="shared" si="12"/>
        <v>0</v>
      </c>
      <c r="I110" s="7"/>
      <c r="J110" s="8">
        <f t="shared" si="13"/>
        <v>0</v>
      </c>
      <c r="K110" s="7"/>
      <c r="L110" s="7"/>
      <c r="M110" s="14"/>
    </row>
    <row r="111" ht="15.75" customHeight="1">
      <c r="C111" s="5"/>
      <c r="D111" s="5"/>
      <c r="E111" s="9"/>
      <c r="F111" s="7">
        <v>0.0</v>
      </c>
      <c r="G111" s="7"/>
      <c r="H111" s="7">
        <f t="shared" si="12"/>
        <v>0</v>
      </c>
      <c r="I111" s="7"/>
      <c r="J111" s="8">
        <f t="shared" si="13"/>
        <v>0</v>
      </c>
      <c r="K111" s="7"/>
      <c r="L111" s="7"/>
      <c r="M111" s="14"/>
    </row>
    <row r="112" ht="15.75" customHeight="1">
      <c r="C112" s="5"/>
      <c r="D112" s="5"/>
      <c r="E112" s="9"/>
      <c r="F112" s="7">
        <v>0.0</v>
      </c>
      <c r="G112" s="7"/>
      <c r="H112" s="7">
        <f t="shared" si="12"/>
        <v>0</v>
      </c>
      <c r="I112" s="7"/>
      <c r="J112" s="8">
        <f t="shared" si="13"/>
        <v>0</v>
      </c>
      <c r="K112" s="7"/>
      <c r="L112" s="7"/>
      <c r="M112" s="14"/>
    </row>
    <row r="113" ht="15.75" customHeight="1">
      <c r="C113" s="1"/>
      <c r="D113" s="1"/>
      <c r="I113" s="15" t="s">
        <v>11</v>
      </c>
      <c r="J113" s="11">
        <f>SUM(J107:J112)</f>
        <v>14744</v>
      </c>
      <c r="M113" s="16">
        <f>SUM(M107:M112)</f>
        <v>0</v>
      </c>
    </row>
    <row r="114" ht="15.75" customHeight="1">
      <c r="C114" s="1"/>
      <c r="D114" s="1"/>
    </row>
    <row r="115" ht="15.75" customHeight="1">
      <c r="C115" s="1"/>
      <c r="D115" s="1"/>
      <c r="H115" s="17" t="s">
        <v>18</v>
      </c>
      <c r="I115" s="18"/>
      <c r="J115" s="19">
        <f>J113-M113</f>
        <v>14744</v>
      </c>
    </row>
    <row r="116" ht="15.75" customHeight="1">
      <c r="C116" s="1"/>
      <c r="D116" s="1"/>
    </row>
    <row r="117" ht="15.75" customHeight="1">
      <c r="C117" s="1"/>
      <c r="D117" s="1"/>
      <c r="E117" s="12" t="s">
        <v>12</v>
      </c>
    </row>
    <row r="118" ht="15.75" customHeight="1">
      <c r="C118" s="1"/>
      <c r="D118" s="1"/>
      <c r="E118" s="13"/>
    </row>
    <row r="119" ht="15.75" customHeight="1">
      <c r="C119" s="1"/>
      <c r="D119" s="1"/>
    </row>
    <row r="120" ht="15.75" customHeight="1">
      <c r="C120" s="1"/>
      <c r="D120" s="1"/>
    </row>
    <row r="121" ht="15.75" customHeight="1">
      <c r="C121" s="1"/>
      <c r="D121" s="1"/>
    </row>
    <row r="122" ht="15.75" customHeight="1">
      <c r="C122" s="1"/>
      <c r="D122" s="1"/>
    </row>
    <row r="123" ht="15.75" customHeight="1">
      <c r="C123" s="1"/>
      <c r="D123" s="1"/>
    </row>
    <row r="124" ht="15.75" customHeight="1">
      <c r="C124" s="1"/>
      <c r="D124" s="1"/>
    </row>
    <row r="125" ht="15.75" customHeight="1">
      <c r="C125" s="1"/>
      <c r="D125" s="1"/>
    </row>
    <row r="126" ht="15.75" customHeight="1">
      <c r="C126" s="1"/>
      <c r="D126" s="1"/>
    </row>
    <row r="127" ht="15.75" customHeight="1">
      <c r="C127" s="2" t="s">
        <v>0</v>
      </c>
      <c r="D127" s="2" t="s">
        <v>1</v>
      </c>
      <c r="E127" s="3" t="s">
        <v>2</v>
      </c>
      <c r="F127" s="3" t="s">
        <v>3</v>
      </c>
      <c r="G127" s="3" t="s">
        <v>4</v>
      </c>
      <c r="H127" s="3" t="s">
        <v>5</v>
      </c>
      <c r="I127" s="3"/>
      <c r="J127" s="3"/>
      <c r="K127" s="3" t="s">
        <v>14</v>
      </c>
      <c r="L127" s="3" t="s">
        <v>15</v>
      </c>
      <c r="M127" s="3" t="s">
        <v>16</v>
      </c>
    </row>
    <row r="128" ht="15.75" customHeight="1">
      <c r="C128" s="5">
        <v>45968.0</v>
      </c>
      <c r="D128" s="5">
        <v>45968.0</v>
      </c>
      <c r="E128" s="9" t="s">
        <v>25</v>
      </c>
      <c r="F128" s="7">
        <v>7293.0</v>
      </c>
      <c r="G128" s="7">
        <v>7296.0</v>
      </c>
      <c r="H128" s="7">
        <f t="shared" ref="H128:H133" si="14">G128-F128</f>
        <v>3</v>
      </c>
      <c r="I128" s="8">
        <v>400.0</v>
      </c>
      <c r="J128" s="8">
        <f t="shared" ref="J128:J133" si="15">H128*I128</f>
        <v>1200</v>
      </c>
      <c r="K128" s="7"/>
      <c r="L128" s="7"/>
      <c r="M128" s="14">
        <f>K128*L128</f>
        <v>0</v>
      </c>
    </row>
    <row r="129" ht="15.75" customHeight="1">
      <c r="C129" s="5"/>
      <c r="D129" s="5"/>
      <c r="E129" s="9" t="s">
        <v>26</v>
      </c>
      <c r="F129" s="7">
        <v>0.0</v>
      </c>
      <c r="G129" s="7"/>
      <c r="H129" s="7">
        <f t="shared" si="14"/>
        <v>0</v>
      </c>
      <c r="I129" s="7"/>
      <c r="J129" s="8">
        <f t="shared" si="15"/>
        <v>0</v>
      </c>
      <c r="K129" s="7"/>
      <c r="L129" s="7"/>
      <c r="M129" s="14"/>
    </row>
    <row r="130" ht="15.75" customHeight="1">
      <c r="C130" s="5"/>
      <c r="D130" s="5"/>
      <c r="E130" s="9"/>
      <c r="F130" s="7">
        <v>0.0</v>
      </c>
      <c r="G130" s="7"/>
      <c r="H130" s="7">
        <f t="shared" si="14"/>
        <v>0</v>
      </c>
      <c r="I130" s="7"/>
      <c r="J130" s="8">
        <f t="shared" si="15"/>
        <v>0</v>
      </c>
      <c r="K130" s="7"/>
      <c r="L130" s="7"/>
      <c r="M130" s="14"/>
    </row>
    <row r="131" ht="15.75" customHeight="1">
      <c r="C131" s="5"/>
      <c r="D131" s="5"/>
      <c r="E131" s="9"/>
      <c r="F131" s="7">
        <v>0.0</v>
      </c>
      <c r="G131" s="7"/>
      <c r="H131" s="7">
        <f t="shared" si="14"/>
        <v>0</v>
      </c>
      <c r="I131" s="7"/>
      <c r="J131" s="8">
        <f t="shared" si="15"/>
        <v>0</v>
      </c>
      <c r="K131" s="7"/>
      <c r="L131" s="7"/>
      <c r="M131" s="14"/>
    </row>
    <row r="132" ht="15.75" customHeight="1">
      <c r="C132" s="5"/>
      <c r="D132" s="5"/>
      <c r="E132" s="9"/>
      <c r="F132" s="7">
        <v>0.0</v>
      </c>
      <c r="G132" s="7"/>
      <c r="H132" s="7">
        <f t="shared" si="14"/>
        <v>0</v>
      </c>
      <c r="I132" s="7"/>
      <c r="J132" s="8">
        <f t="shared" si="15"/>
        <v>0</v>
      </c>
      <c r="K132" s="7"/>
      <c r="L132" s="7"/>
      <c r="M132" s="14"/>
    </row>
    <row r="133" ht="15.75" customHeight="1">
      <c r="C133" s="5"/>
      <c r="D133" s="5"/>
      <c r="E133" s="9"/>
      <c r="F133" s="7">
        <v>0.0</v>
      </c>
      <c r="G133" s="7"/>
      <c r="H133" s="7">
        <f t="shared" si="14"/>
        <v>0</v>
      </c>
      <c r="I133" s="7"/>
      <c r="J133" s="8">
        <f t="shared" si="15"/>
        <v>0</v>
      </c>
      <c r="K133" s="7"/>
      <c r="L133" s="7"/>
      <c r="M133" s="14"/>
    </row>
    <row r="134" ht="15.75" customHeight="1">
      <c r="C134" s="1"/>
      <c r="D134" s="1"/>
      <c r="I134" s="15" t="s">
        <v>11</v>
      </c>
      <c r="J134" s="11">
        <f>SUM(J128:J133)</f>
        <v>1200</v>
      </c>
      <c r="M134" s="16">
        <f>SUM(M128:M133)</f>
        <v>0</v>
      </c>
    </row>
    <row r="135" ht="15.75" customHeight="1">
      <c r="C135" s="1"/>
      <c r="D135" s="1"/>
    </row>
    <row r="136" ht="15.75" customHeight="1">
      <c r="C136" s="1"/>
      <c r="D136" s="1"/>
      <c r="H136" s="17" t="s">
        <v>18</v>
      </c>
      <c r="I136" s="18"/>
      <c r="J136" s="19">
        <f>J134-M134</f>
        <v>1200</v>
      </c>
    </row>
    <row r="137" ht="15.75" customHeight="1">
      <c r="C137" s="1"/>
      <c r="D137" s="1"/>
    </row>
    <row r="138" ht="15.75" customHeight="1">
      <c r="C138" s="1"/>
      <c r="D138" s="1"/>
      <c r="E138" s="20" t="s">
        <v>12</v>
      </c>
    </row>
    <row r="139" ht="15.75" customHeight="1">
      <c r="C139" s="1"/>
      <c r="D139" s="1"/>
      <c r="E139" s="13"/>
    </row>
    <row r="140" ht="15.75" customHeight="1">
      <c r="C140" s="1"/>
      <c r="D140" s="1"/>
    </row>
    <row r="141" ht="15.75" customHeight="1">
      <c r="C141" s="1"/>
      <c r="D141" s="1"/>
    </row>
    <row r="142" ht="15.75" customHeight="1">
      <c r="C142" s="1"/>
      <c r="D142" s="1"/>
    </row>
    <row r="143" ht="15.75" customHeight="1">
      <c r="A143" s="26" t="s">
        <v>27</v>
      </c>
      <c r="C143" s="1"/>
      <c r="D143" s="1"/>
    </row>
    <row r="144" ht="15.75" customHeight="1">
      <c r="C144" s="1"/>
      <c r="D144" s="1"/>
    </row>
    <row r="145" ht="15.75" customHeight="1">
      <c r="C145" s="2" t="s">
        <v>0</v>
      </c>
      <c r="D145" s="2" t="s">
        <v>1</v>
      </c>
      <c r="E145" s="3" t="s">
        <v>2</v>
      </c>
      <c r="F145" s="3" t="s">
        <v>3</v>
      </c>
      <c r="G145" s="3" t="s">
        <v>4</v>
      </c>
      <c r="H145" s="3" t="s">
        <v>5</v>
      </c>
      <c r="I145" s="3"/>
      <c r="J145" s="3"/>
      <c r="K145" s="3" t="s">
        <v>14</v>
      </c>
      <c r="L145" s="3" t="s">
        <v>15</v>
      </c>
      <c r="M145" s="3" t="s">
        <v>16</v>
      </c>
    </row>
    <row r="146" ht="15.75" customHeight="1">
      <c r="C146" s="22">
        <v>45971.0</v>
      </c>
      <c r="D146" s="22">
        <v>45982.0</v>
      </c>
      <c r="E146" s="6" t="s">
        <v>28</v>
      </c>
      <c r="F146" s="23">
        <v>7301.7</v>
      </c>
      <c r="G146" s="23">
        <v>7397.0</v>
      </c>
      <c r="H146" s="7">
        <f t="shared" ref="H146:H151" si="16">G146-F146</f>
        <v>95.3</v>
      </c>
      <c r="I146" s="21">
        <v>400.0</v>
      </c>
      <c r="J146" s="8">
        <f t="shared" ref="J146:J151" si="17">H146*I146</f>
        <v>38120</v>
      </c>
      <c r="K146" s="23">
        <v>1185.0</v>
      </c>
      <c r="L146" s="23">
        <v>5.58</v>
      </c>
      <c r="M146" s="14">
        <f>K146*L146</f>
        <v>6612.3</v>
      </c>
    </row>
    <row r="147" ht="15.75" customHeight="1">
      <c r="C147" s="5"/>
      <c r="D147" s="5"/>
      <c r="E147" s="6" t="s">
        <v>26</v>
      </c>
      <c r="F147" s="7">
        <v>0.0</v>
      </c>
      <c r="G147" s="7"/>
      <c r="H147" s="7">
        <f t="shared" si="16"/>
        <v>0</v>
      </c>
      <c r="I147" s="7"/>
      <c r="J147" s="8">
        <f t="shared" si="17"/>
        <v>0</v>
      </c>
      <c r="K147" s="7"/>
      <c r="L147" s="7"/>
      <c r="M147" s="14"/>
    </row>
    <row r="148" ht="15.75" customHeight="1">
      <c r="C148" s="5"/>
      <c r="D148" s="5"/>
      <c r="E148" s="9"/>
      <c r="F148" s="7">
        <v>0.0</v>
      </c>
      <c r="G148" s="7"/>
      <c r="H148" s="7">
        <f t="shared" si="16"/>
        <v>0</v>
      </c>
      <c r="I148" s="7"/>
      <c r="J148" s="8">
        <f t="shared" si="17"/>
        <v>0</v>
      </c>
      <c r="K148" s="7"/>
      <c r="L148" s="7"/>
      <c r="M148" s="14"/>
    </row>
    <row r="149" ht="15.75" customHeight="1">
      <c r="C149" s="5"/>
      <c r="D149" s="5"/>
      <c r="E149" s="9"/>
      <c r="F149" s="7">
        <v>0.0</v>
      </c>
      <c r="G149" s="7"/>
      <c r="H149" s="7">
        <f t="shared" si="16"/>
        <v>0</v>
      </c>
      <c r="I149" s="7"/>
      <c r="J149" s="8">
        <f t="shared" si="17"/>
        <v>0</v>
      </c>
      <c r="K149" s="7"/>
      <c r="L149" s="7"/>
      <c r="M149" s="14"/>
    </row>
    <row r="150" ht="15.75" customHeight="1">
      <c r="C150" s="5"/>
      <c r="D150" s="5"/>
      <c r="E150" s="9"/>
      <c r="F150" s="7">
        <v>0.0</v>
      </c>
      <c r="G150" s="7"/>
      <c r="H150" s="7">
        <f t="shared" si="16"/>
        <v>0</v>
      </c>
      <c r="I150" s="7"/>
      <c r="J150" s="8">
        <f t="shared" si="17"/>
        <v>0</v>
      </c>
      <c r="K150" s="7"/>
      <c r="L150" s="7"/>
      <c r="M150" s="14"/>
    </row>
    <row r="151" ht="15.75" customHeight="1">
      <c r="C151" s="5"/>
      <c r="D151" s="5"/>
      <c r="E151" s="9"/>
      <c r="F151" s="7">
        <v>0.0</v>
      </c>
      <c r="G151" s="7"/>
      <c r="H151" s="7">
        <f t="shared" si="16"/>
        <v>0</v>
      </c>
      <c r="I151" s="7"/>
      <c r="J151" s="8">
        <f t="shared" si="17"/>
        <v>0</v>
      </c>
      <c r="K151" s="7"/>
      <c r="L151" s="7"/>
      <c r="M151" s="14"/>
    </row>
    <row r="152" ht="15.75" customHeight="1">
      <c r="C152" s="1"/>
      <c r="D152" s="1"/>
      <c r="I152" s="15" t="s">
        <v>11</v>
      </c>
      <c r="J152" s="11">
        <f>SUM(J146:J151)</f>
        <v>38120</v>
      </c>
      <c r="M152" s="16">
        <f>SUM(M146:M151)</f>
        <v>6612.3</v>
      </c>
    </row>
    <row r="153" ht="15.75" customHeight="1">
      <c r="C153" s="1"/>
      <c r="D153" s="1"/>
    </row>
    <row r="154" ht="15.75" customHeight="1">
      <c r="C154" s="1"/>
      <c r="D154" s="1"/>
      <c r="G154" s="27"/>
      <c r="H154" s="28" t="s">
        <v>18</v>
      </c>
      <c r="I154" s="29"/>
      <c r="J154" s="19">
        <f>J152-M152</f>
        <v>31507.7</v>
      </c>
    </row>
    <row r="155" ht="15.75" customHeight="1">
      <c r="C155" s="1"/>
      <c r="D155" s="1"/>
    </row>
    <row r="156" ht="15.75" customHeight="1">
      <c r="C156" s="1"/>
      <c r="D156" s="1"/>
      <c r="E156" s="20" t="s">
        <v>12</v>
      </c>
    </row>
    <row r="157" ht="15.75" customHeight="1">
      <c r="C157" s="1"/>
      <c r="D157" s="1"/>
      <c r="E157" s="13"/>
    </row>
    <row r="158" ht="15.75" customHeight="1">
      <c r="C158" s="1"/>
      <c r="D158" s="1"/>
    </row>
    <row r="159" ht="15.75" customHeight="1">
      <c r="C159" s="1"/>
      <c r="D159" s="1"/>
    </row>
    <row r="160" ht="15.75" customHeight="1">
      <c r="C160" s="1"/>
      <c r="D160" s="1"/>
    </row>
    <row r="161" ht="15.75" customHeight="1">
      <c r="A161" s="26" t="s">
        <v>27</v>
      </c>
      <c r="C161" s="1"/>
      <c r="D161" s="1"/>
    </row>
    <row r="162" ht="15.75" customHeight="1">
      <c r="C162" s="1"/>
      <c r="D162" s="1"/>
    </row>
    <row r="163" ht="15.75" customHeight="1">
      <c r="C163" s="2" t="s">
        <v>0</v>
      </c>
      <c r="D163" s="2" t="s">
        <v>1</v>
      </c>
      <c r="E163" s="3" t="s">
        <v>2</v>
      </c>
      <c r="F163" s="3" t="s">
        <v>3</v>
      </c>
      <c r="G163" s="3" t="s">
        <v>4</v>
      </c>
      <c r="H163" s="3" t="s">
        <v>5</v>
      </c>
      <c r="I163" s="3"/>
      <c r="J163" s="3"/>
      <c r="K163" s="3" t="s">
        <v>14</v>
      </c>
      <c r="L163" s="3" t="s">
        <v>15</v>
      </c>
      <c r="M163" s="3" t="s">
        <v>16</v>
      </c>
    </row>
    <row r="164" ht="15.75" customHeight="1">
      <c r="C164" s="22">
        <v>45996.0</v>
      </c>
      <c r="D164" s="22">
        <v>46009.0</v>
      </c>
      <c r="E164" s="6" t="s">
        <v>29</v>
      </c>
      <c r="F164" s="23">
        <v>7282.8</v>
      </c>
      <c r="G164" s="23">
        <v>7360.5</v>
      </c>
      <c r="H164" s="7">
        <f t="shared" ref="H164:H169" si="18">G164-F164</f>
        <v>77.7</v>
      </c>
      <c r="I164" s="21">
        <v>380.0</v>
      </c>
      <c r="J164" s="8">
        <f t="shared" ref="J164:J169" si="19">H164*I164</f>
        <v>29526</v>
      </c>
      <c r="K164" s="23"/>
      <c r="L164" s="23"/>
      <c r="M164" s="14">
        <f>K164*L164</f>
        <v>0</v>
      </c>
    </row>
    <row r="165" ht="15.75" customHeight="1">
      <c r="C165" s="5"/>
      <c r="D165" s="5"/>
      <c r="E165" s="6" t="s">
        <v>30</v>
      </c>
      <c r="F165" s="7">
        <v>0.0</v>
      </c>
      <c r="G165" s="7"/>
      <c r="H165" s="7">
        <f t="shared" si="18"/>
        <v>0</v>
      </c>
      <c r="I165" s="7"/>
      <c r="J165" s="8">
        <f t="shared" si="19"/>
        <v>0</v>
      </c>
      <c r="K165" s="7"/>
      <c r="L165" s="7"/>
      <c r="M165" s="14"/>
    </row>
    <row r="166" ht="15.75" customHeight="1">
      <c r="C166" s="5"/>
      <c r="D166" s="5"/>
      <c r="E166" s="9"/>
      <c r="F166" s="7">
        <v>0.0</v>
      </c>
      <c r="G166" s="7"/>
      <c r="H166" s="7">
        <f t="shared" si="18"/>
        <v>0</v>
      </c>
      <c r="I166" s="7"/>
      <c r="J166" s="8">
        <f t="shared" si="19"/>
        <v>0</v>
      </c>
      <c r="K166" s="7"/>
      <c r="L166" s="7"/>
      <c r="M166" s="14"/>
    </row>
    <row r="167" ht="15.75" customHeight="1">
      <c r="C167" s="5"/>
      <c r="D167" s="5"/>
      <c r="E167" s="9"/>
      <c r="F167" s="7">
        <v>0.0</v>
      </c>
      <c r="G167" s="7"/>
      <c r="H167" s="7">
        <f t="shared" si="18"/>
        <v>0</v>
      </c>
      <c r="I167" s="7"/>
      <c r="J167" s="8">
        <f t="shared" si="19"/>
        <v>0</v>
      </c>
      <c r="K167" s="7"/>
      <c r="L167" s="7"/>
      <c r="M167" s="14"/>
    </row>
    <row r="168" ht="15.75" customHeight="1">
      <c r="C168" s="5"/>
      <c r="D168" s="5"/>
      <c r="E168" s="9"/>
      <c r="F168" s="7">
        <v>0.0</v>
      </c>
      <c r="G168" s="7"/>
      <c r="H168" s="7">
        <f t="shared" si="18"/>
        <v>0</v>
      </c>
      <c r="I168" s="7"/>
      <c r="J168" s="8">
        <f t="shared" si="19"/>
        <v>0</v>
      </c>
      <c r="K168" s="7"/>
      <c r="L168" s="7"/>
      <c r="M168" s="14"/>
    </row>
    <row r="169" ht="15.75" customHeight="1">
      <c r="C169" s="5"/>
      <c r="D169" s="5"/>
      <c r="E169" s="9"/>
      <c r="F169" s="7">
        <v>0.0</v>
      </c>
      <c r="G169" s="7"/>
      <c r="H169" s="7">
        <f t="shared" si="18"/>
        <v>0</v>
      </c>
      <c r="I169" s="7"/>
      <c r="J169" s="8">
        <f t="shared" si="19"/>
        <v>0</v>
      </c>
      <c r="K169" s="7"/>
      <c r="L169" s="7"/>
      <c r="M169" s="14"/>
    </row>
    <row r="170" ht="15.75" customHeight="1">
      <c r="C170" s="1"/>
      <c r="D170" s="1"/>
      <c r="I170" s="15" t="s">
        <v>11</v>
      </c>
      <c r="J170" s="11">
        <f>SUM(J164:J169)</f>
        <v>29526</v>
      </c>
      <c r="M170" s="16">
        <f>SUM(M164:M169)</f>
        <v>0</v>
      </c>
    </row>
    <row r="171" ht="15.75" customHeight="1">
      <c r="C171" s="1"/>
      <c r="D171" s="1"/>
    </row>
    <row r="172" ht="15.75" customHeight="1">
      <c r="C172" s="1"/>
      <c r="D172" s="1"/>
      <c r="G172" s="30"/>
      <c r="H172" s="28" t="s">
        <v>18</v>
      </c>
      <c r="I172" s="29"/>
      <c r="J172" s="19">
        <f>J170-M170</f>
        <v>29526</v>
      </c>
    </row>
    <row r="173" ht="15.75" customHeight="1">
      <c r="C173" s="1"/>
      <c r="D173" s="1"/>
    </row>
    <row r="174" ht="15.75" customHeight="1">
      <c r="C174" s="1"/>
      <c r="D174" s="1"/>
      <c r="E174" s="20" t="s">
        <v>12</v>
      </c>
    </row>
    <row r="175" ht="15.75" customHeight="1">
      <c r="C175" s="1"/>
      <c r="D175" s="1"/>
      <c r="E175" s="13"/>
    </row>
    <row r="176" ht="15.75" customHeight="1">
      <c r="C176" s="1"/>
      <c r="D176" s="1"/>
    </row>
    <row r="177" ht="15.75" customHeight="1">
      <c r="C177" s="1"/>
      <c r="D177" s="1"/>
    </row>
    <row r="178" ht="15.75" customHeight="1">
      <c r="C178" s="1"/>
      <c r="D178" s="1"/>
    </row>
    <row r="179" ht="15.75" customHeight="1">
      <c r="C179" s="2" t="s">
        <v>0</v>
      </c>
      <c r="D179" s="2" t="s">
        <v>1</v>
      </c>
      <c r="E179" s="3" t="s">
        <v>2</v>
      </c>
      <c r="F179" s="3" t="s">
        <v>3</v>
      </c>
      <c r="G179" s="3" t="s">
        <v>4</v>
      </c>
      <c r="H179" s="3" t="s">
        <v>5</v>
      </c>
      <c r="I179" s="3"/>
      <c r="J179" s="3"/>
      <c r="K179" s="3" t="s">
        <v>14</v>
      </c>
      <c r="L179" s="3" t="s">
        <v>15</v>
      </c>
      <c r="M179" s="3" t="s">
        <v>16</v>
      </c>
    </row>
    <row r="180" ht="15.75" customHeight="1">
      <c r="C180" s="22">
        <v>46009.0</v>
      </c>
      <c r="D180" s="22">
        <v>46022.0</v>
      </c>
      <c r="E180" s="6" t="s">
        <v>31</v>
      </c>
      <c r="F180" s="23">
        <v>7360.5</v>
      </c>
      <c r="G180" s="23">
        <v>7452.3</v>
      </c>
      <c r="H180" s="7">
        <f t="shared" ref="H180:H185" si="20">G180-F180</f>
        <v>91.8</v>
      </c>
      <c r="I180" s="21">
        <v>360.0</v>
      </c>
      <c r="J180" s="8">
        <f t="shared" ref="J180:J182" si="21">H180*I180</f>
        <v>33048</v>
      </c>
      <c r="K180" s="23"/>
      <c r="L180" s="23"/>
      <c r="M180" s="14">
        <f>K180*L180</f>
        <v>0</v>
      </c>
    </row>
    <row r="181" ht="15.75" customHeight="1">
      <c r="C181" s="22">
        <v>46024.0</v>
      </c>
      <c r="D181" s="22">
        <v>46039.0</v>
      </c>
      <c r="E181" s="6" t="s">
        <v>30</v>
      </c>
      <c r="F181" s="23">
        <v>7452.3</v>
      </c>
      <c r="G181" s="23">
        <v>7541.6</v>
      </c>
      <c r="H181" s="7">
        <f t="shared" si="20"/>
        <v>89.3</v>
      </c>
      <c r="I181" s="24">
        <v>360.0</v>
      </c>
      <c r="J181" s="8">
        <f t="shared" si="21"/>
        <v>32148</v>
      </c>
      <c r="K181" s="7"/>
      <c r="L181" s="7"/>
      <c r="M181" s="14"/>
    </row>
    <row r="182" ht="15.75" customHeight="1">
      <c r="C182" s="5"/>
      <c r="D182" s="5"/>
      <c r="E182" s="9"/>
      <c r="F182" s="7">
        <v>0.0</v>
      </c>
      <c r="G182" s="7"/>
      <c r="H182" s="7">
        <f t="shared" si="20"/>
        <v>0</v>
      </c>
      <c r="I182" s="7"/>
      <c r="J182" s="8">
        <f t="shared" si="21"/>
        <v>0</v>
      </c>
      <c r="K182" s="7"/>
      <c r="L182" s="7"/>
      <c r="M182" s="14"/>
    </row>
    <row r="183" ht="15.75" customHeight="1">
      <c r="C183" s="5"/>
      <c r="D183" s="5"/>
      <c r="E183" s="6" t="s">
        <v>32</v>
      </c>
      <c r="F183" s="7">
        <v>0.0</v>
      </c>
      <c r="G183" s="7"/>
      <c r="H183" s="7">
        <f t="shared" si="20"/>
        <v>0</v>
      </c>
      <c r="I183" s="7"/>
      <c r="J183" s="21">
        <v>50000.0</v>
      </c>
      <c r="K183" s="7"/>
      <c r="L183" s="7"/>
      <c r="M183" s="14"/>
    </row>
    <row r="184" ht="15.75" customHeight="1">
      <c r="C184" s="5"/>
      <c r="D184" s="5"/>
      <c r="E184" s="9"/>
      <c r="F184" s="7">
        <v>0.0</v>
      </c>
      <c r="G184" s="7"/>
      <c r="H184" s="7">
        <f t="shared" si="20"/>
        <v>0</v>
      </c>
      <c r="I184" s="7"/>
      <c r="J184" s="8">
        <f t="shared" ref="J184:J185" si="22">H184*I184</f>
        <v>0</v>
      </c>
      <c r="K184" s="7"/>
      <c r="L184" s="7"/>
      <c r="M184" s="14"/>
    </row>
    <row r="185" ht="15.75" customHeight="1">
      <c r="C185" s="5"/>
      <c r="D185" s="5"/>
      <c r="E185" s="9"/>
      <c r="F185" s="7">
        <v>0.0</v>
      </c>
      <c r="G185" s="7"/>
      <c r="H185" s="7">
        <f t="shared" si="20"/>
        <v>0</v>
      </c>
      <c r="I185" s="7"/>
      <c r="J185" s="8">
        <f t="shared" si="22"/>
        <v>0</v>
      </c>
      <c r="K185" s="7"/>
      <c r="L185" s="7"/>
      <c r="M185" s="14"/>
    </row>
    <row r="186" ht="15.75" customHeight="1">
      <c r="C186" s="1"/>
      <c r="D186" s="1"/>
      <c r="I186" s="15" t="s">
        <v>11</v>
      </c>
      <c r="J186" s="11">
        <f>SUM(J180+J181-J183)</f>
        <v>15196</v>
      </c>
      <c r="M186" s="16">
        <f>SUM(M180:M185)</f>
        <v>0</v>
      </c>
    </row>
    <row r="187" ht="15.75" customHeight="1">
      <c r="C187" s="1"/>
      <c r="D187" s="1"/>
    </row>
    <row r="188" ht="15.75" customHeight="1">
      <c r="C188" s="1"/>
      <c r="D188" s="1"/>
      <c r="G188" s="30"/>
      <c r="H188" s="28" t="s">
        <v>18</v>
      </c>
      <c r="I188" s="29"/>
      <c r="J188" s="19">
        <f>J186-M186</f>
        <v>15196</v>
      </c>
    </row>
    <row r="189" ht="15.75" customHeight="1">
      <c r="C189" s="1"/>
      <c r="D189" s="1"/>
    </row>
    <row r="190" ht="15.75" customHeight="1">
      <c r="C190" s="1"/>
      <c r="D190" s="1"/>
      <c r="E190" s="20" t="s">
        <v>12</v>
      </c>
    </row>
    <row r="191" ht="15.75" customHeight="1">
      <c r="C191" s="1"/>
      <c r="D191" s="1"/>
      <c r="E191" s="13"/>
    </row>
    <row r="192" ht="15.75" customHeight="1">
      <c r="C192" s="1"/>
      <c r="D192" s="1"/>
    </row>
    <row r="193" ht="15.75" customHeight="1">
      <c r="C193" s="1"/>
      <c r="D193" s="1"/>
    </row>
    <row r="194" ht="15.75" customHeight="1">
      <c r="C194" s="1"/>
      <c r="D194" s="1"/>
    </row>
    <row r="195" ht="15.75" customHeight="1">
      <c r="C195" s="1"/>
      <c r="D195" s="1"/>
    </row>
    <row r="196" ht="15.75" customHeight="1">
      <c r="C196" s="1"/>
      <c r="D196" s="1"/>
    </row>
    <row r="197" ht="15.75" customHeight="1">
      <c r="C197" s="2" t="s">
        <v>0</v>
      </c>
      <c r="D197" s="2" t="s">
        <v>1</v>
      </c>
      <c r="E197" s="3" t="s">
        <v>2</v>
      </c>
      <c r="F197" s="3" t="s">
        <v>3</v>
      </c>
      <c r="G197" s="3" t="s">
        <v>4</v>
      </c>
      <c r="H197" s="3" t="s">
        <v>5</v>
      </c>
      <c r="I197" s="3"/>
      <c r="J197" s="3"/>
      <c r="K197" s="3" t="s">
        <v>14</v>
      </c>
      <c r="L197" s="3" t="s">
        <v>15</v>
      </c>
      <c r="M197" s="3" t="s">
        <v>16</v>
      </c>
    </row>
    <row r="198" ht="15.75" customHeight="1">
      <c r="C198" s="22">
        <v>46031.0</v>
      </c>
      <c r="D198" s="22">
        <v>46039.0</v>
      </c>
      <c r="E198" s="6" t="s">
        <v>33</v>
      </c>
      <c r="F198" s="23">
        <v>3991.6</v>
      </c>
      <c r="G198" s="23">
        <v>4069.2</v>
      </c>
      <c r="H198" s="7">
        <f t="shared" ref="H198:H199" si="23">G198-F198</f>
        <v>77.6</v>
      </c>
      <c r="I198" s="21">
        <v>450.0</v>
      </c>
      <c r="J198" s="8">
        <f t="shared" ref="J198:J199" si="24">H198*I198</f>
        <v>34920</v>
      </c>
      <c r="K198" s="23"/>
      <c r="L198" s="23"/>
      <c r="M198" s="14">
        <f>K198*L198</f>
        <v>0</v>
      </c>
    </row>
    <row r="199" ht="15.75" customHeight="1">
      <c r="C199" s="22"/>
      <c r="D199" s="22"/>
      <c r="E199" s="6" t="s">
        <v>34</v>
      </c>
      <c r="F199" s="23">
        <v>0.0</v>
      </c>
      <c r="G199" s="23"/>
      <c r="H199" s="7">
        <f t="shared" si="23"/>
        <v>0</v>
      </c>
      <c r="I199" s="24"/>
      <c r="J199" s="8">
        <f t="shared" si="24"/>
        <v>0</v>
      </c>
      <c r="K199" s="7"/>
      <c r="L199" s="7"/>
      <c r="M199" s="14"/>
    </row>
    <row r="200" ht="15.75" customHeight="1">
      <c r="C200" s="5"/>
      <c r="D200" s="5"/>
      <c r="E200" s="6" t="s">
        <v>35</v>
      </c>
      <c r="F200" s="7">
        <v>0.0</v>
      </c>
      <c r="G200" s="23">
        <v>2.0</v>
      </c>
      <c r="H200" s="23">
        <v>1500.0</v>
      </c>
      <c r="I200" s="25">
        <f>H200*G200</f>
        <v>3000</v>
      </c>
      <c r="J200" s="8">
        <f>H200*G200</f>
        <v>3000</v>
      </c>
      <c r="K200" s="7"/>
      <c r="L200" s="7"/>
      <c r="M200" s="14"/>
    </row>
    <row r="201" ht="15.75" customHeight="1">
      <c r="C201" s="5"/>
      <c r="D201" s="5"/>
      <c r="E201" s="6"/>
      <c r="F201" s="7">
        <v>0.0</v>
      </c>
      <c r="G201" s="7"/>
      <c r="H201" s="7">
        <f t="shared" ref="H201:H203" si="25">G201-F201</f>
        <v>0</v>
      </c>
      <c r="I201" s="7"/>
      <c r="J201" s="21">
        <v>0.0</v>
      </c>
      <c r="K201" s="7"/>
      <c r="L201" s="7"/>
      <c r="M201" s="14"/>
    </row>
    <row r="202" ht="15.75" customHeight="1">
      <c r="C202" s="5"/>
      <c r="D202" s="5"/>
      <c r="E202" s="9"/>
      <c r="F202" s="7">
        <v>0.0</v>
      </c>
      <c r="G202" s="7"/>
      <c r="H202" s="7">
        <f t="shared" si="25"/>
        <v>0</v>
      </c>
      <c r="I202" s="7"/>
      <c r="J202" s="8">
        <f t="shared" ref="J202:J203" si="26">H202*I202</f>
        <v>0</v>
      </c>
      <c r="K202" s="7"/>
      <c r="L202" s="7"/>
      <c r="M202" s="14"/>
    </row>
    <row r="203" ht="15.75" customHeight="1">
      <c r="C203" s="5"/>
      <c r="D203" s="5"/>
      <c r="E203" s="9"/>
      <c r="F203" s="7">
        <v>0.0</v>
      </c>
      <c r="G203" s="7"/>
      <c r="H203" s="7">
        <f t="shared" si="25"/>
        <v>0</v>
      </c>
      <c r="I203" s="7"/>
      <c r="J203" s="8">
        <f t="shared" si="26"/>
        <v>0</v>
      </c>
      <c r="K203" s="7"/>
      <c r="L203" s="7"/>
      <c r="M203" s="14"/>
    </row>
    <row r="204" ht="15.75" customHeight="1">
      <c r="C204" s="1"/>
      <c r="D204" s="1"/>
      <c r="I204" s="15" t="s">
        <v>11</v>
      </c>
      <c r="J204" s="11">
        <f>SUM(J198+J200)</f>
        <v>37920</v>
      </c>
      <c r="M204" s="16">
        <f>SUM(M198:M203)</f>
        <v>0</v>
      </c>
    </row>
    <row r="205" ht="15.75" customHeight="1">
      <c r="C205" s="1"/>
      <c r="D205" s="1"/>
    </row>
    <row r="206" ht="15.75" customHeight="1">
      <c r="C206" s="1"/>
      <c r="D206" s="1"/>
      <c r="G206" s="30"/>
      <c r="H206" s="28" t="s">
        <v>18</v>
      </c>
      <c r="I206" s="29"/>
      <c r="J206" s="19">
        <f>J204-M204</f>
        <v>37920</v>
      </c>
    </row>
    <row r="207" ht="15.75" customHeight="1">
      <c r="C207" s="1"/>
      <c r="D207" s="1"/>
    </row>
    <row r="208" ht="15.75" customHeight="1">
      <c r="C208" s="1"/>
      <c r="D208" s="1"/>
      <c r="E208" s="20" t="s">
        <v>12</v>
      </c>
    </row>
    <row r="209" ht="15.75" customHeight="1">
      <c r="C209" s="1"/>
      <c r="D209" s="1"/>
      <c r="E209" s="13"/>
    </row>
    <row r="210" ht="15.75" customHeight="1">
      <c r="C210" s="1"/>
      <c r="D210" s="1"/>
    </row>
    <row r="211" ht="15.75" customHeight="1">
      <c r="C211" s="1"/>
      <c r="D211" s="1"/>
    </row>
    <row r="212" ht="15.75" customHeight="1">
      <c r="C212" s="1"/>
      <c r="D212" s="1"/>
    </row>
    <row r="213" ht="15.75" customHeight="1">
      <c r="C213" s="1"/>
      <c r="D213" s="1"/>
    </row>
    <row r="214" ht="15.75" customHeight="1">
      <c r="A214" s="26" t="s">
        <v>27</v>
      </c>
      <c r="C214" s="1"/>
      <c r="D214" s="1"/>
    </row>
    <row r="215" ht="15.75" customHeight="1">
      <c r="C215" s="1"/>
      <c r="D215" s="1"/>
    </row>
    <row r="216" ht="15.75" customHeight="1">
      <c r="C216" s="2" t="s">
        <v>0</v>
      </c>
      <c r="D216" s="2" t="s">
        <v>1</v>
      </c>
      <c r="E216" s="3" t="s">
        <v>2</v>
      </c>
      <c r="F216" s="3" t="s">
        <v>3</v>
      </c>
      <c r="G216" s="3" t="s">
        <v>4</v>
      </c>
      <c r="H216" s="3" t="s">
        <v>5</v>
      </c>
      <c r="I216" s="3"/>
      <c r="J216" s="3"/>
      <c r="K216" s="3" t="s">
        <v>14</v>
      </c>
      <c r="L216" s="3" t="s">
        <v>15</v>
      </c>
      <c r="M216" s="3" t="s">
        <v>16</v>
      </c>
    </row>
    <row r="217" ht="15.75" customHeight="1">
      <c r="C217" s="22">
        <v>46062.0</v>
      </c>
      <c r="D217" s="22">
        <v>46062.0</v>
      </c>
      <c r="E217" s="6" t="s">
        <v>36</v>
      </c>
      <c r="F217" s="23">
        <v>7917.5</v>
      </c>
      <c r="G217" s="23">
        <v>7920.8</v>
      </c>
      <c r="H217" s="7">
        <f t="shared" ref="H217:H222" si="27">G217-F217</f>
        <v>3.3</v>
      </c>
      <c r="I217" s="21">
        <v>450.0</v>
      </c>
      <c r="J217" s="8">
        <f t="shared" ref="J217:J222" si="28">H217*I217</f>
        <v>1485</v>
      </c>
      <c r="K217" s="23"/>
      <c r="L217" s="23"/>
      <c r="M217" s="14">
        <f>K217*L217</f>
        <v>0</v>
      </c>
    </row>
    <row r="218" ht="15.75" customHeight="1">
      <c r="C218" s="5"/>
      <c r="D218" s="5"/>
      <c r="E218" s="6" t="s">
        <v>26</v>
      </c>
      <c r="F218" s="7">
        <v>0.0</v>
      </c>
      <c r="G218" s="7"/>
      <c r="H218" s="7">
        <f t="shared" si="27"/>
        <v>0</v>
      </c>
      <c r="I218" s="7"/>
      <c r="J218" s="8">
        <f t="shared" si="28"/>
        <v>0</v>
      </c>
      <c r="K218" s="7"/>
      <c r="L218" s="7"/>
      <c r="M218" s="14"/>
    </row>
    <row r="219" ht="15.75" customHeight="1">
      <c r="C219" s="5"/>
      <c r="D219" s="5"/>
      <c r="E219" s="9"/>
      <c r="F219" s="7">
        <v>0.0</v>
      </c>
      <c r="G219" s="7"/>
      <c r="H219" s="7">
        <f t="shared" si="27"/>
        <v>0</v>
      </c>
      <c r="I219" s="7"/>
      <c r="J219" s="8">
        <f t="shared" si="28"/>
        <v>0</v>
      </c>
      <c r="K219" s="7"/>
      <c r="L219" s="7"/>
      <c r="M219" s="14"/>
    </row>
    <row r="220" ht="15.75" customHeight="1">
      <c r="C220" s="5"/>
      <c r="D220" s="5"/>
      <c r="E220" s="9"/>
      <c r="F220" s="7">
        <v>0.0</v>
      </c>
      <c r="G220" s="7"/>
      <c r="H220" s="7">
        <f t="shared" si="27"/>
        <v>0</v>
      </c>
      <c r="I220" s="7"/>
      <c r="J220" s="8">
        <f t="shared" si="28"/>
        <v>0</v>
      </c>
      <c r="K220" s="7"/>
      <c r="L220" s="7"/>
      <c r="M220" s="14"/>
    </row>
    <row r="221" ht="15.75" customHeight="1">
      <c r="C221" s="5"/>
      <c r="D221" s="5"/>
      <c r="E221" s="9"/>
      <c r="F221" s="7">
        <v>0.0</v>
      </c>
      <c r="G221" s="7"/>
      <c r="H221" s="7">
        <f t="shared" si="27"/>
        <v>0</v>
      </c>
      <c r="I221" s="7"/>
      <c r="J221" s="8">
        <f t="shared" si="28"/>
        <v>0</v>
      </c>
      <c r="K221" s="7"/>
      <c r="L221" s="7"/>
      <c r="M221" s="14"/>
    </row>
    <row r="222" ht="15.75" customHeight="1">
      <c r="C222" s="5"/>
      <c r="D222" s="5"/>
      <c r="E222" s="9"/>
      <c r="F222" s="7">
        <v>0.0</v>
      </c>
      <c r="G222" s="7"/>
      <c r="H222" s="7">
        <f t="shared" si="27"/>
        <v>0</v>
      </c>
      <c r="I222" s="7"/>
      <c r="J222" s="8">
        <f t="shared" si="28"/>
        <v>0</v>
      </c>
      <c r="K222" s="7"/>
      <c r="L222" s="7"/>
      <c r="M222" s="14"/>
    </row>
    <row r="223" ht="15.75" customHeight="1">
      <c r="C223" s="1"/>
      <c r="D223" s="1"/>
      <c r="I223" s="15" t="s">
        <v>11</v>
      </c>
      <c r="J223" s="11">
        <f>SUM(J217:J222)</f>
        <v>1485</v>
      </c>
      <c r="M223" s="16">
        <f>SUM(M217:M222)</f>
        <v>0</v>
      </c>
    </row>
    <row r="224" ht="15.75" customHeight="1">
      <c r="C224" s="1"/>
      <c r="D224" s="1"/>
    </row>
    <row r="225" ht="15.75" customHeight="1">
      <c r="C225" s="1"/>
      <c r="D225" s="1"/>
      <c r="G225" s="27"/>
      <c r="H225" s="28" t="s">
        <v>18</v>
      </c>
      <c r="I225" s="29"/>
      <c r="J225" s="19">
        <f>J223-M223</f>
        <v>1485</v>
      </c>
    </row>
    <row r="226" ht="15.75" customHeight="1">
      <c r="C226" s="1"/>
      <c r="D226" s="1"/>
    </row>
    <row r="227" ht="15.75" customHeight="1">
      <c r="C227" s="1"/>
      <c r="D227" s="1"/>
      <c r="E227" s="20" t="s">
        <v>12</v>
      </c>
    </row>
    <row r="228" ht="15.75" customHeight="1">
      <c r="C228" s="1"/>
      <c r="D228" s="1"/>
      <c r="E228" s="13"/>
    </row>
    <row r="229" ht="15.75" customHeight="1">
      <c r="C229" s="1"/>
      <c r="D229" s="1"/>
    </row>
    <row r="230" ht="15.75" customHeight="1">
      <c r="C230" s="1"/>
      <c r="D230" s="1"/>
    </row>
    <row r="231" ht="15.75" customHeight="1">
      <c r="C231" s="1"/>
      <c r="D231" s="1"/>
    </row>
    <row r="232" ht="15.75" customHeight="1">
      <c r="C232" s="1"/>
      <c r="D232" s="1"/>
    </row>
    <row r="233" ht="15.75" customHeight="1">
      <c r="C233" s="1"/>
      <c r="D233" s="1"/>
    </row>
    <row r="234" ht="15.75" customHeight="1">
      <c r="C234" s="1"/>
      <c r="D234" s="1"/>
    </row>
    <row r="235" ht="15.75" customHeight="1">
      <c r="C235" s="1"/>
      <c r="D235" s="1"/>
    </row>
    <row r="236" ht="15.75" customHeight="1">
      <c r="C236" s="1"/>
      <c r="D236" s="1"/>
    </row>
    <row r="237" ht="15.75" customHeight="1">
      <c r="C237" s="1"/>
      <c r="D237" s="1"/>
    </row>
    <row r="238" ht="15.75" customHeight="1">
      <c r="C238" s="1"/>
      <c r="D238" s="1"/>
    </row>
    <row r="239" ht="15.75" customHeight="1">
      <c r="C239" s="1"/>
      <c r="D239" s="1"/>
    </row>
    <row r="240" ht="15.75" customHeight="1">
      <c r="C240" s="1"/>
      <c r="D240" s="1"/>
    </row>
    <row r="241" ht="15.75" customHeight="1">
      <c r="C241" s="1"/>
      <c r="D241" s="1"/>
    </row>
    <row r="242" ht="15.75" customHeight="1">
      <c r="C242" s="1"/>
      <c r="D242" s="1"/>
    </row>
    <row r="243" ht="15.75" customHeight="1">
      <c r="C243" s="1"/>
      <c r="D243" s="1"/>
    </row>
    <row r="244" ht="15.75" customHeight="1">
      <c r="C244" s="1"/>
      <c r="D244" s="1"/>
    </row>
    <row r="245" ht="15.75" customHeight="1">
      <c r="C245" s="1"/>
      <c r="D245" s="1"/>
    </row>
    <row r="246" ht="15.75" customHeight="1">
      <c r="C246" s="1"/>
      <c r="D246" s="1"/>
    </row>
    <row r="247" ht="15.75" customHeight="1">
      <c r="C247" s="1"/>
      <c r="D247" s="1"/>
    </row>
    <row r="248" ht="15.75" customHeight="1">
      <c r="C248" s="1"/>
      <c r="D248" s="1"/>
    </row>
    <row r="249" ht="15.75" customHeight="1">
      <c r="C249" s="1"/>
      <c r="D249" s="1"/>
    </row>
    <row r="250" ht="15.75" customHeight="1">
      <c r="C250" s="1"/>
      <c r="D250" s="1"/>
    </row>
    <row r="251" ht="15.75" customHeight="1">
      <c r="C251" s="1"/>
      <c r="D251" s="1"/>
    </row>
    <row r="252" ht="15.75" customHeight="1">
      <c r="C252" s="1"/>
      <c r="D252" s="1"/>
    </row>
    <row r="253" ht="15.75" customHeight="1">
      <c r="C253" s="1"/>
      <c r="D253" s="1"/>
    </row>
    <row r="254" ht="15.75" customHeight="1">
      <c r="C254" s="1"/>
      <c r="D254" s="1"/>
    </row>
    <row r="255" ht="15.75" customHeight="1">
      <c r="C255" s="1"/>
      <c r="D255" s="1"/>
    </row>
    <row r="256" ht="15.75" customHeight="1">
      <c r="C256" s="1"/>
      <c r="D256" s="1"/>
    </row>
    <row r="257" ht="15.75" customHeight="1">
      <c r="C257" s="1"/>
      <c r="D257" s="1"/>
    </row>
    <row r="258" ht="15.75" customHeight="1">
      <c r="C258" s="1"/>
      <c r="D258" s="1"/>
    </row>
    <row r="259" ht="15.75" customHeight="1">
      <c r="C259" s="1"/>
      <c r="D259" s="1"/>
    </row>
    <row r="260" ht="15.75" customHeight="1">
      <c r="C260" s="1"/>
      <c r="D260" s="1"/>
    </row>
    <row r="261" ht="15.75" customHeight="1">
      <c r="C261" s="1"/>
      <c r="D261" s="1"/>
    </row>
    <row r="262" ht="15.75" customHeight="1">
      <c r="C262" s="1"/>
      <c r="D262" s="1"/>
    </row>
    <row r="263" ht="15.75" customHeight="1">
      <c r="C263" s="1"/>
      <c r="D263" s="1"/>
    </row>
    <row r="264" ht="15.75" customHeight="1">
      <c r="C264" s="1"/>
      <c r="D264" s="1"/>
    </row>
    <row r="265" ht="15.75" customHeight="1">
      <c r="C265" s="1"/>
      <c r="D265" s="1"/>
    </row>
    <row r="266" ht="15.75" customHeight="1">
      <c r="C266" s="1"/>
      <c r="D266" s="1"/>
    </row>
    <row r="267" ht="15.75" customHeight="1">
      <c r="C267" s="1"/>
      <c r="D267" s="1"/>
    </row>
    <row r="268" ht="15.75" customHeight="1">
      <c r="C268" s="1"/>
      <c r="D268" s="1"/>
    </row>
    <row r="269" ht="15.75" customHeight="1">
      <c r="C269" s="1"/>
      <c r="D269" s="1"/>
    </row>
    <row r="270" ht="15.75" customHeight="1">
      <c r="C270" s="1"/>
      <c r="D270" s="1"/>
    </row>
    <row r="271" ht="15.75" customHeight="1">
      <c r="C271" s="1"/>
      <c r="D271" s="1"/>
    </row>
    <row r="272" ht="15.75" customHeight="1">
      <c r="C272" s="1"/>
      <c r="D272" s="1"/>
    </row>
    <row r="273" ht="15.75" customHeight="1">
      <c r="C273" s="1"/>
      <c r="D273" s="1"/>
    </row>
    <row r="274" ht="15.75" customHeight="1">
      <c r="C274" s="1"/>
      <c r="D274" s="1"/>
    </row>
    <row r="275" ht="15.75" customHeight="1">
      <c r="C275" s="1"/>
      <c r="D275" s="1"/>
    </row>
    <row r="276" ht="15.75" customHeight="1">
      <c r="C276" s="1"/>
      <c r="D276" s="1"/>
    </row>
    <row r="277" ht="15.75" customHeight="1">
      <c r="C277" s="1"/>
      <c r="D277" s="1"/>
    </row>
    <row r="278" ht="15.75" customHeight="1">
      <c r="C278" s="1"/>
      <c r="D278" s="1"/>
    </row>
    <row r="279" ht="15.75" customHeight="1">
      <c r="C279" s="1"/>
      <c r="D279" s="1"/>
    </row>
    <row r="280" ht="15.75" customHeight="1">
      <c r="C280" s="1"/>
      <c r="D280" s="1"/>
    </row>
    <row r="281" ht="15.75" customHeight="1">
      <c r="C281" s="1"/>
      <c r="D281" s="1"/>
    </row>
    <row r="282" ht="15.75" customHeight="1">
      <c r="C282" s="1"/>
      <c r="D282" s="1"/>
    </row>
    <row r="283" ht="15.75" customHeight="1">
      <c r="C283" s="1"/>
      <c r="D283" s="1"/>
    </row>
    <row r="284" ht="15.75" customHeight="1">
      <c r="C284" s="1"/>
      <c r="D284" s="1"/>
    </row>
    <row r="285" ht="15.75" customHeight="1">
      <c r="C285" s="1"/>
      <c r="D285" s="1"/>
    </row>
    <row r="286" ht="15.75" customHeight="1">
      <c r="C286" s="1"/>
      <c r="D286" s="1"/>
    </row>
    <row r="287" ht="15.75" customHeight="1">
      <c r="C287" s="1"/>
      <c r="D287" s="1"/>
    </row>
    <row r="288" ht="15.75" customHeight="1">
      <c r="C288" s="1"/>
      <c r="D288" s="1"/>
    </row>
    <row r="289" ht="15.75" customHeight="1">
      <c r="C289" s="1"/>
      <c r="D289" s="1"/>
    </row>
    <row r="290" ht="15.75" customHeight="1">
      <c r="C290" s="1"/>
      <c r="D290" s="1"/>
    </row>
    <row r="291" ht="15.75" customHeight="1">
      <c r="C291" s="1"/>
      <c r="D291" s="1"/>
    </row>
    <row r="292" ht="15.75" customHeight="1">
      <c r="C292" s="1"/>
      <c r="D292" s="1"/>
    </row>
    <row r="293" ht="15.75" customHeight="1">
      <c r="C293" s="1"/>
      <c r="D293" s="1"/>
    </row>
    <row r="294" ht="15.75" customHeight="1">
      <c r="C294" s="1"/>
      <c r="D294" s="1"/>
    </row>
    <row r="295" ht="15.75" customHeight="1">
      <c r="C295" s="1"/>
      <c r="D295" s="1"/>
    </row>
    <row r="296" ht="15.75" customHeight="1">
      <c r="C296" s="1"/>
      <c r="D296" s="1"/>
    </row>
    <row r="297" ht="15.75" customHeight="1">
      <c r="C297" s="1"/>
      <c r="D297" s="1"/>
    </row>
    <row r="298" ht="15.75" customHeight="1">
      <c r="C298" s="1"/>
      <c r="D298" s="1"/>
    </row>
    <row r="299" ht="15.75" customHeight="1">
      <c r="C299" s="1"/>
      <c r="D299" s="1"/>
    </row>
    <row r="300" ht="15.75" customHeight="1">
      <c r="C300" s="1"/>
      <c r="D300" s="1"/>
    </row>
    <row r="301" ht="15.75" customHeight="1">
      <c r="C301" s="1"/>
      <c r="D301" s="1"/>
    </row>
    <row r="302" ht="15.75" customHeight="1">
      <c r="C302" s="1"/>
      <c r="D302" s="1"/>
    </row>
    <row r="303" ht="15.75" customHeight="1">
      <c r="C303" s="1"/>
      <c r="D303" s="1"/>
    </row>
    <row r="304" ht="15.75" customHeight="1">
      <c r="C304" s="1"/>
      <c r="D304" s="1"/>
    </row>
    <row r="305" ht="15.75" customHeight="1">
      <c r="C305" s="1"/>
      <c r="D305" s="1"/>
    </row>
    <row r="306" ht="15.75" customHeight="1">
      <c r="C306" s="1"/>
      <c r="D306" s="1"/>
    </row>
    <row r="307" ht="15.75" customHeight="1">
      <c r="C307" s="1"/>
      <c r="D307" s="1"/>
    </row>
    <row r="308" ht="15.75" customHeight="1">
      <c r="C308" s="1"/>
      <c r="D308" s="1"/>
    </row>
    <row r="309" ht="15.75" customHeight="1">
      <c r="C309" s="1"/>
      <c r="D309" s="1"/>
    </row>
    <row r="310" ht="15.75" customHeight="1">
      <c r="C310" s="1"/>
      <c r="D310" s="1"/>
    </row>
    <row r="311" ht="15.75" customHeight="1">
      <c r="C311" s="1"/>
      <c r="D311" s="1"/>
    </row>
    <row r="312" ht="15.75" customHeight="1">
      <c r="C312" s="1"/>
      <c r="D312" s="1"/>
    </row>
    <row r="313" ht="15.75" customHeight="1">
      <c r="C313" s="1"/>
      <c r="D313" s="1"/>
    </row>
    <row r="314" ht="15.75" customHeight="1">
      <c r="C314" s="1"/>
      <c r="D314" s="1"/>
    </row>
    <row r="315" ht="15.75" customHeight="1">
      <c r="C315" s="1"/>
      <c r="D315" s="1"/>
    </row>
    <row r="316" ht="15.75" customHeight="1">
      <c r="C316" s="1"/>
      <c r="D316" s="1"/>
    </row>
    <row r="317" ht="15.75" customHeight="1">
      <c r="C317" s="1"/>
      <c r="D317" s="1"/>
    </row>
    <row r="318" ht="15.75" customHeight="1">
      <c r="C318" s="1"/>
      <c r="D318" s="1"/>
    </row>
    <row r="319" ht="15.75" customHeight="1">
      <c r="C319" s="1"/>
      <c r="D319" s="1"/>
    </row>
    <row r="320" ht="15.75" customHeight="1">
      <c r="C320" s="1"/>
      <c r="D320" s="1"/>
    </row>
    <row r="321" ht="15.75" customHeight="1">
      <c r="C321" s="1"/>
      <c r="D321" s="1"/>
    </row>
    <row r="322" ht="15.75" customHeight="1">
      <c r="C322" s="1"/>
      <c r="D322" s="1"/>
    </row>
    <row r="323" ht="15.75" customHeight="1">
      <c r="C323" s="1"/>
      <c r="D323" s="1"/>
    </row>
    <row r="324" ht="15.75" customHeight="1">
      <c r="C324" s="1"/>
      <c r="D324" s="1"/>
    </row>
    <row r="325" ht="15.75" customHeight="1">
      <c r="C325" s="1"/>
      <c r="D325" s="1"/>
    </row>
    <row r="326" ht="15.75" customHeight="1">
      <c r="C326" s="1"/>
      <c r="D326" s="1"/>
    </row>
    <row r="327" ht="15.75" customHeight="1">
      <c r="C327" s="1"/>
      <c r="D327" s="1"/>
    </row>
    <row r="328" ht="15.75" customHeight="1">
      <c r="C328" s="1"/>
      <c r="D328" s="1"/>
    </row>
    <row r="329" ht="15.75" customHeight="1">
      <c r="C329" s="1"/>
      <c r="D329" s="1"/>
    </row>
    <row r="330" ht="15.75" customHeight="1">
      <c r="C330" s="1"/>
      <c r="D330" s="1"/>
    </row>
    <row r="331" ht="15.75" customHeight="1">
      <c r="C331" s="1"/>
      <c r="D331" s="1"/>
    </row>
    <row r="332" ht="15.75" customHeight="1">
      <c r="C332" s="1"/>
      <c r="D332" s="1"/>
    </row>
    <row r="333" ht="15.75" customHeight="1">
      <c r="C333" s="1"/>
      <c r="D333" s="1"/>
    </row>
    <row r="334" ht="15.75" customHeight="1">
      <c r="C334" s="1"/>
      <c r="D334" s="1"/>
    </row>
    <row r="335" ht="15.75" customHeight="1">
      <c r="C335" s="1"/>
      <c r="D335" s="1"/>
    </row>
    <row r="336" ht="15.75" customHeight="1">
      <c r="C336" s="1"/>
      <c r="D336" s="1"/>
    </row>
    <row r="337" ht="15.75" customHeight="1">
      <c r="C337" s="1"/>
      <c r="D337" s="1"/>
    </row>
    <row r="338" ht="15.75" customHeight="1">
      <c r="C338" s="1"/>
      <c r="D338" s="1"/>
    </row>
    <row r="339" ht="15.75" customHeight="1">
      <c r="C339" s="1"/>
      <c r="D339" s="1"/>
    </row>
    <row r="340" ht="15.75" customHeight="1">
      <c r="C340" s="1"/>
      <c r="D340" s="1"/>
    </row>
    <row r="341" ht="15.75" customHeight="1">
      <c r="C341" s="1"/>
      <c r="D341" s="1"/>
    </row>
    <row r="342" ht="15.75" customHeight="1">
      <c r="C342" s="1"/>
      <c r="D342" s="1"/>
    </row>
    <row r="343" ht="15.75" customHeight="1">
      <c r="C343" s="1"/>
      <c r="D343" s="1"/>
    </row>
    <row r="344" ht="15.75" customHeight="1">
      <c r="C344" s="1"/>
      <c r="D344" s="1"/>
    </row>
    <row r="345" ht="15.75" customHeight="1">
      <c r="C345" s="1"/>
      <c r="D345" s="1"/>
    </row>
    <row r="346" ht="15.75" customHeight="1">
      <c r="C346" s="1"/>
      <c r="D346" s="1"/>
    </row>
    <row r="347" ht="15.75" customHeight="1">
      <c r="C347" s="1"/>
      <c r="D347" s="1"/>
    </row>
    <row r="348" ht="15.75" customHeight="1">
      <c r="C348" s="1"/>
      <c r="D348" s="1"/>
    </row>
    <row r="349" ht="15.75" customHeight="1">
      <c r="C349" s="1"/>
      <c r="D349" s="1"/>
    </row>
    <row r="350" ht="15.75" customHeight="1">
      <c r="C350" s="1"/>
      <c r="D350" s="1"/>
    </row>
    <row r="351" ht="15.75" customHeight="1">
      <c r="C351" s="1"/>
      <c r="D351" s="1"/>
    </row>
    <row r="352" ht="15.75" customHeight="1">
      <c r="C352" s="1"/>
      <c r="D352" s="1"/>
    </row>
    <row r="353" ht="15.75" customHeight="1">
      <c r="C353" s="1"/>
      <c r="D353" s="1"/>
    </row>
    <row r="354" ht="15.75" customHeight="1">
      <c r="C354" s="1"/>
      <c r="D354" s="1"/>
    </row>
    <row r="355" ht="15.75" customHeight="1">
      <c r="C355" s="1"/>
      <c r="D355" s="1"/>
    </row>
    <row r="356" ht="15.75" customHeight="1">
      <c r="C356" s="1"/>
      <c r="D356" s="1"/>
    </row>
    <row r="357" ht="15.75" customHeight="1">
      <c r="C357" s="1"/>
      <c r="D357" s="1"/>
    </row>
    <row r="358" ht="15.75" customHeight="1">
      <c r="C358" s="1"/>
      <c r="D358" s="1"/>
    </row>
    <row r="359" ht="15.75" customHeight="1">
      <c r="C359" s="1"/>
      <c r="D359" s="1"/>
    </row>
    <row r="360" ht="15.75" customHeight="1">
      <c r="C360" s="1"/>
      <c r="D360" s="1"/>
    </row>
    <row r="361" ht="15.75" customHeight="1">
      <c r="C361" s="1"/>
      <c r="D361" s="1"/>
    </row>
    <row r="362" ht="15.75" customHeight="1">
      <c r="C362" s="1"/>
      <c r="D362" s="1"/>
    </row>
    <row r="363" ht="15.75" customHeight="1">
      <c r="C363" s="1"/>
      <c r="D363" s="1"/>
    </row>
    <row r="364" ht="15.75" customHeight="1">
      <c r="C364" s="1"/>
      <c r="D364" s="1"/>
    </row>
    <row r="365" ht="15.75" customHeight="1">
      <c r="C365" s="1"/>
      <c r="D365" s="1"/>
    </row>
    <row r="366" ht="15.75" customHeight="1">
      <c r="C366" s="1"/>
      <c r="D366" s="1"/>
    </row>
    <row r="367" ht="15.75" customHeight="1">
      <c r="C367" s="1"/>
      <c r="D367" s="1"/>
    </row>
    <row r="368" ht="15.75" customHeight="1">
      <c r="C368" s="1"/>
      <c r="D368" s="1"/>
    </row>
    <row r="369" ht="15.75" customHeight="1">
      <c r="C369" s="1"/>
      <c r="D369" s="1"/>
    </row>
    <row r="370" ht="15.75" customHeight="1">
      <c r="C370" s="1"/>
      <c r="D370" s="1"/>
    </row>
    <row r="371" ht="15.75" customHeight="1">
      <c r="C371" s="1"/>
      <c r="D371" s="1"/>
    </row>
    <row r="372" ht="15.75" customHeight="1">
      <c r="C372" s="1"/>
      <c r="D372" s="1"/>
    </row>
    <row r="373" ht="15.75" customHeight="1">
      <c r="C373" s="1"/>
      <c r="D373" s="1"/>
    </row>
    <row r="374" ht="15.75" customHeight="1">
      <c r="C374" s="1"/>
      <c r="D374" s="1"/>
    </row>
    <row r="375" ht="15.75" customHeight="1">
      <c r="C375" s="1"/>
      <c r="D375" s="1"/>
    </row>
    <row r="376" ht="15.75" customHeight="1">
      <c r="C376" s="1"/>
      <c r="D376" s="1"/>
    </row>
    <row r="377" ht="15.75" customHeight="1">
      <c r="C377" s="1"/>
      <c r="D377" s="1"/>
    </row>
    <row r="378" ht="15.75" customHeight="1">
      <c r="C378" s="1"/>
      <c r="D378" s="1"/>
    </row>
    <row r="379" ht="15.75" customHeight="1">
      <c r="C379" s="1"/>
      <c r="D379" s="1"/>
    </row>
    <row r="380" ht="15.75" customHeight="1">
      <c r="C380" s="1"/>
      <c r="D380" s="1"/>
    </row>
    <row r="381" ht="15.75" customHeight="1">
      <c r="C381" s="1"/>
      <c r="D381" s="1"/>
    </row>
    <row r="382" ht="15.75" customHeight="1">
      <c r="C382" s="1"/>
      <c r="D382" s="1"/>
    </row>
    <row r="383" ht="15.75" customHeight="1">
      <c r="C383" s="1"/>
      <c r="D383" s="1"/>
    </row>
    <row r="384" ht="15.75" customHeight="1">
      <c r="C384" s="1"/>
      <c r="D384" s="1"/>
    </row>
    <row r="385" ht="15.75" customHeight="1">
      <c r="C385" s="1"/>
      <c r="D385" s="1"/>
    </row>
    <row r="386" ht="15.75" customHeight="1">
      <c r="C386" s="1"/>
      <c r="D386" s="1"/>
    </row>
    <row r="387" ht="15.75" customHeight="1">
      <c r="C387" s="1"/>
      <c r="D387" s="1"/>
    </row>
    <row r="388" ht="15.75" customHeight="1">
      <c r="C388" s="1"/>
      <c r="D388" s="1"/>
    </row>
    <row r="389" ht="15.75" customHeight="1">
      <c r="C389" s="1"/>
      <c r="D389" s="1"/>
    </row>
    <row r="390" ht="15.75" customHeight="1">
      <c r="C390" s="1"/>
      <c r="D390" s="1"/>
    </row>
    <row r="391" ht="15.75" customHeight="1">
      <c r="C391" s="1"/>
      <c r="D391" s="1"/>
    </row>
    <row r="392" ht="15.75" customHeight="1">
      <c r="C392" s="1"/>
      <c r="D392" s="1"/>
    </row>
    <row r="393" ht="15.75" customHeight="1">
      <c r="C393" s="1"/>
      <c r="D393" s="1"/>
    </row>
    <row r="394" ht="15.75" customHeight="1">
      <c r="C394" s="1"/>
      <c r="D394" s="1"/>
    </row>
    <row r="395" ht="15.75" customHeight="1">
      <c r="C395" s="1"/>
      <c r="D395" s="1"/>
    </row>
    <row r="396" ht="15.75" customHeight="1">
      <c r="C396" s="1"/>
      <c r="D396" s="1"/>
    </row>
    <row r="397" ht="15.75" customHeight="1">
      <c r="C397" s="1"/>
      <c r="D397" s="1"/>
    </row>
    <row r="398" ht="15.75" customHeight="1">
      <c r="C398" s="1"/>
      <c r="D398" s="1"/>
    </row>
    <row r="399" ht="15.75" customHeight="1">
      <c r="C399" s="1"/>
      <c r="D399" s="1"/>
    </row>
    <row r="400" ht="15.75" customHeight="1">
      <c r="C400" s="1"/>
      <c r="D400" s="1"/>
    </row>
    <row r="401" ht="15.75" customHeight="1">
      <c r="C401" s="1"/>
      <c r="D401" s="1"/>
    </row>
    <row r="402" ht="15.75" customHeight="1">
      <c r="C402" s="1"/>
      <c r="D402" s="1"/>
    </row>
    <row r="403" ht="15.75" customHeight="1">
      <c r="C403" s="1"/>
      <c r="D403" s="1"/>
    </row>
    <row r="404" ht="15.75" customHeight="1">
      <c r="C404" s="1"/>
      <c r="D404" s="1"/>
    </row>
    <row r="405" ht="15.75" customHeight="1">
      <c r="C405" s="1"/>
      <c r="D405" s="1"/>
    </row>
    <row r="406" ht="15.75" customHeight="1">
      <c r="C406" s="1"/>
      <c r="D406" s="1"/>
    </row>
    <row r="407" ht="15.75" customHeight="1">
      <c r="C407" s="1"/>
      <c r="D407" s="1"/>
    </row>
    <row r="408" ht="15.75" customHeight="1">
      <c r="C408" s="1"/>
      <c r="D408" s="1"/>
    </row>
    <row r="409" ht="15.75" customHeight="1">
      <c r="C409" s="1"/>
      <c r="D409" s="1"/>
    </row>
    <row r="410" ht="15.75" customHeight="1">
      <c r="C410" s="1"/>
      <c r="D410" s="1"/>
    </row>
    <row r="411" ht="15.75" customHeight="1">
      <c r="C411" s="1"/>
      <c r="D411" s="1"/>
    </row>
    <row r="412" ht="15.75" customHeight="1">
      <c r="C412" s="1"/>
      <c r="D412" s="1"/>
    </row>
    <row r="413" ht="15.75" customHeight="1">
      <c r="C413" s="1"/>
      <c r="D413" s="1"/>
    </row>
    <row r="414" ht="15.75" customHeight="1">
      <c r="C414" s="1"/>
      <c r="D414" s="1"/>
    </row>
    <row r="415" ht="15.75" customHeight="1">
      <c r="C415" s="1"/>
      <c r="D415" s="1"/>
    </row>
    <row r="416" ht="15.75" customHeight="1">
      <c r="C416" s="1"/>
      <c r="D416" s="1"/>
    </row>
    <row r="417" ht="15.75" customHeight="1">
      <c r="C417" s="1"/>
      <c r="D417" s="1"/>
    </row>
    <row r="418" ht="15.75" customHeight="1">
      <c r="C418" s="1"/>
      <c r="D418" s="1"/>
    </row>
    <row r="419" ht="15.75" customHeight="1">
      <c r="C419" s="1"/>
      <c r="D419" s="1"/>
    </row>
    <row r="420" ht="15.75" customHeight="1">
      <c r="C420" s="1"/>
      <c r="D420" s="1"/>
    </row>
    <row r="421" ht="15.75" customHeight="1">
      <c r="C421" s="1"/>
      <c r="D421" s="1"/>
    </row>
    <row r="422" ht="15.75" customHeight="1">
      <c r="C422" s="1"/>
      <c r="D422" s="1"/>
    </row>
    <row r="423" ht="15.75" customHeight="1">
      <c r="C423" s="1"/>
      <c r="D423" s="1"/>
    </row>
    <row r="424" ht="15.75" customHeight="1">
      <c r="C424" s="1"/>
      <c r="D424" s="1"/>
    </row>
    <row r="425" ht="15.75" customHeight="1">
      <c r="C425" s="1"/>
      <c r="D425" s="1"/>
    </row>
    <row r="426" ht="15.75" customHeight="1">
      <c r="C426" s="1"/>
      <c r="D426" s="1"/>
    </row>
    <row r="427" ht="15.75" customHeight="1">
      <c r="C427" s="1"/>
      <c r="D427" s="1"/>
    </row>
    <row r="428" ht="15.75" customHeight="1">
      <c r="C428" s="1"/>
      <c r="D428" s="1"/>
    </row>
    <row r="429" ht="15.75" customHeight="1">
      <c r="C429" s="1"/>
      <c r="D429" s="1"/>
    </row>
    <row r="430" ht="15.75" customHeight="1">
      <c r="C430" s="1"/>
      <c r="D430" s="1"/>
    </row>
    <row r="431" ht="15.75" customHeight="1">
      <c r="C431" s="1"/>
      <c r="D431" s="1"/>
    </row>
    <row r="432" ht="15.75" customHeight="1">
      <c r="C432" s="1"/>
      <c r="D432" s="1"/>
    </row>
    <row r="433" ht="15.75" customHeight="1">
      <c r="C433" s="1"/>
      <c r="D433" s="1"/>
    </row>
    <row r="434" ht="15.75" customHeight="1">
      <c r="C434" s="1"/>
      <c r="D434" s="1"/>
    </row>
    <row r="435" ht="15.75" customHeight="1">
      <c r="C435" s="1"/>
      <c r="D435" s="1"/>
    </row>
    <row r="436" ht="15.75" customHeight="1">
      <c r="C436" s="1"/>
      <c r="D436" s="1"/>
    </row>
    <row r="437" ht="15.75" customHeight="1">
      <c r="C437" s="1"/>
      <c r="D437" s="1"/>
    </row>
    <row r="438" ht="15.75" customHeight="1">
      <c r="C438" s="1"/>
      <c r="D438" s="1"/>
    </row>
    <row r="439" ht="15.75" customHeight="1">
      <c r="C439" s="1"/>
      <c r="D439" s="1"/>
    </row>
    <row r="440" ht="15.75" customHeight="1">
      <c r="C440" s="1"/>
      <c r="D440" s="1"/>
    </row>
    <row r="441" ht="15.75" customHeight="1">
      <c r="C441" s="1"/>
      <c r="D441" s="1"/>
    </row>
    <row r="442" ht="15.75" customHeight="1">
      <c r="C442" s="1"/>
      <c r="D442" s="1"/>
    </row>
    <row r="443" ht="15.75" customHeight="1">
      <c r="C443" s="1"/>
      <c r="D443" s="1"/>
    </row>
    <row r="444" ht="15.75" customHeight="1">
      <c r="C444" s="1"/>
      <c r="D444" s="1"/>
    </row>
    <row r="445" ht="15.75" customHeight="1">
      <c r="C445" s="1"/>
      <c r="D445" s="1"/>
    </row>
    <row r="446" ht="15.75" customHeight="1">
      <c r="C446" s="1"/>
      <c r="D446" s="1"/>
    </row>
    <row r="447" ht="15.75" customHeight="1">
      <c r="C447" s="1"/>
      <c r="D447" s="1"/>
    </row>
    <row r="448" ht="15.75" customHeight="1">
      <c r="C448" s="1"/>
      <c r="D448" s="1"/>
    </row>
    <row r="449" ht="15.75" customHeight="1">
      <c r="C449" s="1"/>
      <c r="D449" s="1"/>
    </row>
    <row r="450" ht="15.75" customHeight="1">
      <c r="C450" s="1"/>
      <c r="D450" s="1"/>
    </row>
    <row r="451" ht="15.75" customHeight="1">
      <c r="C451" s="1"/>
      <c r="D451" s="1"/>
    </row>
    <row r="452" ht="15.75" customHeight="1">
      <c r="C452" s="1"/>
      <c r="D452" s="1"/>
    </row>
    <row r="453" ht="15.75" customHeight="1">
      <c r="C453" s="1"/>
      <c r="D453" s="1"/>
    </row>
    <row r="454" ht="15.75" customHeight="1">
      <c r="C454" s="1"/>
      <c r="D454" s="1"/>
    </row>
    <row r="455" ht="15.75" customHeight="1">
      <c r="C455" s="1"/>
      <c r="D455" s="1"/>
    </row>
    <row r="456" ht="15.75" customHeight="1">
      <c r="C456" s="1"/>
      <c r="D456" s="1"/>
    </row>
    <row r="457" ht="15.75" customHeight="1">
      <c r="C457" s="1"/>
      <c r="D457" s="1"/>
    </row>
    <row r="458" ht="15.75" customHeight="1">
      <c r="C458" s="1"/>
      <c r="D458" s="1"/>
    </row>
    <row r="459" ht="15.75" customHeight="1">
      <c r="C459" s="1"/>
      <c r="D459" s="1"/>
    </row>
    <row r="460" ht="15.75" customHeight="1">
      <c r="C460" s="1"/>
      <c r="D460" s="1"/>
    </row>
    <row r="461" ht="15.75" customHeight="1">
      <c r="C461" s="1"/>
      <c r="D461" s="1"/>
    </row>
    <row r="462" ht="15.75" customHeight="1">
      <c r="C462" s="1"/>
      <c r="D462" s="1"/>
    </row>
    <row r="463" ht="15.75" customHeight="1">
      <c r="C463" s="1"/>
      <c r="D463" s="1"/>
    </row>
    <row r="464" ht="15.75" customHeight="1">
      <c r="C464" s="1"/>
      <c r="D464" s="1"/>
    </row>
    <row r="465" ht="15.75" customHeight="1">
      <c r="C465" s="1"/>
      <c r="D465" s="1"/>
    </row>
    <row r="466" ht="15.75" customHeight="1">
      <c r="C466" s="1"/>
      <c r="D466" s="1"/>
    </row>
    <row r="467" ht="15.75" customHeight="1">
      <c r="C467" s="1"/>
      <c r="D467" s="1"/>
    </row>
    <row r="468" ht="15.75" customHeight="1">
      <c r="C468" s="1"/>
      <c r="D468" s="1"/>
    </row>
    <row r="469" ht="15.75" customHeight="1">
      <c r="C469" s="1"/>
      <c r="D469" s="1"/>
    </row>
    <row r="470" ht="15.75" customHeight="1">
      <c r="C470" s="1"/>
      <c r="D470" s="1"/>
    </row>
    <row r="471" ht="15.75" customHeight="1">
      <c r="C471" s="1"/>
      <c r="D471" s="1"/>
    </row>
    <row r="472" ht="15.75" customHeight="1">
      <c r="C472" s="1"/>
      <c r="D472" s="1"/>
    </row>
    <row r="473" ht="15.75" customHeight="1">
      <c r="C473" s="1"/>
      <c r="D473" s="1"/>
    </row>
    <row r="474" ht="15.75" customHeight="1">
      <c r="C474" s="1"/>
      <c r="D474" s="1"/>
    </row>
    <row r="475" ht="15.75" customHeight="1">
      <c r="C475" s="1"/>
      <c r="D475" s="1"/>
    </row>
    <row r="476" ht="15.75" customHeight="1">
      <c r="C476" s="1"/>
      <c r="D476" s="1"/>
    </row>
    <row r="477" ht="15.75" customHeight="1">
      <c r="C477" s="1"/>
      <c r="D477" s="1"/>
    </row>
    <row r="478" ht="15.75" customHeight="1">
      <c r="C478" s="1"/>
      <c r="D478" s="1"/>
    </row>
    <row r="479" ht="15.75" customHeight="1">
      <c r="C479" s="1"/>
      <c r="D479" s="1"/>
    </row>
    <row r="480" ht="15.75" customHeight="1">
      <c r="C480" s="1"/>
      <c r="D480" s="1"/>
    </row>
    <row r="481" ht="15.75" customHeight="1">
      <c r="C481" s="1"/>
      <c r="D481" s="1"/>
    </row>
    <row r="482" ht="15.75" customHeight="1">
      <c r="C482" s="1"/>
      <c r="D482" s="1"/>
    </row>
    <row r="483" ht="15.75" customHeight="1">
      <c r="C483" s="1"/>
      <c r="D483" s="1"/>
    </row>
    <row r="484" ht="15.75" customHeight="1">
      <c r="C484" s="1"/>
      <c r="D484" s="1"/>
    </row>
    <row r="485" ht="15.75" customHeight="1">
      <c r="C485" s="1"/>
      <c r="D485" s="1"/>
    </row>
    <row r="486" ht="15.75" customHeight="1">
      <c r="C486" s="1"/>
      <c r="D486" s="1"/>
    </row>
    <row r="487" ht="15.75" customHeight="1">
      <c r="C487" s="1"/>
      <c r="D487" s="1"/>
    </row>
    <row r="488" ht="15.75" customHeight="1">
      <c r="C488" s="1"/>
      <c r="D488" s="1"/>
    </row>
    <row r="489" ht="15.75" customHeight="1">
      <c r="C489" s="1"/>
      <c r="D489" s="1"/>
    </row>
    <row r="490" ht="15.75" customHeight="1">
      <c r="C490" s="1"/>
      <c r="D490" s="1"/>
    </row>
    <row r="491" ht="15.75" customHeight="1">
      <c r="C491" s="1"/>
      <c r="D491" s="1"/>
    </row>
    <row r="492" ht="15.75" customHeight="1">
      <c r="C492" s="1"/>
      <c r="D492" s="1"/>
    </row>
    <row r="493" ht="15.75" customHeight="1">
      <c r="C493" s="1"/>
      <c r="D493" s="1"/>
    </row>
    <row r="494" ht="15.75" customHeight="1">
      <c r="C494" s="1"/>
      <c r="D494" s="1"/>
    </row>
    <row r="495" ht="15.75" customHeight="1">
      <c r="C495" s="1"/>
      <c r="D495" s="1"/>
    </row>
    <row r="496" ht="15.75" customHeight="1">
      <c r="C496" s="1"/>
      <c r="D496" s="1"/>
    </row>
    <row r="497" ht="15.75" customHeight="1">
      <c r="C497" s="1"/>
      <c r="D497" s="1"/>
    </row>
    <row r="498" ht="15.75" customHeight="1">
      <c r="C498" s="1"/>
      <c r="D498" s="1"/>
    </row>
    <row r="499" ht="15.75" customHeight="1">
      <c r="C499" s="1"/>
      <c r="D499" s="1"/>
    </row>
    <row r="500" ht="15.75" customHeight="1">
      <c r="C500" s="1"/>
      <c r="D500" s="1"/>
    </row>
    <row r="501" ht="15.75" customHeight="1">
      <c r="C501" s="1"/>
      <c r="D501" s="1"/>
    </row>
    <row r="502" ht="15.75" customHeight="1">
      <c r="C502" s="1"/>
      <c r="D502" s="1"/>
    </row>
    <row r="503" ht="15.75" customHeight="1">
      <c r="C503" s="1"/>
      <c r="D503" s="1"/>
    </row>
    <row r="504" ht="15.75" customHeight="1">
      <c r="C504" s="1"/>
      <c r="D504" s="1"/>
    </row>
    <row r="505" ht="15.75" customHeight="1">
      <c r="C505" s="1"/>
      <c r="D505" s="1"/>
    </row>
    <row r="506" ht="15.75" customHeight="1">
      <c r="C506" s="1"/>
      <c r="D506" s="1"/>
    </row>
    <row r="507" ht="15.75" customHeight="1">
      <c r="C507" s="1"/>
      <c r="D507" s="1"/>
    </row>
    <row r="508" ht="15.75" customHeight="1">
      <c r="C508" s="1"/>
      <c r="D508" s="1"/>
    </row>
    <row r="509" ht="15.75" customHeight="1">
      <c r="C509" s="1"/>
      <c r="D509" s="1"/>
    </row>
    <row r="510" ht="15.75" customHeight="1">
      <c r="C510" s="1"/>
      <c r="D510" s="1"/>
    </row>
    <row r="511" ht="15.75" customHeight="1">
      <c r="C511" s="1"/>
      <c r="D511" s="1"/>
    </row>
    <row r="512" ht="15.75" customHeight="1">
      <c r="C512" s="1"/>
      <c r="D512" s="1"/>
    </row>
    <row r="513" ht="15.75" customHeight="1">
      <c r="C513" s="1"/>
      <c r="D513" s="1"/>
    </row>
    <row r="514" ht="15.75" customHeight="1">
      <c r="C514" s="1"/>
      <c r="D514" s="1"/>
    </row>
    <row r="515" ht="15.75" customHeight="1">
      <c r="C515" s="1"/>
      <c r="D515" s="1"/>
    </row>
    <row r="516" ht="15.75" customHeight="1">
      <c r="C516" s="1"/>
      <c r="D516" s="1"/>
    </row>
    <row r="517" ht="15.75" customHeight="1">
      <c r="C517" s="1"/>
      <c r="D517" s="1"/>
    </row>
    <row r="518" ht="15.75" customHeight="1">
      <c r="C518" s="1"/>
      <c r="D518" s="1"/>
    </row>
    <row r="519" ht="15.75" customHeight="1">
      <c r="C519" s="1"/>
      <c r="D519" s="1"/>
    </row>
    <row r="520" ht="15.75" customHeight="1">
      <c r="C520" s="1"/>
      <c r="D520" s="1"/>
    </row>
    <row r="521" ht="15.75" customHeight="1">
      <c r="C521" s="1"/>
      <c r="D521" s="1"/>
    </row>
    <row r="522" ht="15.75" customHeight="1">
      <c r="C522" s="1"/>
      <c r="D522" s="1"/>
    </row>
    <row r="523" ht="15.75" customHeight="1">
      <c r="C523" s="1"/>
      <c r="D523" s="1"/>
    </row>
    <row r="524" ht="15.75" customHeight="1">
      <c r="C524" s="1"/>
      <c r="D524" s="1"/>
    </row>
    <row r="525" ht="15.75" customHeight="1">
      <c r="C525" s="1"/>
      <c r="D525" s="1"/>
    </row>
    <row r="526" ht="15.75" customHeight="1">
      <c r="C526" s="1"/>
      <c r="D526" s="1"/>
    </row>
    <row r="527" ht="15.75" customHeight="1">
      <c r="C527" s="1"/>
      <c r="D527" s="1"/>
    </row>
    <row r="528" ht="15.75" customHeight="1">
      <c r="C528" s="1"/>
      <c r="D528" s="1"/>
    </row>
    <row r="529" ht="15.75" customHeight="1">
      <c r="C529" s="1"/>
      <c r="D529" s="1"/>
    </row>
    <row r="530" ht="15.75" customHeight="1">
      <c r="C530" s="1"/>
      <c r="D530" s="1"/>
    </row>
    <row r="531" ht="15.75" customHeight="1">
      <c r="C531" s="1"/>
      <c r="D531" s="1"/>
    </row>
    <row r="532" ht="15.75" customHeight="1">
      <c r="C532" s="1"/>
      <c r="D532" s="1"/>
    </row>
    <row r="533" ht="15.75" customHeight="1">
      <c r="C533" s="1"/>
      <c r="D533" s="1"/>
    </row>
    <row r="534" ht="15.75" customHeight="1">
      <c r="C534" s="1"/>
      <c r="D534" s="1"/>
    </row>
    <row r="535" ht="15.75" customHeight="1">
      <c r="C535" s="1"/>
      <c r="D535" s="1"/>
    </row>
    <row r="536" ht="15.75" customHeight="1">
      <c r="C536" s="1"/>
      <c r="D536" s="1"/>
    </row>
    <row r="537" ht="15.75" customHeight="1">
      <c r="C537" s="1"/>
      <c r="D537" s="1"/>
    </row>
    <row r="538" ht="15.75" customHeight="1">
      <c r="C538" s="1"/>
      <c r="D538" s="1"/>
    </row>
    <row r="539" ht="15.75" customHeight="1">
      <c r="C539" s="1"/>
      <c r="D539" s="1"/>
    </row>
    <row r="540" ht="15.75" customHeight="1">
      <c r="C540" s="1"/>
      <c r="D540" s="1"/>
    </row>
    <row r="541" ht="15.75" customHeight="1">
      <c r="C541" s="1"/>
      <c r="D541" s="1"/>
    </row>
    <row r="542" ht="15.75" customHeight="1">
      <c r="C542" s="1"/>
      <c r="D542" s="1"/>
    </row>
    <row r="543" ht="15.75" customHeight="1">
      <c r="C543" s="1"/>
      <c r="D543" s="1"/>
    </row>
    <row r="544" ht="15.75" customHeight="1">
      <c r="C544" s="1"/>
      <c r="D544" s="1"/>
    </row>
    <row r="545" ht="15.75" customHeight="1">
      <c r="C545" s="1"/>
      <c r="D545" s="1"/>
    </row>
    <row r="546" ht="15.75" customHeight="1">
      <c r="C546" s="1"/>
      <c r="D546" s="1"/>
    </row>
    <row r="547" ht="15.75" customHeight="1">
      <c r="C547" s="1"/>
      <c r="D547" s="1"/>
    </row>
    <row r="548" ht="15.75" customHeight="1">
      <c r="C548" s="1"/>
      <c r="D548" s="1"/>
    </row>
    <row r="549" ht="15.75" customHeight="1">
      <c r="C549" s="1"/>
      <c r="D549" s="1"/>
    </row>
    <row r="550" ht="15.75" customHeight="1">
      <c r="C550" s="1"/>
      <c r="D550" s="1"/>
    </row>
    <row r="551" ht="15.75" customHeight="1">
      <c r="C551" s="1"/>
      <c r="D551" s="1"/>
    </row>
    <row r="552" ht="15.75" customHeight="1">
      <c r="C552" s="1"/>
      <c r="D552" s="1"/>
    </row>
    <row r="553" ht="15.75" customHeight="1">
      <c r="C553" s="1"/>
      <c r="D553" s="1"/>
    </row>
    <row r="554" ht="15.75" customHeight="1">
      <c r="C554" s="1"/>
      <c r="D554" s="1"/>
    </row>
    <row r="555" ht="15.75" customHeight="1">
      <c r="C555" s="1"/>
      <c r="D555" s="1"/>
    </row>
    <row r="556" ht="15.75" customHeight="1">
      <c r="C556" s="1"/>
      <c r="D556" s="1"/>
    </row>
    <row r="557" ht="15.75" customHeight="1">
      <c r="C557" s="1"/>
      <c r="D557" s="1"/>
    </row>
    <row r="558" ht="15.75" customHeight="1">
      <c r="C558" s="1"/>
      <c r="D558" s="1"/>
    </row>
    <row r="559" ht="15.75" customHeight="1">
      <c r="C559" s="1"/>
      <c r="D559" s="1"/>
    </row>
    <row r="560" ht="15.75" customHeight="1">
      <c r="C560" s="1"/>
      <c r="D560" s="1"/>
    </row>
    <row r="561" ht="15.75" customHeight="1">
      <c r="C561" s="1"/>
      <c r="D561" s="1"/>
    </row>
    <row r="562" ht="15.75" customHeight="1">
      <c r="C562" s="1"/>
      <c r="D562" s="1"/>
    </row>
    <row r="563" ht="15.75" customHeight="1">
      <c r="C563" s="1"/>
      <c r="D563" s="1"/>
    </row>
    <row r="564" ht="15.75" customHeight="1">
      <c r="C564" s="1"/>
      <c r="D564" s="1"/>
    </row>
    <row r="565" ht="15.75" customHeight="1">
      <c r="C565" s="1"/>
      <c r="D565" s="1"/>
    </row>
    <row r="566" ht="15.75" customHeight="1">
      <c r="C566" s="1"/>
      <c r="D566" s="1"/>
    </row>
    <row r="567" ht="15.75" customHeight="1">
      <c r="C567" s="1"/>
      <c r="D567" s="1"/>
    </row>
    <row r="568" ht="15.75" customHeight="1">
      <c r="C568" s="1"/>
      <c r="D568" s="1"/>
    </row>
    <row r="569" ht="15.75" customHeight="1">
      <c r="C569" s="1"/>
      <c r="D569" s="1"/>
    </row>
    <row r="570" ht="15.75" customHeight="1">
      <c r="C570" s="1"/>
      <c r="D570" s="1"/>
    </row>
    <row r="571" ht="15.75" customHeight="1">
      <c r="C571" s="1"/>
      <c r="D571" s="1"/>
    </row>
    <row r="572" ht="15.75" customHeight="1">
      <c r="C572" s="1"/>
      <c r="D572" s="1"/>
    </row>
    <row r="573" ht="15.75" customHeight="1">
      <c r="C573" s="1"/>
      <c r="D573" s="1"/>
    </row>
    <row r="574" ht="15.75" customHeight="1">
      <c r="C574" s="1"/>
      <c r="D574" s="1"/>
    </row>
    <row r="575" ht="15.75" customHeight="1">
      <c r="C575" s="1"/>
      <c r="D575" s="1"/>
    </row>
    <row r="576" ht="15.75" customHeight="1">
      <c r="C576" s="1"/>
      <c r="D576" s="1"/>
    </row>
    <row r="577" ht="15.75" customHeight="1">
      <c r="C577" s="1"/>
      <c r="D577" s="1"/>
    </row>
    <row r="578" ht="15.75" customHeight="1">
      <c r="C578" s="1"/>
      <c r="D578" s="1"/>
    </row>
    <row r="579" ht="15.75" customHeight="1">
      <c r="C579" s="1"/>
      <c r="D579" s="1"/>
    </row>
    <row r="580" ht="15.75" customHeight="1">
      <c r="C580" s="1"/>
      <c r="D580" s="1"/>
    </row>
    <row r="581" ht="15.75" customHeight="1">
      <c r="C581" s="1"/>
      <c r="D581" s="1"/>
    </row>
    <row r="582" ht="15.75" customHeight="1">
      <c r="C582" s="1"/>
      <c r="D582" s="1"/>
    </row>
    <row r="583" ht="15.75" customHeight="1">
      <c r="C583" s="1"/>
      <c r="D583" s="1"/>
    </row>
    <row r="584" ht="15.75" customHeight="1">
      <c r="C584" s="1"/>
      <c r="D584" s="1"/>
    </row>
    <row r="585" ht="15.75" customHeight="1">
      <c r="C585" s="1"/>
      <c r="D585" s="1"/>
    </row>
    <row r="586" ht="15.75" customHeight="1">
      <c r="C586" s="1"/>
      <c r="D586" s="1"/>
    </row>
    <row r="587" ht="15.75" customHeight="1">
      <c r="C587" s="1"/>
      <c r="D587" s="1"/>
    </row>
    <row r="588" ht="15.75" customHeight="1">
      <c r="C588" s="1"/>
      <c r="D588" s="1"/>
    </row>
    <row r="589" ht="15.75" customHeight="1">
      <c r="C589" s="1"/>
      <c r="D589" s="1"/>
    </row>
    <row r="590" ht="15.75" customHeight="1">
      <c r="C590" s="1"/>
      <c r="D590" s="1"/>
    </row>
    <row r="591" ht="15.75" customHeight="1">
      <c r="C591" s="1"/>
      <c r="D591" s="1"/>
    </row>
    <row r="592" ht="15.75" customHeight="1">
      <c r="C592" s="1"/>
      <c r="D592" s="1"/>
    </row>
    <row r="593" ht="15.75" customHeight="1">
      <c r="C593" s="1"/>
      <c r="D593" s="1"/>
    </row>
    <row r="594" ht="15.75" customHeight="1">
      <c r="C594" s="1"/>
      <c r="D594" s="1"/>
    </row>
    <row r="595" ht="15.75" customHeight="1">
      <c r="C595" s="1"/>
      <c r="D595" s="1"/>
    </row>
    <row r="596" ht="15.75" customHeight="1">
      <c r="C596" s="1"/>
      <c r="D596" s="1"/>
    </row>
    <row r="597" ht="15.75" customHeight="1">
      <c r="C597" s="1"/>
      <c r="D597" s="1"/>
    </row>
    <row r="598" ht="15.75" customHeight="1">
      <c r="C598" s="1"/>
      <c r="D598" s="1"/>
    </row>
    <row r="599" ht="15.75" customHeight="1">
      <c r="C599" s="1"/>
      <c r="D599" s="1"/>
    </row>
    <row r="600" ht="15.75" customHeight="1">
      <c r="C600" s="1"/>
      <c r="D600" s="1"/>
    </row>
    <row r="601" ht="15.75" customHeight="1">
      <c r="C601" s="1"/>
      <c r="D601" s="1"/>
    </row>
    <row r="602" ht="15.75" customHeight="1">
      <c r="C602" s="1"/>
      <c r="D602" s="1"/>
    </row>
    <row r="603" ht="15.75" customHeight="1">
      <c r="C603" s="1"/>
      <c r="D603" s="1"/>
    </row>
    <row r="604" ht="15.75" customHeight="1">
      <c r="C604" s="1"/>
      <c r="D604" s="1"/>
    </row>
    <row r="605" ht="15.75" customHeight="1">
      <c r="C605" s="1"/>
      <c r="D605" s="1"/>
    </row>
    <row r="606" ht="15.75" customHeight="1">
      <c r="C606" s="1"/>
      <c r="D606" s="1"/>
    </row>
    <row r="607" ht="15.75" customHeight="1">
      <c r="C607" s="1"/>
      <c r="D607" s="1"/>
    </row>
    <row r="608" ht="15.75" customHeight="1">
      <c r="C608" s="1"/>
      <c r="D608" s="1"/>
    </row>
    <row r="609" ht="15.75" customHeight="1">
      <c r="C609" s="1"/>
      <c r="D609" s="1"/>
    </row>
    <row r="610" ht="15.75" customHeight="1">
      <c r="C610" s="1"/>
      <c r="D610" s="1"/>
    </row>
    <row r="611" ht="15.75" customHeight="1">
      <c r="C611" s="1"/>
      <c r="D611" s="1"/>
    </row>
    <row r="612" ht="15.75" customHeight="1">
      <c r="C612" s="1"/>
      <c r="D612" s="1"/>
    </row>
    <row r="613" ht="15.75" customHeight="1">
      <c r="C613" s="1"/>
      <c r="D613" s="1"/>
    </row>
    <row r="614" ht="15.75" customHeight="1">
      <c r="C614" s="1"/>
      <c r="D614" s="1"/>
    </row>
    <row r="615" ht="15.75" customHeight="1">
      <c r="C615" s="1"/>
      <c r="D615" s="1"/>
    </row>
    <row r="616" ht="15.75" customHeight="1">
      <c r="C616" s="1"/>
      <c r="D616" s="1"/>
    </row>
    <row r="617" ht="15.75" customHeight="1">
      <c r="C617" s="1"/>
      <c r="D617" s="1"/>
    </row>
    <row r="618" ht="15.75" customHeight="1">
      <c r="C618" s="1"/>
      <c r="D618" s="1"/>
    </row>
    <row r="619" ht="15.75" customHeight="1">
      <c r="C619" s="1"/>
      <c r="D619" s="1"/>
    </row>
    <row r="620" ht="15.75" customHeight="1">
      <c r="C620" s="1"/>
      <c r="D620" s="1"/>
    </row>
    <row r="621" ht="15.75" customHeight="1">
      <c r="C621" s="1"/>
      <c r="D621" s="1"/>
    </row>
    <row r="622" ht="15.75" customHeight="1">
      <c r="C622" s="1"/>
      <c r="D622" s="1"/>
    </row>
    <row r="623" ht="15.75" customHeight="1">
      <c r="C623" s="1"/>
      <c r="D623" s="1"/>
    </row>
    <row r="624" ht="15.75" customHeight="1">
      <c r="C624" s="1"/>
      <c r="D624" s="1"/>
    </row>
    <row r="625" ht="15.75" customHeight="1">
      <c r="C625" s="1"/>
      <c r="D625" s="1"/>
    </row>
    <row r="626" ht="15.75" customHeight="1">
      <c r="C626" s="1"/>
      <c r="D626" s="1"/>
    </row>
    <row r="627" ht="15.75" customHeight="1">
      <c r="C627" s="1"/>
      <c r="D627" s="1"/>
    </row>
    <row r="628" ht="15.75" customHeight="1">
      <c r="C628" s="1"/>
      <c r="D628" s="1"/>
    </row>
    <row r="629" ht="15.75" customHeight="1">
      <c r="C629" s="1"/>
      <c r="D629" s="1"/>
    </row>
    <row r="630" ht="15.75" customHeight="1">
      <c r="C630" s="1"/>
      <c r="D630" s="1"/>
    </row>
    <row r="631" ht="15.75" customHeight="1">
      <c r="C631" s="1"/>
      <c r="D631" s="1"/>
    </row>
    <row r="632" ht="15.75" customHeight="1">
      <c r="C632" s="1"/>
      <c r="D632" s="1"/>
    </row>
    <row r="633" ht="15.75" customHeight="1">
      <c r="C633" s="1"/>
      <c r="D633" s="1"/>
    </row>
    <row r="634" ht="15.75" customHeight="1">
      <c r="C634" s="1"/>
      <c r="D634" s="1"/>
    </row>
    <row r="635" ht="15.75" customHeight="1">
      <c r="C635" s="1"/>
      <c r="D635" s="1"/>
    </row>
    <row r="636" ht="15.75" customHeight="1">
      <c r="C636" s="1"/>
      <c r="D636" s="1"/>
    </row>
    <row r="637" ht="15.75" customHeight="1">
      <c r="C637" s="1"/>
      <c r="D637" s="1"/>
    </row>
    <row r="638" ht="15.75" customHeight="1">
      <c r="C638" s="1"/>
      <c r="D638" s="1"/>
    </row>
    <row r="639" ht="15.75" customHeight="1">
      <c r="C639" s="1"/>
      <c r="D639" s="1"/>
    </row>
    <row r="640" ht="15.75" customHeight="1">
      <c r="C640" s="1"/>
      <c r="D640" s="1"/>
    </row>
    <row r="641" ht="15.75" customHeight="1">
      <c r="C641" s="1"/>
      <c r="D641" s="1"/>
    </row>
    <row r="642" ht="15.75" customHeight="1">
      <c r="C642" s="1"/>
      <c r="D642" s="1"/>
    </row>
    <row r="643" ht="15.75" customHeight="1">
      <c r="C643" s="1"/>
      <c r="D643" s="1"/>
    </row>
    <row r="644" ht="15.75" customHeight="1">
      <c r="C644" s="1"/>
      <c r="D644" s="1"/>
    </row>
    <row r="645" ht="15.75" customHeight="1">
      <c r="C645" s="1"/>
      <c r="D645" s="1"/>
    </row>
    <row r="646" ht="15.75" customHeight="1">
      <c r="C646" s="1"/>
      <c r="D646" s="1"/>
    </row>
    <row r="647" ht="15.75" customHeight="1">
      <c r="C647" s="1"/>
      <c r="D647" s="1"/>
    </row>
    <row r="648" ht="15.75" customHeight="1">
      <c r="C648" s="1"/>
      <c r="D648" s="1"/>
    </row>
    <row r="649" ht="15.75" customHeight="1">
      <c r="C649" s="1"/>
      <c r="D649" s="1"/>
    </row>
    <row r="650" ht="15.75" customHeight="1">
      <c r="C650" s="1"/>
      <c r="D650" s="1"/>
    </row>
    <row r="651" ht="15.75" customHeight="1">
      <c r="C651" s="1"/>
      <c r="D651" s="1"/>
    </row>
    <row r="652" ht="15.75" customHeight="1">
      <c r="C652" s="1"/>
      <c r="D652" s="1"/>
    </row>
    <row r="653" ht="15.75" customHeight="1">
      <c r="C653" s="1"/>
      <c r="D653" s="1"/>
    </row>
    <row r="654" ht="15.75" customHeight="1">
      <c r="C654" s="1"/>
      <c r="D654" s="1"/>
    </row>
    <row r="655" ht="15.75" customHeight="1">
      <c r="C655" s="1"/>
      <c r="D655" s="1"/>
    </row>
    <row r="656" ht="15.75" customHeight="1">
      <c r="C656" s="1"/>
      <c r="D656" s="1"/>
    </row>
    <row r="657" ht="15.75" customHeight="1">
      <c r="C657" s="1"/>
      <c r="D657" s="1"/>
    </row>
    <row r="658" ht="15.75" customHeight="1">
      <c r="C658" s="1"/>
      <c r="D658" s="1"/>
    </row>
    <row r="659" ht="15.75" customHeight="1">
      <c r="C659" s="1"/>
      <c r="D659" s="1"/>
    </row>
    <row r="660" ht="15.75" customHeight="1">
      <c r="C660" s="1"/>
      <c r="D660" s="1"/>
    </row>
    <row r="661" ht="15.75" customHeight="1">
      <c r="C661" s="1"/>
      <c r="D661" s="1"/>
    </row>
    <row r="662" ht="15.75" customHeight="1">
      <c r="C662" s="1"/>
      <c r="D662" s="1"/>
    </row>
    <row r="663" ht="15.75" customHeight="1">
      <c r="C663" s="1"/>
      <c r="D663" s="1"/>
    </row>
    <row r="664" ht="15.75" customHeight="1">
      <c r="C664" s="1"/>
      <c r="D664" s="1"/>
    </row>
    <row r="665" ht="15.75" customHeight="1">
      <c r="C665" s="1"/>
      <c r="D665" s="1"/>
    </row>
    <row r="666" ht="15.75" customHeight="1">
      <c r="C666" s="1"/>
      <c r="D666" s="1"/>
    </row>
    <row r="667" ht="15.75" customHeight="1">
      <c r="C667" s="1"/>
      <c r="D667" s="1"/>
    </row>
    <row r="668" ht="15.75" customHeight="1">
      <c r="C668" s="1"/>
      <c r="D668" s="1"/>
    </row>
    <row r="669" ht="15.75" customHeight="1">
      <c r="C669" s="1"/>
      <c r="D669" s="1"/>
    </row>
    <row r="670" ht="15.75" customHeight="1">
      <c r="C670" s="1"/>
      <c r="D670" s="1"/>
    </row>
    <row r="671" ht="15.75" customHeight="1">
      <c r="C671" s="1"/>
      <c r="D671" s="1"/>
    </row>
    <row r="672" ht="15.75" customHeight="1">
      <c r="C672" s="1"/>
      <c r="D672" s="1"/>
    </row>
    <row r="673" ht="15.75" customHeight="1">
      <c r="C673" s="1"/>
      <c r="D673" s="1"/>
    </row>
    <row r="674" ht="15.75" customHeight="1">
      <c r="C674" s="1"/>
      <c r="D674" s="1"/>
    </row>
    <row r="675" ht="15.75" customHeight="1">
      <c r="C675" s="1"/>
      <c r="D675" s="1"/>
    </row>
    <row r="676" ht="15.75" customHeight="1">
      <c r="C676" s="1"/>
      <c r="D676" s="1"/>
    </row>
    <row r="677" ht="15.75" customHeight="1">
      <c r="C677" s="1"/>
      <c r="D677" s="1"/>
    </row>
    <row r="678" ht="15.75" customHeight="1">
      <c r="C678" s="1"/>
      <c r="D678" s="1"/>
    </row>
    <row r="679" ht="15.75" customHeight="1">
      <c r="C679" s="1"/>
      <c r="D679" s="1"/>
    </row>
    <row r="680" ht="15.75" customHeight="1">
      <c r="C680" s="1"/>
      <c r="D680" s="1"/>
    </row>
    <row r="681" ht="15.75" customHeight="1">
      <c r="C681" s="1"/>
      <c r="D681" s="1"/>
    </row>
    <row r="682" ht="15.75" customHeight="1">
      <c r="C682" s="1"/>
      <c r="D682" s="1"/>
    </row>
    <row r="683" ht="15.75" customHeight="1">
      <c r="C683" s="1"/>
      <c r="D683" s="1"/>
    </row>
    <row r="684" ht="15.75" customHeight="1">
      <c r="C684" s="1"/>
      <c r="D684" s="1"/>
    </row>
    <row r="685" ht="15.75" customHeight="1">
      <c r="C685" s="1"/>
      <c r="D685" s="1"/>
    </row>
    <row r="686" ht="15.75" customHeight="1">
      <c r="C686" s="1"/>
      <c r="D686" s="1"/>
    </row>
    <row r="687" ht="15.75" customHeight="1">
      <c r="C687" s="1"/>
      <c r="D687" s="1"/>
    </row>
    <row r="688" ht="15.75" customHeight="1">
      <c r="C688" s="1"/>
      <c r="D688" s="1"/>
    </row>
    <row r="689" ht="15.75" customHeight="1">
      <c r="C689" s="1"/>
      <c r="D689" s="1"/>
    </row>
    <row r="690" ht="15.75" customHeight="1">
      <c r="C690" s="1"/>
      <c r="D690" s="1"/>
    </row>
    <row r="691" ht="15.75" customHeight="1">
      <c r="C691" s="1"/>
      <c r="D691" s="1"/>
    </row>
    <row r="692" ht="15.75" customHeight="1">
      <c r="C692" s="1"/>
      <c r="D692" s="1"/>
    </row>
    <row r="693" ht="15.75" customHeight="1">
      <c r="C693" s="1"/>
      <c r="D693" s="1"/>
    </row>
    <row r="694" ht="15.75" customHeight="1">
      <c r="C694" s="1"/>
      <c r="D694" s="1"/>
    </row>
    <row r="695" ht="15.75" customHeight="1">
      <c r="C695" s="1"/>
      <c r="D695" s="1"/>
    </row>
    <row r="696" ht="15.75" customHeight="1">
      <c r="C696" s="1"/>
      <c r="D696" s="1"/>
    </row>
    <row r="697" ht="15.75" customHeight="1">
      <c r="C697" s="1"/>
      <c r="D697" s="1"/>
    </row>
    <row r="698" ht="15.75" customHeight="1">
      <c r="C698" s="1"/>
      <c r="D698" s="1"/>
    </row>
    <row r="699" ht="15.75" customHeight="1">
      <c r="C699" s="1"/>
      <c r="D699" s="1"/>
    </row>
    <row r="700" ht="15.75" customHeight="1">
      <c r="C700" s="1"/>
      <c r="D700" s="1"/>
    </row>
    <row r="701" ht="15.75" customHeight="1">
      <c r="C701" s="1"/>
      <c r="D701" s="1"/>
    </row>
    <row r="702" ht="15.75" customHeight="1">
      <c r="C702" s="1"/>
      <c r="D702" s="1"/>
    </row>
    <row r="703" ht="15.75" customHeight="1">
      <c r="C703" s="1"/>
      <c r="D703" s="1"/>
    </row>
    <row r="704" ht="15.75" customHeight="1">
      <c r="C704" s="1"/>
      <c r="D704" s="1"/>
    </row>
    <row r="705" ht="15.75" customHeight="1">
      <c r="C705" s="1"/>
      <c r="D705" s="1"/>
    </row>
    <row r="706" ht="15.75" customHeight="1">
      <c r="C706" s="1"/>
      <c r="D706" s="1"/>
    </row>
    <row r="707" ht="15.75" customHeight="1">
      <c r="C707" s="1"/>
      <c r="D707" s="1"/>
    </row>
    <row r="708" ht="15.75" customHeight="1">
      <c r="C708" s="1"/>
      <c r="D708" s="1"/>
    </row>
    <row r="709" ht="15.75" customHeight="1">
      <c r="C709" s="1"/>
      <c r="D709" s="1"/>
    </row>
    <row r="710" ht="15.75" customHeight="1">
      <c r="C710" s="1"/>
      <c r="D710" s="1"/>
    </row>
    <row r="711" ht="15.75" customHeight="1">
      <c r="C711" s="1"/>
      <c r="D711" s="1"/>
    </row>
    <row r="712" ht="15.75" customHeight="1">
      <c r="C712" s="1"/>
      <c r="D712" s="1"/>
    </row>
    <row r="713" ht="15.75" customHeight="1">
      <c r="C713" s="1"/>
      <c r="D713" s="1"/>
    </row>
    <row r="714" ht="15.75" customHeight="1">
      <c r="C714" s="1"/>
      <c r="D714" s="1"/>
    </row>
    <row r="715" ht="15.75" customHeight="1">
      <c r="C715" s="1"/>
      <c r="D715" s="1"/>
    </row>
    <row r="716" ht="15.75" customHeight="1">
      <c r="C716" s="1"/>
      <c r="D716" s="1"/>
    </row>
    <row r="717" ht="15.75" customHeight="1">
      <c r="C717" s="1"/>
      <c r="D717" s="1"/>
    </row>
    <row r="718" ht="15.75" customHeight="1">
      <c r="C718" s="1"/>
      <c r="D718" s="1"/>
    </row>
    <row r="719" ht="15.75" customHeight="1">
      <c r="C719" s="1"/>
      <c r="D719" s="1"/>
    </row>
    <row r="720" ht="15.75" customHeight="1">
      <c r="C720" s="1"/>
      <c r="D720" s="1"/>
    </row>
    <row r="721" ht="15.75" customHeight="1">
      <c r="C721" s="1"/>
      <c r="D721" s="1"/>
    </row>
    <row r="722" ht="15.75" customHeight="1">
      <c r="C722" s="1"/>
      <c r="D722" s="1"/>
    </row>
    <row r="723" ht="15.75" customHeight="1">
      <c r="C723" s="1"/>
      <c r="D723" s="1"/>
    </row>
    <row r="724" ht="15.75" customHeight="1">
      <c r="C724" s="1"/>
      <c r="D724" s="1"/>
    </row>
    <row r="725" ht="15.75" customHeight="1">
      <c r="C725" s="1"/>
      <c r="D725" s="1"/>
    </row>
    <row r="726" ht="15.75" customHeight="1">
      <c r="C726" s="1"/>
      <c r="D726" s="1"/>
    </row>
    <row r="727" ht="15.75" customHeight="1">
      <c r="C727" s="1"/>
      <c r="D727" s="1"/>
    </row>
    <row r="728" ht="15.75" customHeight="1">
      <c r="C728" s="1"/>
      <c r="D728" s="1"/>
    </row>
    <row r="729" ht="15.75" customHeight="1">
      <c r="C729" s="1"/>
      <c r="D729" s="1"/>
    </row>
    <row r="730" ht="15.75" customHeight="1">
      <c r="C730" s="1"/>
      <c r="D730" s="1"/>
    </row>
    <row r="731" ht="15.75" customHeight="1">
      <c r="C731" s="1"/>
      <c r="D731" s="1"/>
    </row>
    <row r="732" ht="15.75" customHeight="1">
      <c r="C732" s="1"/>
      <c r="D732" s="1"/>
    </row>
    <row r="733" ht="15.75" customHeight="1">
      <c r="C733" s="1"/>
      <c r="D733" s="1"/>
    </row>
    <row r="734" ht="15.75" customHeight="1">
      <c r="C734" s="1"/>
      <c r="D734" s="1"/>
    </row>
    <row r="735" ht="15.75" customHeight="1">
      <c r="C735" s="1"/>
      <c r="D735" s="1"/>
    </row>
    <row r="736" ht="15.75" customHeight="1">
      <c r="C736" s="1"/>
      <c r="D736" s="1"/>
    </row>
    <row r="737" ht="15.75" customHeight="1">
      <c r="C737" s="1"/>
      <c r="D737" s="1"/>
    </row>
    <row r="738" ht="15.75" customHeight="1">
      <c r="C738" s="1"/>
      <c r="D738" s="1"/>
    </row>
    <row r="739" ht="15.75" customHeight="1">
      <c r="C739" s="1"/>
      <c r="D739" s="1"/>
    </row>
    <row r="740" ht="15.75" customHeight="1">
      <c r="C740" s="1"/>
      <c r="D740" s="1"/>
    </row>
    <row r="741" ht="15.75" customHeight="1">
      <c r="C741" s="1"/>
      <c r="D741" s="1"/>
    </row>
    <row r="742" ht="15.75" customHeight="1">
      <c r="C742" s="1"/>
      <c r="D742" s="1"/>
    </row>
    <row r="743" ht="15.75" customHeight="1">
      <c r="C743" s="1"/>
      <c r="D743" s="1"/>
    </row>
    <row r="744" ht="15.75" customHeight="1">
      <c r="C744" s="1"/>
      <c r="D744" s="1"/>
    </row>
    <row r="745" ht="15.75" customHeight="1">
      <c r="C745" s="1"/>
      <c r="D745" s="1"/>
    </row>
    <row r="746" ht="15.75" customHeight="1">
      <c r="C746" s="1"/>
      <c r="D746" s="1"/>
    </row>
    <row r="747" ht="15.75" customHeight="1">
      <c r="C747" s="1"/>
      <c r="D747" s="1"/>
    </row>
    <row r="748" ht="15.75" customHeight="1">
      <c r="C748" s="1"/>
      <c r="D748" s="1"/>
    </row>
    <row r="749" ht="15.75" customHeight="1">
      <c r="C749" s="1"/>
      <c r="D749" s="1"/>
    </row>
    <row r="750" ht="15.75" customHeight="1">
      <c r="C750" s="1"/>
      <c r="D750" s="1"/>
    </row>
    <row r="751" ht="15.75" customHeight="1">
      <c r="C751" s="1"/>
      <c r="D751" s="1"/>
    </row>
    <row r="752" ht="15.75" customHeight="1">
      <c r="C752" s="1"/>
      <c r="D752" s="1"/>
    </row>
    <row r="753" ht="15.75" customHeight="1">
      <c r="C753" s="1"/>
      <c r="D753" s="1"/>
    </row>
    <row r="754" ht="15.75" customHeight="1">
      <c r="C754" s="1"/>
      <c r="D754" s="1"/>
    </row>
    <row r="755" ht="15.75" customHeight="1">
      <c r="C755" s="1"/>
      <c r="D755" s="1"/>
    </row>
    <row r="756" ht="15.75" customHeight="1">
      <c r="C756" s="1"/>
      <c r="D756" s="1"/>
    </row>
    <row r="757" ht="15.75" customHeight="1">
      <c r="C757" s="1"/>
      <c r="D757" s="1"/>
    </row>
    <row r="758" ht="15.75" customHeight="1">
      <c r="C758" s="1"/>
      <c r="D758" s="1"/>
    </row>
    <row r="759" ht="15.75" customHeight="1">
      <c r="C759" s="1"/>
      <c r="D759" s="1"/>
    </row>
    <row r="760" ht="15.75" customHeight="1">
      <c r="C760" s="1"/>
      <c r="D760" s="1"/>
    </row>
    <row r="761" ht="15.75" customHeight="1">
      <c r="C761" s="1"/>
      <c r="D761" s="1"/>
    </row>
    <row r="762" ht="15.75" customHeight="1">
      <c r="C762" s="1"/>
      <c r="D762" s="1"/>
    </row>
    <row r="763" ht="15.75" customHeight="1">
      <c r="C763" s="1"/>
      <c r="D763" s="1"/>
    </row>
    <row r="764" ht="15.75" customHeight="1">
      <c r="C764" s="1"/>
      <c r="D764" s="1"/>
    </row>
    <row r="765" ht="15.75" customHeight="1">
      <c r="C765" s="1"/>
      <c r="D765" s="1"/>
    </row>
    <row r="766" ht="15.75" customHeight="1">
      <c r="C766" s="1"/>
      <c r="D766" s="1"/>
    </row>
    <row r="767" ht="15.75" customHeight="1">
      <c r="C767" s="1"/>
      <c r="D767" s="1"/>
    </row>
    <row r="768" ht="15.75" customHeight="1">
      <c r="C768" s="1"/>
      <c r="D768" s="1"/>
    </row>
    <row r="769" ht="15.75" customHeight="1">
      <c r="C769" s="1"/>
      <c r="D769" s="1"/>
    </row>
    <row r="770" ht="15.75" customHeight="1">
      <c r="C770" s="1"/>
      <c r="D770" s="1"/>
    </row>
    <row r="771" ht="15.75" customHeight="1">
      <c r="C771" s="1"/>
      <c r="D771" s="1"/>
    </row>
    <row r="772" ht="15.75" customHeight="1">
      <c r="C772" s="1"/>
      <c r="D772" s="1"/>
    </row>
    <row r="773" ht="15.75" customHeight="1">
      <c r="C773" s="1"/>
      <c r="D773" s="1"/>
    </row>
    <row r="774" ht="15.75" customHeight="1">
      <c r="C774" s="1"/>
      <c r="D774" s="1"/>
    </row>
    <row r="775" ht="15.75" customHeight="1">
      <c r="C775" s="1"/>
      <c r="D775" s="1"/>
    </row>
    <row r="776" ht="15.75" customHeight="1">
      <c r="C776" s="1"/>
      <c r="D776" s="1"/>
    </row>
    <row r="777" ht="15.75" customHeight="1">
      <c r="C777" s="1"/>
      <c r="D777" s="1"/>
    </row>
    <row r="778" ht="15.75" customHeight="1">
      <c r="C778" s="1"/>
      <c r="D778" s="1"/>
    </row>
    <row r="779" ht="15.75" customHeight="1">
      <c r="C779" s="1"/>
      <c r="D779" s="1"/>
    </row>
    <row r="780" ht="15.75" customHeight="1">
      <c r="C780" s="1"/>
      <c r="D780" s="1"/>
    </row>
    <row r="781" ht="15.75" customHeight="1">
      <c r="C781" s="1"/>
      <c r="D781" s="1"/>
    </row>
    <row r="782" ht="15.75" customHeight="1">
      <c r="C782" s="1"/>
      <c r="D782" s="1"/>
    </row>
    <row r="783" ht="15.75" customHeight="1">
      <c r="C783" s="1"/>
      <c r="D783" s="1"/>
    </row>
    <row r="784" ht="15.75" customHeight="1">
      <c r="C784" s="1"/>
      <c r="D784" s="1"/>
    </row>
    <row r="785" ht="15.75" customHeight="1">
      <c r="C785" s="1"/>
      <c r="D785" s="1"/>
    </row>
    <row r="786" ht="15.75" customHeight="1">
      <c r="C786" s="1"/>
      <c r="D786" s="1"/>
    </row>
    <row r="787" ht="15.75" customHeight="1">
      <c r="C787" s="1"/>
      <c r="D787" s="1"/>
    </row>
    <row r="788" ht="15.75" customHeight="1">
      <c r="C788" s="1"/>
      <c r="D788" s="1"/>
    </row>
    <row r="789" ht="15.75" customHeight="1">
      <c r="C789" s="1"/>
      <c r="D789" s="1"/>
    </row>
    <row r="790" ht="15.75" customHeight="1">
      <c r="C790" s="1"/>
      <c r="D790" s="1"/>
    </row>
    <row r="791" ht="15.75" customHeight="1">
      <c r="C791" s="1"/>
      <c r="D791" s="1"/>
    </row>
    <row r="792" ht="15.75" customHeight="1">
      <c r="C792" s="1"/>
      <c r="D792" s="1"/>
    </row>
    <row r="793" ht="15.75" customHeight="1">
      <c r="C793" s="1"/>
      <c r="D793" s="1"/>
    </row>
    <row r="794" ht="15.75" customHeight="1">
      <c r="C794" s="1"/>
      <c r="D794" s="1"/>
    </row>
    <row r="795" ht="15.75" customHeight="1">
      <c r="C795" s="1"/>
      <c r="D795" s="1"/>
    </row>
    <row r="796" ht="15.75" customHeight="1">
      <c r="C796" s="1"/>
      <c r="D796" s="1"/>
    </row>
    <row r="797" ht="15.75" customHeight="1">
      <c r="C797" s="1"/>
      <c r="D797" s="1"/>
    </row>
    <row r="798" ht="15.75" customHeight="1">
      <c r="C798" s="1"/>
      <c r="D798" s="1"/>
    </row>
    <row r="799" ht="15.75" customHeight="1">
      <c r="C799" s="1"/>
      <c r="D799" s="1"/>
    </row>
    <row r="800" ht="15.75" customHeight="1">
      <c r="C800" s="1"/>
      <c r="D800" s="1"/>
    </row>
    <row r="801" ht="15.75" customHeight="1">
      <c r="C801" s="1"/>
      <c r="D801" s="1"/>
    </row>
    <row r="802" ht="15.75" customHeight="1">
      <c r="C802" s="1"/>
      <c r="D802" s="1"/>
    </row>
    <row r="803" ht="15.75" customHeight="1">
      <c r="C803" s="1"/>
      <c r="D803" s="1"/>
    </row>
    <row r="804" ht="15.75" customHeight="1">
      <c r="C804" s="1"/>
      <c r="D804" s="1"/>
    </row>
    <row r="805" ht="15.75" customHeight="1">
      <c r="C805" s="1"/>
      <c r="D805" s="1"/>
    </row>
    <row r="806" ht="15.75" customHeight="1">
      <c r="C806" s="1"/>
      <c r="D806" s="1"/>
    </row>
    <row r="807" ht="15.75" customHeight="1">
      <c r="C807" s="1"/>
      <c r="D807" s="1"/>
    </row>
    <row r="808" ht="15.75" customHeight="1">
      <c r="C808" s="1"/>
      <c r="D808" s="1"/>
    </row>
    <row r="809" ht="15.75" customHeight="1">
      <c r="C809" s="1"/>
      <c r="D809" s="1"/>
    </row>
    <row r="810" ht="15.75" customHeight="1">
      <c r="C810" s="1"/>
      <c r="D810" s="1"/>
    </row>
    <row r="811" ht="15.75" customHeight="1">
      <c r="C811" s="1"/>
      <c r="D811" s="1"/>
    </row>
    <row r="812" ht="15.75" customHeight="1">
      <c r="C812" s="1"/>
      <c r="D812" s="1"/>
    </row>
    <row r="813" ht="15.75" customHeight="1">
      <c r="C813" s="1"/>
      <c r="D813" s="1"/>
    </row>
    <row r="814" ht="15.75" customHeight="1">
      <c r="C814" s="1"/>
      <c r="D814" s="1"/>
    </row>
    <row r="815" ht="15.75" customHeight="1">
      <c r="C815" s="1"/>
      <c r="D815" s="1"/>
    </row>
    <row r="816" ht="15.75" customHeight="1">
      <c r="C816" s="1"/>
      <c r="D816" s="1"/>
    </row>
    <row r="817" ht="15.75" customHeight="1">
      <c r="C817" s="1"/>
      <c r="D817" s="1"/>
    </row>
    <row r="818" ht="15.75" customHeight="1">
      <c r="C818" s="1"/>
      <c r="D818" s="1"/>
    </row>
    <row r="819" ht="15.75" customHeight="1">
      <c r="C819" s="1"/>
      <c r="D819" s="1"/>
    </row>
    <row r="820" ht="15.75" customHeight="1">
      <c r="C820" s="1"/>
      <c r="D820" s="1"/>
    </row>
    <row r="821" ht="15.75" customHeight="1">
      <c r="C821" s="1"/>
      <c r="D821" s="1"/>
    </row>
    <row r="822" ht="15.75" customHeight="1">
      <c r="C822" s="1"/>
      <c r="D822" s="1"/>
    </row>
    <row r="823" ht="15.75" customHeight="1">
      <c r="C823" s="1"/>
      <c r="D823" s="1"/>
    </row>
    <row r="824" ht="15.75" customHeight="1">
      <c r="C824" s="1"/>
      <c r="D824" s="1"/>
    </row>
    <row r="825" ht="15.75" customHeight="1">
      <c r="C825" s="1"/>
      <c r="D825" s="1"/>
    </row>
    <row r="826" ht="15.75" customHeight="1">
      <c r="C826" s="1"/>
      <c r="D826" s="1"/>
    </row>
    <row r="827" ht="15.75" customHeight="1">
      <c r="C827" s="1"/>
      <c r="D827" s="1"/>
    </row>
    <row r="828" ht="15.75" customHeight="1">
      <c r="C828" s="1"/>
      <c r="D828" s="1"/>
    </row>
    <row r="829" ht="15.75" customHeight="1">
      <c r="C829" s="1"/>
      <c r="D829" s="1"/>
    </row>
    <row r="830" ht="15.75" customHeight="1">
      <c r="C830" s="1"/>
      <c r="D830" s="1"/>
    </row>
    <row r="831" ht="15.75" customHeight="1">
      <c r="C831" s="1"/>
      <c r="D831" s="1"/>
    </row>
    <row r="832" ht="15.75" customHeight="1">
      <c r="C832" s="1"/>
      <c r="D832" s="1"/>
    </row>
    <row r="833" ht="15.75" customHeight="1">
      <c r="C833" s="1"/>
      <c r="D833" s="1"/>
    </row>
    <row r="834" ht="15.75" customHeight="1">
      <c r="C834" s="1"/>
      <c r="D834" s="1"/>
    </row>
    <row r="835" ht="15.75" customHeight="1">
      <c r="C835" s="1"/>
      <c r="D835" s="1"/>
    </row>
    <row r="836" ht="15.75" customHeight="1">
      <c r="C836" s="1"/>
      <c r="D836" s="1"/>
    </row>
    <row r="837" ht="15.75" customHeight="1">
      <c r="C837" s="1"/>
      <c r="D837" s="1"/>
    </row>
    <row r="838" ht="15.75" customHeight="1">
      <c r="C838" s="1"/>
      <c r="D838" s="1"/>
    </row>
    <row r="839" ht="15.75" customHeight="1">
      <c r="C839" s="1"/>
      <c r="D839" s="1"/>
    </row>
    <row r="840" ht="15.75" customHeight="1">
      <c r="C840" s="1"/>
      <c r="D840" s="1"/>
    </row>
    <row r="841" ht="15.75" customHeight="1">
      <c r="C841" s="1"/>
      <c r="D841" s="1"/>
    </row>
    <row r="842" ht="15.75" customHeight="1">
      <c r="C842" s="1"/>
      <c r="D842" s="1"/>
    </row>
    <row r="843" ht="15.75" customHeight="1">
      <c r="C843" s="1"/>
      <c r="D843" s="1"/>
    </row>
    <row r="844" ht="15.75" customHeight="1">
      <c r="C844" s="1"/>
      <c r="D844" s="1"/>
    </row>
    <row r="845" ht="15.75" customHeight="1">
      <c r="C845" s="1"/>
      <c r="D845" s="1"/>
    </row>
    <row r="846" ht="15.75" customHeight="1">
      <c r="C846" s="1"/>
      <c r="D846" s="1"/>
    </row>
    <row r="847" ht="15.75" customHeight="1">
      <c r="C847" s="1"/>
      <c r="D847" s="1"/>
    </row>
    <row r="848" ht="15.75" customHeight="1">
      <c r="C848" s="1"/>
      <c r="D848" s="1"/>
    </row>
    <row r="849" ht="15.75" customHeight="1">
      <c r="C849" s="1"/>
      <c r="D849" s="1"/>
    </row>
    <row r="850" ht="15.75" customHeight="1">
      <c r="C850" s="1"/>
      <c r="D850" s="1"/>
    </row>
    <row r="851" ht="15.75" customHeight="1">
      <c r="C851" s="1"/>
      <c r="D851" s="1"/>
    </row>
    <row r="852" ht="15.75" customHeight="1">
      <c r="C852" s="1"/>
      <c r="D852" s="1"/>
    </row>
    <row r="853" ht="15.75" customHeight="1">
      <c r="C853" s="1"/>
      <c r="D853" s="1"/>
    </row>
    <row r="854" ht="15.75" customHeight="1">
      <c r="C854" s="1"/>
      <c r="D854" s="1"/>
    </row>
    <row r="855" ht="15.75" customHeight="1">
      <c r="C855" s="1"/>
      <c r="D855" s="1"/>
    </row>
    <row r="856" ht="15.75" customHeight="1">
      <c r="C856" s="1"/>
      <c r="D856" s="1"/>
    </row>
    <row r="857" ht="15.75" customHeight="1">
      <c r="C857" s="1"/>
      <c r="D857" s="1"/>
    </row>
    <row r="858" ht="15.75" customHeight="1">
      <c r="C858" s="1"/>
      <c r="D858" s="1"/>
    </row>
    <row r="859" ht="15.75" customHeight="1">
      <c r="C859" s="1"/>
      <c r="D859" s="1"/>
    </row>
    <row r="860" ht="15.75" customHeight="1">
      <c r="C860" s="1"/>
      <c r="D860" s="1"/>
    </row>
    <row r="861" ht="15.75" customHeight="1">
      <c r="C861" s="1"/>
      <c r="D861" s="1"/>
    </row>
    <row r="862" ht="15.75" customHeight="1">
      <c r="C862" s="1"/>
      <c r="D862" s="1"/>
    </row>
    <row r="863" ht="15.75" customHeight="1">
      <c r="C863" s="1"/>
      <c r="D863" s="1"/>
    </row>
    <row r="864" ht="15.75" customHeight="1">
      <c r="C864" s="1"/>
      <c r="D864" s="1"/>
    </row>
    <row r="865" ht="15.75" customHeight="1">
      <c r="C865" s="1"/>
      <c r="D865" s="1"/>
    </row>
    <row r="866" ht="15.75" customHeight="1">
      <c r="C866" s="1"/>
      <c r="D866" s="1"/>
    </row>
    <row r="867" ht="15.75" customHeight="1">
      <c r="C867" s="1"/>
      <c r="D867" s="1"/>
    </row>
    <row r="868" ht="15.75" customHeight="1">
      <c r="C868" s="1"/>
      <c r="D868" s="1"/>
    </row>
    <row r="869" ht="15.75" customHeight="1">
      <c r="C869" s="1"/>
      <c r="D869" s="1"/>
    </row>
    <row r="870" ht="15.75" customHeight="1">
      <c r="C870" s="1"/>
      <c r="D870" s="1"/>
    </row>
    <row r="871" ht="15.75" customHeight="1">
      <c r="C871" s="1"/>
      <c r="D871" s="1"/>
    </row>
    <row r="872" ht="15.75" customHeight="1">
      <c r="C872" s="1"/>
      <c r="D872" s="1"/>
    </row>
    <row r="873" ht="15.75" customHeight="1">
      <c r="C873" s="1"/>
      <c r="D873" s="1"/>
    </row>
    <row r="874" ht="15.75" customHeight="1">
      <c r="C874" s="1"/>
      <c r="D874" s="1"/>
    </row>
    <row r="875" ht="15.75" customHeight="1">
      <c r="C875" s="1"/>
      <c r="D875" s="1"/>
    </row>
    <row r="876" ht="15.75" customHeight="1">
      <c r="C876" s="1"/>
      <c r="D876" s="1"/>
    </row>
    <row r="877" ht="15.75" customHeight="1">
      <c r="C877" s="1"/>
      <c r="D877" s="1"/>
    </row>
    <row r="878" ht="15.75" customHeight="1">
      <c r="C878" s="1"/>
      <c r="D878" s="1"/>
    </row>
    <row r="879" ht="15.75" customHeight="1">
      <c r="C879" s="1"/>
      <c r="D879" s="1"/>
    </row>
    <row r="880" ht="15.75" customHeight="1">
      <c r="C880" s="1"/>
      <c r="D880" s="1"/>
    </row>
    <row r="881" ht="15.75" customHeight="1">
      <c r="C881" s="1"/>
      <c r="D881" s="1"/>
    </row>
    <row r="882" ht="15.75" customHeight="1">
      <c r="C882" s="1"/>
      <c r="D882" s="1"/>
    </row>
    <row r="883" ht="15.75" customHeight="1">
      <c r="C883" s="1"/>
      <c r="D883" s="1"/>
    </row>
    <row r="884" ht="15.75" customHeight="1">
      <c r="C884" s="1"/>
      <c r="D884" s="1"/>
    </row>
    <row r="885" ht="15.75" customHeight="1">
      <c r="C885" s="1"/>
      <c r="D885" s="1"/>
    </row>
    <row r="886" ht="15.75" customHeight="1">
      <c r="C886" s="1"/>
      <c r="D886" s="1"/>
    </row>
    <row r="887" ht="15.75" customHeight="1">
      <c r="C887" s="1"/>
      <c r="D887" s="1"/>
    </row>
    <row r="888" ht="15.75" customHeight="1">
      <c r="C888" s="1"/>
      <c r="D888" s="1"/>
    </row>
    <row r="889" ht="15.75" customHeight="1">
      <c r="C889" s="1"/>
      <c r="D889" s="1"/>
    </row>
    <row r="890" ht="15.75" customHeight="1">
      <c r="C890" s="1"/>
      <c r="D890" s="1"/>
    </row>
    <row r="891" ht="15.75" customHeight="1">
      <c r="C891" s="1"/>
      <c r="D891" s="1"/>
    </row>
    <row r="892" ht="15.75" customHeight="1">
      <c r="C892" s="1"/>
      <c r="D892" s="1"/>
    </row>
    <row r="893" ht="15.75" customHeight="1">
      <c r="C893" s="1"/>
      <c r="D893" s="1"/>
    </row>
    <row r="894" ht="15.75" customHeight="1">
      <c r="C894" s="1"/>
      <c r="D894" s="1"/>
    </row>
    <row r="895" ht="15.75" customHeight="1">
      <c r="C895" s="1"/>
      <c r="D895" s="1"/>
    </row>
    <row r="896" ht="15.75" customHeight="1">
      <c r="C896" s="1"/>
      <c r="D896" s="1"/>
    </row>
    <row r="897" ht="15.75" customHeight="1">
      <c r="C897" s="1"/>
      <c r="D897" s="1"/>
    </row>
    <row r="898" ht="15.75" customHeight="1">
      <c r="C898" s="1"/>
      <c r="D898" s="1"/>
    </row>
    <row r="899" ht="15.75" customHeight="1">
      <c r="C899" s="1"/>
      <c r="D899" s="1"/>
    </row>
    <row r="900" ht="15.75" customHeight="1">
      <c r="C900" s="1"/>
      <c r="D900" s="1"/>
    </row>
    <row r="901" ht="15.75" customHeight="1">
      <c r="C901" s="1"/>
      <c r="D901" s="1"/>
    </row>
    <row r="902" ht="15.75" customHeight="1">
      <c r="C902" s="1"/>
      <c r="D902" s="1"/>
    </row>
    <row r="903" ht="15.75" customHeight="1">
      <c r="C903" s="1"/>
      <c r="D903" s="1"/>
    </row>
    <row r="904" ht="15.75" customHeight="1">
      <c r="C904" s="1"/>
      <c r="D904" s="1"/>
    </row>
    <row r="905" ht="15.75" customHeight="1">
      <c r="C905" s="1"/>
      <c r="D905" s="1"/>
    </row>
    <row r="906" ht="15.75" customHeight="1">
      <c r="C906" s="1"/>
      <c r="D906" s="1"/>
    </row>
    <row r="907" ht="15.75" customHeight="1">
      <c r="C907" s="1"/>
      <c r="D907" s="1"/>
    </row>
    <row r="908" ht="15.75" customHeight="1">
      <c r="C908" s="1"/>
      <c r="D908" s="1"/>
    </row>
    <row r="909" ht="15.75" customHeight="1">
      <c r="C909" s="1"/>
      <c r="D909" s="1"/>
    </row>
    <row r="910" ht="15.75" customHeight="1">
      <c r="C910" s="1"/>
      <c r="D910" s="1"/>
    </row>
    <row r="911" ht="15.75" customHeight="1">
      <c r="C911" s="1"/>
      <c r="D911" s="1"/>
    </row>
    <row r="912" ht="15.75" customHeight="1">
      <c r="C912" s="1"/>
      <c r="D912" s="1"/>
    </row>
    <row r="913" ht="15.75" customHeight="1">
      <c r="C913" s="1"/>
      <c r="D913" s="1"/>
    </row>
    <row r="914" ht="15.75" customHeight="1">
      <c r="C914" s="1"/>
      <c r="D914" s="1"/>
    </row>
    <row r="915" ht="15.75" customHeight="1">
      <c r="C915" s="1"/>
      <c r="D915" s="1"/>
    </row>
    <row r="916" ht="15.75" customHeight="1">
      <c r="C916" s="1"/>
      <c r="D916" s="1"/>
    </row>
    <row r="917" ht="15.75" customHeight="1">
      <c r="C917" s="1"/>
      <c r="D917" s="1"/>
    </row>
    <row r="918" ht="15.75" customHeight="1">
      <c r="C918" s="1"/>
      <c r="D918" s="1"/>
    </row>
    <row r="919" ht="15.75" customHeight="1">
      <c r="C919" s="1"/>
      <c r="D919" s="1"/>
    </row>
    <row r="920" ht="15.75" customHeight="1">
      <c r="C920" s="1"/>
      <c r="D920" s="1"/>
    </row>
    <row r="921" ht="15.75" customHeight="1">
      <c r="C921" s="1"/>
      <c r="D921" s="1"/>
    </row>
    <row r="922" ht="15.75" customHeight="1">
      <c r="C922" s="1"/>
      <c r="D922" s="1"/>
    </row>
    <row r="923" ht="15.75" customHeight="1">
      <c r="C923" s="1"/>
      <c r="D923" s="1"/>
    </row>
    <row r="924" ht="15.75" customHeight="1">
      <c r="C924" s="1"/>
      <c r="D924" s="1"/>
    </row>
    <row r="925" ht="15.75" customHeight="1">
      <c r="C925" s="1"/>
      <c r="D925" s="1"/>
    </row>
    <row r="926" ht="15.75" customHeight="1">
      <c r="C926" s="1"/>
      <c r="D926" s="1"/>
    </row>
    <row r="927" ht="15.75" customHeight="1">
      <c r="C927" s="1"/>
      <c r="D927" s="1"/>
    </row>
    <row r="928" ht="15.75" customHeight="1">
      <c r="C928" s="1"/>
      <c r="D928" s="1"/>
    </row>
    <row r="929" ht="15.75" customHeight="1">
      <c r="C929" s="1"/>
      <c r="D929" s="1"/>
    </row>
    <row r="930" ht="15.75" customHeight="1">
      <c r="C930" s="1"/>
      <c r="D930" s="1"/>
    </row>
    <row r="931" ht="15.75" customHeight="1">
      <c r="C931" s="1"/>
      <c r="D931" s="1"/>
    </row>
    <row r="932" ht="15.75" customHeight="1">
      <c r="C932" s="1"/>
      <c r="D932" s="1"/>
    </row>
    <row r="933" ht="15.75" customHeight="1">
      <c r="C933" s="1"/>
      <c r="D933" s="1"/>
    </row>
    <row r="934" ht="15.75" customHeight="1">
      <c r="C934" s="1"/>
      <c r="D934" s="1"/>
    </row>
    <row r="935" ht="15.75" customHeight="1">
      <c r="C935" s="1"/>
      <c r="D935" s="1"/>
    </row>
    <row r="936" ht="15.75" customHeight="1">
      <c r="C936" s="1"/>
      <c r="D936" s="1"/>
    </row>
    <row r="937" ht="15.75" customHeight="1">
      <c r="C937" s="1"/>
      <c r="D937" s="1"/>
    </row>
    <row r="938" ht="15.75" customHeight="1">
      <c r="C938" s="1"/>
      <c r="D938" s="1"/>
    </row>
    <row r="939" ht="15.75" customHeight="1">
      <c r="C939" s="1"/>
      <c r="D939" s="1"/>
    </row>
    <row r="940" ht="15.75" customHeight="1">
      <c r="C940" s="1"/>
      <c r="D940" s="1"/>
    </row>
    <row r="941" ht="15.75" customHeight="1">
      <c r="C941" s="1"/>
      <c r="D941" s="1"/>
    </row>
    <row r="942" ht="15.75" customHeight="1">
      <c r="C942" s="1"/>
      <c r="D942" s="1"/>
    </row>
    <row r="943" ht="15.75" customHeight="1">
      <c r="C943" s="1"/>
      <c r="D943" s="1"/>
    </row>
    <row r="944" ht="15.75" customHeight="1">
      <c r="C944" s="1"/>
      <c r="D944" s="1"/>
    </row>
    <row r="945" ht="15.75" customHeight="1">
      <c r="C945" s="1"/>
      <c r="D945" s="1"/>
    </row>
    <row r="946" ht="15.75" customHeight="1">
      <c r="C946" s="1"/>
      <c r="D946" s="1"/>
    </row>
    <row r="947" ht="15.75" customHeight="1">
      <c r="C947" s="1"/>
      <c r="D947" s="1"/>
    </row>
    <row r="948" ht="15.75" customHeight="1">
      <c r="C948" s="1"/>
      <c r="D948" s="1"/>
    </row>
    <row r="949" ht="15.75" customHeight="1">
      <c r="C949" s="1"/>
      <c r="D949" s="1"/>
    </row>
    <row r="950" ht="15.75" customHeight="1">
      <c r="C950" s="1"/>
      <c r="D950" s="1"/>
    </row>
    <row r="951" ht="15.75" customHeight="1">
      <c r="C951" s="1"/>
      <c r="D951" s="1"/>
    </row>
    <row r="952" ht="15.75" customHeight="1">
      <c r="C952" s="1"/>
      <c r="D952" s="1"/>
    </row>
    <row r="953" ht="15.75" customHeight="1">
      <c r="C953" s="1"/>
      <c r="D953" s="1"/>
    </row>
    <row r="954" ht="15.75" customHeight="1">
      <c r="C954" s="1"/>
      <c r="D954" s="1"/>
    </row>
    <row r="955" ht="15.75" customHeight="1">
      <c r="C955" s="1"/>
      <c r="D955" s="1"/>
    </row>
    <row r="956" ht="15.75" customHeight="1">
      <c r="C956" s="1"/>
      <c r="D956" s="1"/>
    </row>
    <row r="957" ht="15.75" customHeight="1">
      <c r="C957" s="1"/>
      <c r="D957" s="1"/>
    </row>
    <row r="958" ht="15.75" customHeight="1">
      <c r="C958" s="1"/>
      <c r="D958" s="1"/>
    </row>
    <row r="959" ht="15.75" customHeight="1">
      <c r="C959" s="1"/>
      <c r="D959" s="1"/>
    </row>
    <row r="960" ht="15.75" customHeight="1">
      <c r="C960" s="1"/>
      <c r="D960" s="1"/>
    </row>
    <row r="961" ht="15.75" customHeight="1">
      <c r="C961" s="1"/>
      <c r="D961" s="1"/>
    </row>
    <row r="962" ht="15.75" customHeight="1">
      <c r="C962" s="1"/>
      <c r="D962" s="1"/>
    </row>
    <row r="963" ht="15.75" customHeight="1">
      <c r="C963" s="1"/>
      <c r="D963" s="1"/>
    </row>
    <row r="964" ht="15.75" customHeight="1">
      <c r="C964" s="1"/>
      <c r="D964" s="1"/>
    </row>
    <row r="965" ht="15.75" customHeight="1">
      <c r="C965" s="1"/>
      <c r="D965" s="1"/>
    </row>
    <row r="966" ht="15.75" customHeight="1">
      <c r="C966" s="1"/>
      <c r="D966" s="1"/>
    </row>
    <row r="967" ht="15.75" customHeight="1">
      <c r="C967" s="1"/>
      <c r="D967" s="1"/>
    </row>
    <row r="968" ht="15.75" customHeight="1">
      <c r="C968" s="1"/>
      <c r="D968" s="1"/>
    </row>
    <row r="969" ht="15.75" customHeight="1">
      <c r="C969" s="1"/>
      <c r="D969" s="1"/>
    </row>
    <row r="970" ht="15.75" customHeight="1">
      <c r="C970" s="1"/>
      <c r="D970" s="1"/>
    </row>
    <row r="971" ht="15.75" customHeight="1">
      <c r="C971" s="1"/>
      <c r="D971" s="1"/>
    </row>
    <row r="972" ht="15.75" customHeight="1">
      <c r="C972" s="1"/>
      <c r="D972" s="1"/>
    </row>
    <row r="973" ht="15.75" customHeight="1">
      <c r="C973" s="1"/>
      <c r="D973" s="1"/>
    </row>
    <row r="974" ht="15.75" customHeight="1">
      <c r="C974" s="1"/>
      <c r="D974" s="1"/>
    </row>
    <row r="975" ht="15.75" customHeight="1">
      <c r="C975" s="1"/>
      <c r="D975" s="1"/>
    </row>
    <row r="976" ht="15.75" customHeight="1">
      <c r="C976" s="1"/>
      <c r="D976" s="1"/>
    </row>
    <row r="977" ht="15.75" customHeight="1">
      <c r="C977" s="1"/>
      <c r="D977" s="1"/>
    </row>
    <row r="978" ht="15.75" customHeight="1">
      <c r="C978" s="1"/>
      <c r="D978" s="1"/>
    </row>
    <row r="979" ht="15.75" customHeight="1">
      <c r="C979" s="1"/>
      <c r="D979" s="1"/>
    </row>
    <row r="980" ht="15.75" customHeight="1">
      <c r="C980" s="1"/>
      <c r="D980" s="1"/>
    </row>
    <row r="981" ht="15.75" customHeight="1">
      <c r="C981" s="1"/>
      <c r="D981" s="1"/>
    </row>
    <row r="982" ht="15.75" customHeight="1">
      <c r="C982" s="1"/>
      <c r="D982" s="1"/>
    </row>
    <row r="983" ht="15.75" customHeight="1">
      <c r="C983" s="1"/>
      <c r="D983" s="1"/>
    </row>
    <row r="984" ht="15.75" customHeight="1">
      <c r="C984" s="1"/>
      <c r="D984" s="1"/>
    </row>
    <row r="985" ht="15.75" customHeight="1">
      <c r="C985" s="1"/>
      <c r="D985" s="1"/>
    </row>
    <row r="986" ht="15.75" customHeight="1">
      <c r="C986" s="1"/>
      <c r="D986" s="1"/>
    </row>
    <row r="987" ht="15.75" customHeight="1">
      <c r="C987" s="1"/>
      <c r="D987" s="1"/>
    </row>
    <row r="988" ht="15.75" customHeight="1">
      <c r="C988" s="1"/>
      <c r="D988" s="1"/>
    </row>
    <row r="989" ht="15.75" customHeight="1">
      <c r="C989" s="1"/>
      <c r="D989" s="1"/>
    </row>
    <row r="990" ht="15.75" customHeight="1">
      <c r="C990" s="1"/>
      <c r="D990" s="1"/>
    </row>
    <row r="991" ht="15.75" customHeight="1">
      <c r="C991" s="1"/>
      <c r="D991" s="1"/>
    </row>
    <row r="992" ht="15.75" customHeight="1">
      <c r="C992" s="1"/>
      <c r="D992" s="1"/>
    </row>
    <row r="993" ht="15.75" customHeight="1">
      <c r="C993" s="1"/>
      <c r="D993" s="1"/>
    </row>
    <row r="994" ht="15.75" customHeight="1">
      <c r="C994" s="1"/>
      <c r="D994" s="1"/>
    </row>
    <row r="995" ht="15.75" customHeight="1">
      <c r="C995" s="1"/>
      <c r="D995" s="1"/>
    </row>
    <row r="996" ht="15.75" customHeight="1">
      <c r="C996" s="1"/>
      <c r="D996" s="1"/>
    </row>
    <row r="997" ht="15.75" customHeight="1">
      <c r="C997" s="1"/>
      <c r="D997" s="1"/>
    </row>
  </sheetData>
  <mergeCells count="18">
    <mergeCell ref="E11:E12"/>
    <mergeCell ref="H34:I34"/>
    <mergeCell ref="E36:E37"/>
    <mergeCell ref="H56:I56"/>
    <mergeCell ref="E58:E59"/>
    <mergeCell ref="H77:I77"/>
    <mergeCell ref="E79:E80"/>
    <mergeCell ref="E174:E175"/>
    <mergeCell ref="E190:E191"/>
    <mergeCell ref="E208:E209"/>
    <mergeCell ref="E227:E228"/>
    <mergeCell ref="H95:I95"/>
    <mergeCell ref="E97:E98"/>
    <mergeCell ref="H115:I115"/>
    <mergeCell ref="E117:E118"/>
    <mergeCell ref="H136:I136"/>
    <mergeCell ref="E138:E139"/>
    <mergeCell ref="E156:E15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4" width="10.71"/>
    <col customWidth="1" min="5" max="5" width="38.14"/>
    <col customWidth="1" min="6" max="6" width="10.86"/>
    <col customWidth="1" min="7" max="7" width="9.57"/>
    <col customWidth="1" min="8" max="8" width="10.71"/>
    <col customWidth="1" min="9" max="9" width="9.71"/>
    <col customWidth="1" min="10" max="10" width="13.43"/>
    <col customWidth="1" min="11" max="11" width="6.29"/>
    <col customWidth="1" min="12" max="12" width="8.0"/>
    <col customWidth="1" min="13" max="13" width="12.29"/>
    <col customWidth="1" min="14" max="15" width="8.71"/>
    <col customWidth="1" min="16" max="16" width="6.29"/>
    <col customWidth="1" min="17" max="26" width="8.71"/>
  </cols>
  <sheetData>
    <row r="1">
      <c r="C1" s="1"/>
      <c r="D1" s="1"/>
    </row>
    <row r="2">
      <c r="C2" s="1"/>
      <c r="D2" s="1"/>
    </row>
    <row r="3">
      <c r="C3" s="1"/>
      <c r="D3" s="1"/>
    </row>
    <row r="4">
      <c r="C4" s="2" t="s">
        <v>0</v>
      </c>
      <c r="D4" s="2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/>
      <c r="J4" s="3"/>
      <c r="K4" s="31" t="s">
        <v>14</v>
      </c>
      <c r="L4" s="31" t="s">
        <v>15</v>
      </c>
      <c r="M4" s="3" t="s">
        <v>16</v>
      </c>
      <c r="P4" s="31" t="s">
        <v>14</v>
      </c>
    </row>
    <row r="5">
      <c r="C5" s="22">
        <v>45926.0</v>
      </c>
      <c r="D5" s="22">
        <v>45930.0</v>
      </c>
      <c r="E5" s="9" t="s">
        <v>37</v>
      </c>
      <c r="F5" s="23">
        <v>1403.27</v>
      </c>
      <c r="G5" s="23">
        <v>1433.98</v>
      </c>
      <c r="H5" s="7">
        <f t="shared" ref="H5:H6" si="1">G5-F5</f>
        <v>30.71</v>
      </c>
      <c r="I5" s="8">
        <v>350.0</v>
      </c>
      <c r="J5" s="8">
        <f t="shared" ref="J5:J10" si="2">H5*I5</f>
        <v>10748.5</v>
      </c>
      <c r="K5" s="32"/>
      <c r="L5" s="33">
        <v>5.55</v>
      </c>
      <c r="M5" s="14">
        <f>L5*K5</f>
        <v>0</v>
      </c>
      <c r="P5" s="32">
        <v>1000.0</v>
      </c>
    </row>
    <row r="6">
      <c r="C6" s="22">
        <v>45931.0</v>
      </c>
      <c r="D6" s="22">
        <v>45961.0</v>
      </c>
      <c r="E6" s="26" t="s">
        <v>37</v>
      </c>
      <c r="F6" s="23">
        <v>1433.98</v>
      </c>
      <c r="G6" s="23">
        <v>1668.98</v>
      </c>
      <c r="H6" s="7">
        <f t="shared" si="1"/>
        <v>235</v>
      </c>
      <c r="I6" s="34">
        <v>350.0</v>
      </c>
      <c r="J6" s="8">
        <f t="shared" si="2"/>
        <v>82250</v>
      </c>
      <c r="K6" s="7"/>
      <c r="L6" s="7">
        <v>5.61</v>
      </c>
      <c r="M6" s="14">
        <f>K6*L6</f>
        <v>0</v>
      </c>
      <c r="P6" s="7">
        <v>1630.0</v>
      </c>
    </row>
    <row r="7">
      <c r="C7" s="22"/>
      <c r="D7" s="22"/>
      <c r="E7" s="6"/>
      <c r="F7" s="23"/>
      <c r="G7" s="23"/>
      <c r="H7" s="7"/>
      <c r="I7" s="34"/>
      <c r="J7" s="8">
        <f t="shared" si="2"/>
        <v>0</v>
      </c>
      <c r="K7" s="23"/>
      <c r="L7" s="23">
        <v>5.71</v>
      </c>
      <c r="M7" s="14">
        <f>L7*K7</f>
        <v>0</v>
      </c>
      <c r="P7" s="23">
        <v>1000.0</v>
      </c>
    </row>
    <row r="8">
      <c r="C8" s="5"/>
      <c r="D8" s="5"/>
      <c r="E8" s="9" t="s">
        <v>38</v>
      </c>
      <c r="F8" s="7">
        <v>0.0</v>
      </c>
      <c r="G8" s="7"/>
      <c r="H8" s="7">
        <f t="shared" ref="H8:H10" si="3">G8-F8</f>
        <v>0</v>
      </c>
      <c r="I8" s="7"/>
      <c r="J8" s="8">
        <f t="shared" si="2"/>
        <v>0</v>
      </c>
      <c r="K8" s="7"/>
      <c r="L8" s="7"/>
      <c r="M8" s="14"/>
      <c r="P8" s="7"/>
    </row>
    <row r="9">
      <c r="C9" s="5"/>
      <c r="D9" s="5"/>
      <c r="E9" s="9"/>
      <c r="F9" s="7">
        <v>0.0</v>
      </c>
      <c r="G9" s="7"/>
      <c r="H9" s="7">
        <f t="shared" si="3"/>
        <v>0</v>
      </c>
      <c r="I9" s="7"/>
      <c r="J9" s="8">
        <f t="shared" si="2"/>
        <v>0</v>
      </c>
      <c r="K9" s="7"/>
      <c r="L9" s="7"/>
      <c r="M9" s="14"/>
      <c r="P9" s="7"/>
    </row>
    <row r="10">
      <c r="C10" s="5"/>
      <c r="D10" s="5"/>
      <c r="E10" s="9"/>
      <c r="F10" s="7">
        <v>0.0</v>
      </c>
      <c r="G10" s="7"/>
      <c r="H10" s="7">
        <f t="shared" si="3"/>
        <v>0</v>
      </c>
      <c r="I10" s="7"/>
      <c r="J10" s="8">
        <f t="shared" si="2"/>
        <v>0</v>
      </c>
      <c r="K10" s="7"/>
      <c r="L10" s="7"/>
      <c r="M10" s="14"/>
      <c r="P10" s="7"/>
    </row>
    <row r="11">
      <c r="C11" s="1"/>
      <c r="D11" s="1"/>
      <c r="I11" s="15" t="s">
        <v>11</v>
      </c>
      <c r="J11" s="11">
        <f>SUM(J5:J10)</f>
        <v>92998.5</v>
      </c>
      <c r="M11" s="16">
        <f>SUM(M5:M10)</f>
        <v>0</v>
      </c>
    </row>
    <row r="12">
      <c r="C12" s="1"/>
      <c r="D12" s="1"/>
    </row>
    <row r="13">
      <c r="C13" s="1"/>
      <c r="D13" s="1"/>
      <c r="E13" s="12" t="s">
        <v>12</v>
      </c>
      <c r="H13" s="17" t="s">
        <v>18</v>
      </c>
      <c r="I13" s="18"/>
      <c r="J13" s="19">
        <f>J11-M11</f>
        <v>92998.5</v>
      </c>
    </row>
    <row r="14">
      <c r="C14" s="1"/>
      <c r="D14" s="1"/>
      <c r="E14" s="13"/>
    </row>
    <row r="15">
      <c r="C15" s="1"/>
      <c r="D15" s="1"/>
    </row>
    <row r="16">
      <c r="C16" s="1"/>
      <c r="D16" s="1"/>
    </row>
    <row r="17">
      <c r="C17" s="1"/>
      <c r="D17" s="1"/>
    </row>
    <row r="18">
      <c r="A18" s="26" t="s">
        <v>27</v>
      </c>
      <c r="C18" s="1"/>
      <c r="D18" s="1"/>
    </row>
    <row r="19">
      <c r="C19" s="1"/>
      <c r="D19" s="1"/>
    </row>
    <row r="20">
      <c r="C20" s="35" t="s">
        <v>0</v>
      </c>
      <c r="D20" s="35" t="s">
        <v>1</v>
      </c>
      <c r="E20" s="31" t="s">
        <v>2</v>
      </c>
      <c r="F20" s="31" t="s">
        <v>3</v>
      </c>
      <c r="G20" s="31" t="s">
        <v>4</v>
      </c>
      <c r="H20" s="31" t="s">
        <v>5</v>
      </c>
      <c r="I20" s="31"/>
      <c r="J20" s="31"/>
      <c r="K20" s="31" t="s">
        <v>14</v>
      </c>
      <c r="L20" s="31" t="s">
        <v>15</v>
      </c>
      <c r="M20" s="3" t="s">
        <v>16</v>
      </c>
      <c r="P20" s="31" t="s">
        <v>14</v>
      </c>
    </row>
    <row r="21" ht="15.75" customHeight="1">
      <c r="C21" s="22">
        <v>45962.0</v>
      </c>
      <c r="D21" s="22">
        <v>45971.0</v>
      </c>
      <c r="E21" s="6" t="s">
        <v>37</v>
      </c>
      <c r="F21" s="23">
        <v>1668.98</v>
      </c>
      <c r="G21" s="23">
        <v>1734.63</v>
      </c>
      <c r="H21" s="7">
        <f t="shared" ref="H21:H26" si="4">G21-F21</f>
        <v>65.65</v>
      </c>
      <c r="I21" s="34">
        <v>350.0</v>
      </c>
      <c r="J21" s="8">
        <f t="shared" ref="J21:J22" si="5">I21*H21</f>
        <v>22977.5</v>
      </c>
      <c r="K21" s="33"/>
      <c r="L21" s="33"/>
      <c r="M21" s="14">
        <f>L21*K21</f>
        <v>0</v>
      </c>
      <c r="P21" s="33">
        <v>600.0</v>
      </c>
    </row>
    <row r="22" ht="15.75" customHeight="1">
      <c r="C22" s="22">
        <v>45972.0</v>
      </c>
      <c r="D22" s="22">
        <v>45979.0</v>
      </c>
      <c r="E22" s="6" t="s">
        <v>39</v>
      </c>
      <c r="F22" s="23">
        <v>1734.63</v>
      </c>
      <c r="G22" s="23">
        <v>1807.98</v>
      </c>
      <c r="H22" s="7">
        <f t="shared" si="4"/>
        <v>73.35</v>
      </c>
      <c r="I22" s="8">
        <v>350.0</v>
      </c>
      <c r="J22" s="8">
        <f t="shared" si="5"/>
        <v>25672.5</v>
      </c>
      <c r="K22" s="7"/>
      <c r="L22" s="7"/>
      <c r="M22" s="14"/>
      <c r="P22" s="7"/>
    </row>
    <row r="23" ht="15.75" customHeight="1">
      <c r="C23" s="22"/>
      <c r="D23" s="22"/>
      <c r="E23" s="6" t="s">
        <v>40</v>
      </c>
      <c r="F23" s="23">
        <v>0.0</v>
      </c>
      <c r="G23" s="23"/>
      <c r="H23" s="7">
        <f t="shared" si="4"/>
        <v>0</v>
      </c>
      <c r="I23" s="23"/>
      <c r="J23" s="8">
        <f t="shared" ref="J23:J26" si="6">H23*I23</f>
        <v>0</v>
      </c>
      <c r="K23" s="23"/>
      <c r="L23" s="23"/>
      <c r="M23" s="14"/>
      <c r="P23" s="23"/>
    </row>
    <row r="24" ht="15.75" customHeight="1">
      <c r="C24" s="5"/>
      <c r="D24" s="5"/>
      <c r="F24" s="7">
        <v>0.0</v>
      </c>
      <c r="G24" s="7"/>
      <c r="H24" s="7">
        <f t="shared" si="4"/>
        <v>0</v>
      </c>
      <c r="I24" s="7"/>
      <c r="J24" s="8">
        <f t="shared" si="6"/>
        <v>0</v>
      </c>
      <c r="K24" s="7"/>
      <c r="L24" s="7"/>
      <c r="M24" s="14"/>
      <c r="P24" s="7"/>
    </row>
    <row r="25" ht="15.75" customHeight="1">
      <c r="C25" s="5"/>
      <c r="D25" s="5"/>
      <c r="E25" s="9"/>
      <c r="F25" s="7">
        <v>0.0</v>
      </c>
      <c r="G25" s="7"/>
      <c r="H25" s="7">
        <f t="shared" si="4"/>
        <v>0</v>
      </c>
      <c r="I25" s="7"/>
      <c r="J25" s="8">
        <f t="shared" si="6"/>
        <v>0</v>
      </c>
      <c r="K25" s="7"/>
      <c r="L25" s="7"/>
      <c r="M25" s="14"/>
      <c r="P25" s="7"/>
    </row>
    <row r="26" ht="15.75" customHeight="1">
      <c r="C26" s="5"/>
      <c r="D26" s="5"/>
      <c r="E26" s="9"/>
      <c r="F26" s="7">
        <v>0.0</v>
      </c>
      <c r="G26" s="7"/>
      <c r="H26" s="7">
        <f t="shared" si="4"/>
        <v>0</v>
      </c>
      <c r="I26" s="7"/>
      <c r="J26" s="8">
        <f t="shared" si="6"/>
        <v>0</v>
      </c>
      <c r="K26" s="7"/>
      <c r="L26" s="7"/>
      <c r="M26" s="14"/>
      <c r="P26" s="7"/>
    </row>
    <row r="27" ht="15.75" customHeight="1">
      <c r="C27" s="1"/>
      <c r="D27" s="1"/>
      <c r="I27" s="15" t="s">
        <v>11</v>
      </c>
      <c r="J27" s="11">
        <f>SUM(J21:J26)</f>
        <v>48650</v>
      </c>
      <c r="M27" s="16">
        <f>SUM(M21:M26)</f>
        <v>0</v>
      </c>
    </row>
    <row r="28" ht="15.75" customHeight="1">
      <c r="C28" s="1"/>
      <c r="D28" s="1"/>
    </row>
    <row r="29" ht="15.75" customHeight="1">
      <c r="C29" s="1"/>
      <c r="D29" s="1"/>
      <c r="H29" s="17" t="s">
        <v>18</v>
      </c>
      <c r="I29" s="18"/>
      <c r="J29" s="19">
        <f>J27-M27</f>
        <v>48650</v>
      </c>
    </row>
    <row r="30" ht="15.75" customHeight="1">
      <c r="C30" s="1"/>
      <c r="D30" s="1"/>
      <c r="E30" s="20" t="s">
        <v>12</v>
      </c>
    </row>
    <row r="31" ht="15.75" customHeight="1">
      <c r="C31" s="1"/>
      <c r="D31" s="1"/>
      <c r="E31" s="13"/>
    </row>
    <row r="32" ht="15.75" customHeight="1">
      <c r="C32" s="1"/>
      <c r="D32" s="1"/>
    </row>
    <row r="33" ht="15.75" customHeight="1">
      <c r="C33" s="1"/>
      <c r="D33" s="1"/>
    </row>
    <row r="34" ht="15.75" customHeight="1">
      <c r="C34" s="1"/>
      <c r="D34" s="1"/>
    </row>
    <row r="35" ht="15.75" customHeight="1">
      <c r="A35" s="26" t="s">
        <v>27</v>
      </c>
      <c r="C35" s="1"/>
      <c r="D35" s="1"/>
    </row>
    <row r="36" ht="15.75" customHeight="1">
      <c r="C36" s="1"/>
      <c r="D36" s="1"/>
    </row>
    <row r="37" ht="15.75" customHeight="1">
      <c r="C37" s="2" t="s">
        <v>0</v>
      </c>
      <c r="D37" s="2" t="s">
        <v>1</v>
      </c>
      <c r="E37" s="3" t="s">
        <v>2</v>
      </c>
      <c r="F37" s="3" t="s">
        <v>3</v>
      </c>
      <c r="G37" s="3" t="s">
        <v>4</v>
      </c>
      <c r="H37" s="3" t="s">
        <v>5</v>
      </c>
      <c r="I37" s="3"/>
      <c r="J37" s="3"/>
      <c r="K37" s="31" t="s">
        <v>14</v>
      </c>
      <c r="L37" s="31" t="s">
        <v>15</v>
      </c>
      <c r="M37" s="3" t="s">
        <v>16</v>
      </c>
    </row>
    <row r="38" ht="15.75" customHeight="1">
      <c r="C38" s="22">
        <v>46042.0</v>
      </c>
      <c r="D38" s="22">
        <v>46053.0</v>
      </c>
      <c r="E38" s="6" t="s">
        <v>41</v>
      </c>
      <c r="F38" s="23">
        <v>4070.0</v>
      </c>
      <c r="G38" s="23">
        <v>4160.0</v>
      </c>
      <c r="H38" s="7">
        <f t="shared" ref="H38:H43" si="7">G38-F38</f>
        <v>90</v>
      </c>
      <c r="I38" s="8"/>
      <c r="J38" s="8">
        <f t="shared" ref="J38:J43" si="8">H38*I38</f>
        <v>0</v>
      </c>
      <c r="K38" s="33">
        <v>1312.0</v>
      </c>
      <c r="L38" s="33"/>
      <c r="M38" s="14">
        <f>L38*K38</f>
        <v>0</v>
      </c>
    </row>
    <row r="39" ht="15.75" customHeight="1">
      <c r="C39" s="22">
        <v>46025.0</v>
      </c>
      <c r="D39" s="22">
        <v>46053.0</v>
      </c>
      <c r="E39" s="6" t="s">
        <v>42</v>
      </c>
      <c r="F39" s="36">
        <v>2141.57</v>
      </c>
      <c r="G39" s="36">
        <v>2370.55</v>
      </c>
      <c r="H39" s="37">
        <f t="shared" si="7"/>
        <v>228.98</v>
      </c>
      <c r="I39" s="23"/>
      <c r="J39" s="8">
        <f t="shared" si="8"/>
        <v>0</v>
      </c>
      <c r="K39" s="23">
        <v>3198.0</v>
      </c>
      <c r="L39" s="7"/>
      <c r="M39" s="14"/>
    </row>
    <row r="40" ht="15.75" customHeight="1">
      <c r="C40" s="22"/>
      <c r="D40" s="22"/>
      <c r="E40" s="6"/>
      <c r="F40" s="23">
        <v>0.0</v>
      </c>
      <c r="G40" s="23"/>
      <c r="H40" s="7">
        <f t="shared" si="7"/>
        <v>0</v>
      </c>
      <c r="I40" s="23"/>
      <c r="J40" s="8">
        <f t="shared" si="8"/>
        <v>0</v>
      </c>
      <c r="K40" s="23"/>
      <c r="L40" s="23"/>
      <c r="M40" s="14"/>
    </row>
    <row r="41" ht="15.75" customHeight="1">
      <c r="C41" s="5"/>
      <c r="D41" s="5"/>
      <c r="F41" s="7">
        <v>0.0</v>
      </c>
      <c r="G41" s="7"/>
      <c r="H41" s="7">
        <f t="shared" si="7"/>
        <v>0</v>
      </c>
      <c r="I41" s="7"/>
      <c r="J41" s="8">
        <f t="shared" si="8"/>
        <v>0</v>
      </c>
      <c r="K41" s="7"/>
      <c r="L41" s="7"/>
      <c r="M41" s="14"/>
    </row>
    <row r="42" ht="15.75" customHeight="1">
      <c r="C42" s="5"/>
      <c r="D42" s="5"/>
      <c r="E42" s="9"/>
      <c r="F42" s="7">
        <v>0.0</v>
      </c>
      <c r="G42" s="7"/>
      <c r="H42" s="7">
        <f t="shared" si="7"/>
        <v>0</v>
      </c>
      <c r="I42" s="7"/>
      <c r="J42" s="8">
        <f t="shared" si="8"/>
        <v>0</v>
      </c>
      <c r="K42" s="7"/>
      <c r="L42" s="7"/>
      <c r="M42" s="14"/>
    </row>
    <row r="43" ht="15.75" customHeight="1">
      <c r="C43" s="5"/>
      <c r="D43" s="5"/>
      <c r="E43" s="9"/>
      <c r="F43" s="7">
        <v>0.0</v>
      </c>
      <c r="G43" s="7"/>
      <c r="H43" s="7">
        <f t="shared" si="7"/>
        <v>0</v>
      </c>
      <c r="I43" s="7"/>
      <c r="J43" s="8">
        <f t="shared" si="8"/>
        <v>0</v>
      </c>
      <c r="K43" s="7"/>
      <c r="L43" s="7"/>
      <c r="M43" s="14"/>
    </row>
    <row r="44" ht="15.75" customHeight="1">
      <c r="C44" s="1"/>
      <c r="D44" s="1"/>
      <c r="I44" s="15" t="s">
        <v>11</v>
      </c>
      <c r="J44" s="11">
        <f>SUM(J38:J43)</f>
        <v>0</v>
      </c>
      <c r="M44" s="16">
        <f>SUM(M38:M43)</f>
        <v>0</v>
      </c>
    </row>
    <row r="45" ht="15.75" customHeight="1">
      <c r="C45" s="1"/>
      <c r="D45" s="1"/>
    </row>
    <row r="46" ht="15.75" customHeight="1">
      <c r="C46" s="1"/>
      <c r="D46" s="1"/>
      <c r="H46" s="17" t="s">
        <v>18</v>
      </c>
      <c r="I46" s="18"/>
      <c r="J46" s="19">
        <f>J44-M44</f>
        <v>0</v>
      </c>
    </row>
    <row r="47" ht="15.75" customHeight="1">
      <c r="C47" s="1"/>
      <c r="D47" s="1"/>
      <c r="E47" s="12" t="s">
        <v>12</v>
      </c>
    </row>
    <row r="48" ht="15.75" customHeight="1">
      <c r="C48" s="1"/>
      <c r="D48" s="1"/>
      <c r="E48" s="13"/>
    </row>
    <row r="49" ht="15.75" customHeight="1">
      <c r="C49" s="1"/>
      <c r="D49" s="1"/>
    </row>
    <row r="50" ht="15.75" customHeight="1">
      <c r="C50" s="1"/>
      <c r="D50" s="1"/>
    </row>
    <row r="51" ht="15.75" customHeight="1">
      <c r="C51" s="1"/>
      <c r="D51" s="1"/>
    </row>
    <row r="52" ht="15.75" customHeight="1">
      <c r="C52" s="1"/>
      <c r="D52" s="1"/>
    </row>
    <row r="53" ht="15.75" customHeight="1">
      <c r="C53" s="1"/>
      <c r="D53" s="1"/>
    </row>
    <row r="54" ht="15.75" customHeight="1">
      <c r="C54" s="1"/>
      <c r="D54" s="1"/>
    </row>
    <row r="55" ht="15.75" customHeight="1">
      <c r="C55" s="1"/>
      <c r="D55" s="1"/>
    </row>
    <row r="56" ht="15.75" customHeight="1">
      <c r="C56" s="1"/>
      <c r="D56" s="1"/>
    </row>
    <row r="57" ht="15.75" customHeight="1">
      <c r="C57" s="1"/>
      <c r="D57" s="1"/>
    </row>
    <row r="58" ht="15.75" customHeight="1">
      <c r="C58" s="1"/>
      <c r="D58" s="1"/>
    </row>
    <row r="59" ht="15.75" customHeight="1">
      <c r="C59" s="1"/>
      <c r="D59" s="1"/>
    </row>
    <row r="60" ht="15.75" customHeight="1">
      <c r="C60" s="1"/>
      <c r="D60" s="1"/>
    </row>
    <row r="61" ht="15.75" customHeight="1">
      <c r="C61" s="1"/>
      <c r="D61" s="1"/>
    </row>
    <row r="62" ht="15.75" customHeight="1">
      <c r="C62" s="1"/>
      <c r="D62" s="1"/>
    </row>
    <row r="63" ht="15.75" customHeight="1">
      <c r="C63" s="1"/>
      <c r="D63" s="1"/>
    </row>
    <row r="64" ht="15.75" customHeight="1">
      <c r="C64" s="1"/>
      <c r="D64" s="1"/>
    </row>
    <row r="65" ht="15.75" customHeight="1">
      <c r="C65" s="1"/>
      <c r="D65" s="1"/>
    </row>
    <row r="66" ht="15.75" customHeight="1">
      <c r="C66" s="1"/>
      <c r="D66" s="1"/>
    </row>
    <row r="67" ht="15.75" customHeight="1">
      <c r="C67" s="1"/>
      <c r="D67" s="1"/>
    </row>
    <row r="68" ht="15.75" customHeight="1">
      <c r="C68" s="1"/>
      <c r="D68" s="1"/>
    </row>
    <row r="69" ht="15.75" customHeight="1">
      <c r="C69" s="1"/>
      <c r="D69" s="1"/>
    </row>
    <row r="70" ht="15.75" customHeight="1">
      <c r="C70" s="1"/>
      <c r="D70" s="1"/>
    </row>
    <row r="71" ht="15.75" customHeight="1">
      <c r="C71" s="1"/>
      <c r="D71" s="1"/>
    </row>
    <row r="72" ht="15.75" customHeight="1">
      <c r="C72" s="1"/>
      <c r="D72" s="1"/>
    </row>
    <row r="73" ht="15.75" customHeight="1">
      <c r="C73" s="1"/>
      <c r="D73" s="1"/>
    </row>
    <row r="74" ht="15.75" customHeight="1">
      <c r="C74" s="1"/>
      <c r="D74" s="1"/>
    </row>
    <row r="75" ht="15.75" customHeight="1">
      <c r="C75" s="1"/>
      <c r="D75" s="1"/>
    </row>
    <row r="76" ht="15.75" customHeight="1">
      <c r="C76" s="1"/>
      <c r="D76" s="1"/>
    </row>
    <row r="77" ht="15.75" customHeight="1">
      <c r="C77" s="1"/>
      <c r="D77" s="1"/>
    </row>
    <row r="78" ht="15.75" customHeight="1">
      <c r="C78" s="1"/>
      <c r="D78" s="1"/>
    </row>
    <row r="79" ht="15.75" customHeight="1">
      <c r="C79" s="1"/>
      <c r="D79" s="1"/>
    </row>
    <row r="80" ht="15.75" customHeight="1">
      <c r="C80" s="1"/>
      <c r="D80" s="1"/>
    </row>
    <row r="81" ht="15.75" customHeight="1">
      <c r="C81" s="1"/>
      <c r="D81" s="1"/>
    </row>
    <row r="82" ht="15.75" customHeight="1">
      <c r="C82" s="1"/>
      <c r="D82" s="1"/>
    </row>
    <row r="83" ht="15.75" customHeight="1">
      <c r="C83" s="1"/>
      <c r="D83" s="1"/>
    </row>
    <row r="84" ht="15.75" customHeight="1">
      <c r="C84" s="1"/>
      <c r="D84" s="1"/>
    </row>
    <row r="85" ht="15.75" customHeight="1">
      <c r="C85" s="1"/>
      <c r="D85" s="1"/>
    </row>
    <row r="86" ht="15.75" customHeight="1">
      <c r="C86" s="1"/>
      <c r="D86" s="1"/>
    </row>
    <row r="87" ht="15.75" customHeight="1">
      <c r="C87" s="1"/>
      <c r="D87" s="1"/>
    </row>
    <row r="88" ht="15.75" customHeight="1">
      <c r="C88" s="1"/>
      <c r="D88" s="1"/>
    </row>
    <row r="89" ht="15.75" customHeight="1">
      <c r="C89" s="1"/>
      <c r="D89" s="1"/>
    </row>
    <row r="90" ht="15.75" customHeight="1">
      <c r="C90" s="1"/>
      <c r="D90" s="1"/>
    </row>
    <row r="91" ht="15.75" customHeight="1">
      <c r="C91" s="1"/>
      <c r="D91" s="1"/>
    </row>
    <row r="92" ht="15.75" customHeight="1">
      <c r="C92" s="1"/>
      <c r="D92" s="1"/>
    </row>
    <row r="93" ht="15.75" customHeight="1">
      <c r="C93" s="1"/>
      <c r="D93" s="1"/>
    </row>
    <row r="94" ht="15.75" customHeight="1">
      <c r="C94" s="1"/>
      <c r="D94" s="1"/>
    </row>
    <row r="95" ht="15.75" customHeight="1">
      <c r="C95" s="1"/>
      <c r="D95" s="1"/>
    </row>
    <row r="96" ht="15.75" customHeight="1">
      <c r="C96" s="1"/>
      <c r="D96" s="1"/>
    </row>
    <row r="97" ht="15.75" customHeight="1">
      <c r="C97" s="1"/>
      <c r="D97" s="1"/>
    </row>
    <row r="98" ht="15.75" customHeight="1">
      <c r="C98" s="1"/>
      <c r="D98" s="1"/>
    </row>
    <row r="99" ht="15.75" customHeight="1">
      <c r="C99" s="1"/>
      <c r="D99" s="1"/>
    </row>
    <row r="100" ht="15.75" customHeight="1">
      <c r="C100" s="1"/>
      <c r="D100" s="1"/>
    </row>
    <row r="101" ht="15.75" customHeight="1">
      <c r="C101" s="1"/>
      <c r="D101" s="1"/>
    </row>
    <row r="102" ht="15.75" customHeight="1">
      <c r="C102" s="1"/>
      <c r="D102" s="1"/>
    </row>
    <row r="103" ht="15.75" customHeight="1">
      <c r="C103" s="1"/>
      <c r="D103" s="1"/>
    </row>
    <row r="104" ht="15.75" customHeight="1">
      <c r="C104" s="1"/>
      <c r="D104" s="1"/>
    </row>
    <row r="105" ht="15.75" customHeight="1">
      <c r="C105" s="1"/>
      <c r="D105" s="1"/>
    </row>
    <row r="106" ht="15.75" customHeight="1">
      <c r="C106" s="1"/>
      <c r="D106" s="1"/>
    </row>
    <row r="107" ht="15.75" customHeight="1">
      <c r="C107" s="1"/>
      <c r="D107" s="1"/>
    </row>
    <row r="108" ht="15.75" customHeight="1">
      <c r="C108" s="1"/>
      <c r="D108" s="1"/>
    </row>
    <row r="109" ht="15.75" customHeight="1">
      <c r="C109" s="1"/>
      <c r="D109" s="1"/>
    </row>
    <row r="110" ht="15.75" customHeight="1">
      <c r="C110" s="1"/>
      <c r="D110" s="1"/>
    </row>
    <row r="111" ht="15.75" customHeight="1">
      <c r="C111" s="1"/>
      <c r="D111" s="1"/>
    </row>
    <row r="112" ht="15.75" customHeight="1">
      <c r="C112" s="1"/>
      <c r="D112" s="1"/>
    </row>
    <row r="113" ht="15.75" customHeight="1">
      <c r="C113" s="1"/>
      <c r="D113" s="1"/>
    </row>
    <row r="114" ht="15.75" customHeight="1">
      <c r="C114" s="1"/>
      <c r="D114" s="1"/>
    </row>
    <row r="115" ht="15.75" customHeight="1">
      <c r="C115" s="1"/>
      <c r="D115" s="1"/>
    </row>
    <row r="116" ht="15.75" customHeight="1">
      <c r="C116" s="1"/>
      <c r="D116" s="1"/>
    </row>
    <row r="117" ht="15.75" customHeight="1">
      <c r="C117" s="1"/>
      <c r="D117" s="1"/>
    </row>
    <row r="118" ht="15.75" customHeight="1">
      <c r="C118" s="1"/>
      <c r="D118" s="1"/>
    </row>
    <row r="119" ht="15.75" customHeight="1">
      <c r="C119" s="1"/>
      <c r="D119" s="1"/>
    </row>
    <row r="120" ht="15.75" customHeight="1">
      <c r="C120" s="1"/>
      <c r="D120" s="1"/>
    </row>
    <row r="121" ht="15.75" customHeight="1">
      <c r="C121" s="1"/>
      <c r="D121" s="1"/>
    </row>
    <row r="122" ht="15.75" customHeight="1">
      <c r="C122" s="1"/>
      <c r="D122" s="1"/>
    </row>
    <row r="123" ht="15.75" customHeight="1">
      <c r="C123" s="1"/>
      <c r="D123" s="1"/>
    </row>
    <row r="124" ht="15.75" customHeight="1">
      <c r="C124" s="1"/>
      <c r="D124" s="1"/>
    </row>
    <row r="125" ht="15.75" customHeight="1">
      <c r="C125" s="1"/>
      <c r="D125" s="1"/>
    </row>
    <row r="126" ht="15.75" customHeight="1">
      <c r="C126" s="1"/>
      <c r="D126" s="1"/>
    </row>
    <row r="127" ht="15.75" customHeight="1">
      <c r="C127" s="1"/>
      <c r="D127" s="1"/>
    </row>
    <row r="128" ht="15.75" customHeight="1">
      <c r="C128" s="1"/>
      <c r="D128" s="1"/>
    </row>
    <row r="129" ht="15.75" customHeight="1">
      <c r="C129" s="1"/>
      <c r="D129" s="1"/>
    </row>
    <row r="130" ht="15.75" customHeight="1">
      <c r="C130" s="1"/>
      <c r="D130" s="1"/>
    </row>
    <row r="131" ht="15.75" customHeight="1">
      <c r="C131" s="1"/>
      <c r="D131" s="1"/>
    </row>
    <row r="132" ht="15.75" customHeight="1">
      <c r="C132" s="1"/>
      <c r="D132" s="1"/>
    </row>
    <row r="133" ht="15.75" customHeight="1">
      <c r="C133" s="1"/>
      <c r="D133" s="1"/>
    </row>
    <row r="134" ht="15.75" customHeight="1">
      <c r="C134" s="1"/>
      <c r="D134" s="1"/>
    </row>
    <row r="135" ht="15.75" customHeight="1">
      <c r="C135" s="1"/>
      <c r="D135" s="1"/>
    </row>
    <row r="136" ht="15.75" customHeight="1">
      <c r="C136" s="1"/>
      <c r="D136" s="1"/>
    </row>
    <row r="137" ht="15.75" customHeight="1">
      <c r="C137" s="1"/>
      <c r="D137" s="1"/>
    </row>
    <row r="138" ht="15.75" customHeight="1">
      <c r="C138" s="1"/>
      <c r="D138" s="1"/>
    </row>
    <row r="139" ht="15.75" customHeight="1">
      <c r="C139" s="1"/>
      <c r="D139" s="1"/>
    </row>
    <row r="140" ht="15.75" customHeight="1">
      <c r="C140" s="1"/>
      <c r="D140" s="1"/>
    </row>
    <row r="141" ht="15.75" customHeight="1">
      <c r="C141" s="1"/>
      <c r="D141" s="1"/>
    </row>
    <row r="142" ht="15.75" customHeight="1">
      <c r="C142" s="1"/>
      <c r="D142" s="1"/>
    </row>
    <row r="143" ht="15.75" customHeight="1">
      <c r="C143" s="1"/>
      <c r="D143" s="1"/>
    </row>
    <row r="144" ht="15.75" customHeight="1">
      <c r="C144" s="1"/>
      <c r="D144" s="1"/>
    </row>
    <row r="145" ht="15.75" customHeight="1">
      <c r="C145" s="1"/>
      <c r="D145" s="1"/>
    </row>
    <row r="146" ht="15.75" customHeight="1">
      <c r="C146" s="1"/>
      <c r="D146" s="1"/>
    </row>
    <row r="147" ht="15.75" customHeight="1">
      <c r="C147" s="1"/>
      <c r="D147" s="1"/>
    </row>
    <row r="148" ht="15.75" customHeight="1">
      <c r="C148" s="1"/>
      <c r="D148" s="1"/>
    </row>
    <row r="149" ht="15.75" customHeight="1">
      <c r="C149" s="1"/>
      <c r="D149" s="1"/>
    </row>
    <row r="150" ht="15.75" customHeight="1">
      <c r="C150" s="1"/>
      <c r="D150" s="1"/>
    </row>
    <row r="151" ht="15.75" customHeight="1">
      <c r="C151" s="1"/>
      <c r="D151" s="1"/>
    </row>
    <row r="152" ht="15.75" customHeight="1">
      <c r="C152" s="1"/>
      <c r="D152" s="1"/>
    </row>
    <row r="153" ht="15.75" customHeight="1">
      <c r="C153" s="1"/>
      <c r="D153" s="1"/>
    </row>
    <row r="154" ht="15.75" customHeight="1">
      <c r="C154" s="1"/>
      <c r="D154" s="1"/>
    </row>
    <row r="155" ht="15.75" customHeight="1">
      <c r="C155" s="1"/>
      <c r="D155" s="1"/>
    </row>
    <row r="156" ht="15.75" customHeight="1">
      <c r="C156" s="1"/>
      <c r="D156" s="1"/>
    </row>
    <row r="157" ht="15.75" customHeight="1">
      <c r="C157" s="1"/>
      <c r="D157" s="1"/>
    </row>
    <row r="158" ht="15.75" customHeight="1">
      <c r="C158" s="1"/>
      <c r="D158" s="1"/>
    </row>
    <row r="159" ht="15.75" customHeight="1">
      <c r="C159" s="1"/>
      <c r="D159" s="1"/>
    </row>
    <row r="160" ht="15.75" customHeight="1">
      <c r="C160" s="1"/>
      <c r="D160" s="1"/>
    </row>
    <row r="161" ht="15.75" customHeight="1">
      <c r="C161" s="1"/>
      <c r="D161" s="1"/>
    </row>
    <row r="162" ht="15.75" customHeight="1">
      <c r="C162" s="1"/>
      <c r="D162" s="1"/>
    </row>
    <row r="163" ht="15.75" customHeight="1">
      <c r="C163" s="1"/>
      <c r="D163" s="1"/>
    </row>
    <row r="164" ht="15.75" customHeight="1">
      <c r="C164" s="1"/>
      <c r="D164" s="1"/>
    </row>
    <row r="165" ht="15.75" customHeight="1">
      <c r="C165" s="1"/>
      <c r="D165" s="1"/>
    </row>
    <row r="166" ht="15.75" customHeight="1">
      <c r="C166" s="1"/>
      <c r="D166" s="1"/>
    </row>
    <row r="167" ht="15.75" customHeight="1">
      <c r="C167" s="1"/>
      <c r="D167" s="1"/>
    </row>
    <row r="168" ht="15.75" customHeight="1">
      <c r="C168" s="1"/>
      <c r="D168" s="1"/>
    </row>
    <row r="169" ht="15.75" customHeight="1">
      <c r="C169" s="1"/>
      <c r="D169" s="1"/>
    </row>
    <row r="170" ht="15.75" customHeight="1">
      <c r="C170" s="1"/>
      <c r="D170" s="1"/>
    </row>
    <row r="171" ht="15.75" customHeight="1">
      <c r="C171" s="1"/>
      <c r="D171" s="1"/>
    </row>
    <row r="172" ht="15.75" customHeight="1">
      <c r="C172" s="1"/>
      <c r="D172" s="1"/>
    </row>
    <row r="173" ht="15.75" customHeight="1">
      <c r="C173" s="1"/>
      <c r="D173" s="1"/>
    </row>
    <row r="174" ht="15.75" customHeight="1">
      <c r="C174" s="1"/>
      <c r="D174" s="1"/>
    </row>
    <row r="175" ht="15.75" customHeight="1">
      <c r="C175" s="1"/>
      <c r="D175" s="1"/>
    </row>
    <row r="176" ht="15.75" customHeight="1">
      <c r="C176" s="1"/>
      <c r="D176" s="1"/>
    </row>
    <row r="177" ht="15.75" customHeight="1">
      <c r="C177" s="1"/>
      <c r="D177" s="1"/>
    </row>
    <row r="178" ht="15.75" customHeight="1">
      <c r="C178" s="1"/>
      <c r="D178" s="1"/>
    </row>
    <row r="179" ht="15.75" customHeight="1">
      <c r="C179" s="1"/>
      <c r="D179" s="1"/>
    </row>
    <row r="180" ht="15.75" customHeight="1">
      <c r="C180" s="1"/>
      <c r="D180" s="1"/>
    </row>
    <row r="181" ht="15.75" customHeight="1">
      <c r="C181" s="1"/>
      <c r="D181" s="1"/>
    </row>
    <row r="182" ht="15.75" customHeight="1">
      <c r="C182" s="1"/>
      <c r="D182" s="1"/>
    </row>
    <row r="183" ht="15.75" customHeight="1">
      <c r="C183" s="1"/>
      <c r="D183" s="1"/>
    </row>
    <row r="184" ht="15.75" customHeight="1">
      <c r="C184" s="1"/>
      <c r="D184" s="1"/>
    </row>
    <row r="185" ht="15.75" customHeight="1">
      <c r="C185" s="1"/>
      <c r="D185" s="1"/>
    </row>
    <row r="186" ht="15.75" customHeight="1">
      <c r="C186" s="1"/>
      <c r="D186" s="1"/>
    </row>
    <row r="187" ht="15.75" customHeight="1">
      <c r="C187" s="1"/>
      <c r="D187" s="1"/>
    </row>
    <row r="188" ht="15.75" customHeight="1">
      <c r="C188" s="1"/>
      <c r="D188" s="1"/>
    </row>
    <row r="189" ht="15.75" customHeight="1">
      <c r="C189" s="1"/>
      <c r="D189" s="1"/>
    </row>
    <row r="190" ht="15.75" customHeight="1">
      <c r="C190" s="1"/>
      <c r="D190" s="1"/>
    </row>
    <row r="191" ht="15.75" customHeight="1">
      <c r="C191" s="1"/>
      <c r="D191" s="1"/>
    </row>
    <row r="192" ht="15.75" customHeight="1">
      <c r="C192" s="1"/>
      <c r="D192" s="1"/>
    </row>
    <row r="193" ht="15.75" customHeight="1">
      <c r="C193" s="1"/>
      <c r="D193" s="1"/>
    </row>
    <row r="194" ht="15.75" customHeight="1">
      <c r="C194" s="1"/>
      <c r="D194" s="1"/>
    </row>
    <row r="195" ht="15.75" customHeight="1">
      <c r="C195" s="1"/>
      <c r="D195" s="1"/>
    </row>
    <row r="196" ht="15.75" customHeight="1">
      <c r="C196" s="1"/>
      <c r="D196" s="1"/>
    </row>
    <row r="197" ht="15.75" customHeight="1">
      <c r="C197" s="1"/>
      <c r="D197" s="1"/>
    </row>
    <row r="198" ht="15.75" customHeight="1">
      <c r="C198" s="1"/>
      <c r="D198" s="1"/>
    </row>
    <row r="199" ht="15.75" customHeight="1">
      <c r="C199" s="1"/>
      <c r="D199" s="1"/>
    </row>
    <row r="200" ht="15.75" customHeight="1">
      <c r="C200" s="1"/>
      <c r="D200" s="1"/>
    </row>
    <row r="201" ht="15.75" customHeight="1">
      <c r="C201" s="1"/>
      <c r="D201" s="1"/>
    </row>
    <row r="202" ht="15.75" customHeight="1">
      <c r="C202" s="1"/>
      <c r="D202" s="1"/>
    </row>
    <row r="203" ht="15.75" customHeight="1">
      <c r="C203" s="1"/>
      <c r="D203" s="1"/>
    </row>
    <row r="204" ht="15.75" customHeight="1">
      <c r="C204" s="1"/>
      <c r="D204" s="1"/>
    </row>
    <row r="205" ht="15.75" customHeight="1">
      <c r="C205" s="1"/>
      <c r="D205" s="1"/>
    </row>
    <row r="206" ht="15.75" customHeight="1">
      <c r="C206" s="1"/>
      <c r="D206" s="1"/>
    </row>
    <row r="207" ht="15.75" customHeight="1">
      <c r="C207" s="1"/>
      <c r="D207" s="1"/>
    </row>
    <row r="208" ht="15.75" customHeight="1">
      <c r="C208" s="1"/>
      <c r="D208" s="1"/>
    </row>
    <row r="209" ht="15.75" customHeight="1">
      <c r="C209" s="1"/>
      <c r="D209" s="1"/>
    </row>
    <row r="210" ht="15.75" customHeight="1">
      <c r="C210" s="1"/>
      <c r="D210" s="1"/>
    </row>
    <row r="211" ht="15.75" customHeight="1">
      <c r="C211" s="1"/>
      <c r="D211" s="1"/>
    </row>
    <row r="212" ht="15.75" customHeight="1">
      <c r="C212" s="1"/>
      <c r="D212" s="1"/>
    </row>
    <row r="213" ht="15.75" customHeight="1">
      <c r="C213" s="1"/>
      <c r="D213" s="1"/>
    </row>
    <row r="214" ht="15.75" customHeight="1">
      <c r="C214" s="1"/>
      <c r="D214" s="1"/>
    </row>
    <row r="215" ht="15.75" customHeight="1">
      <c r="C215" s="1"/>
      <c r="D215" s="1"/>
    </row>
    <row r="216" ht="15.75" customHeight="1">
      <c r="C216" s="1"/>
      <c r="D216" s="1"/>
    </row>
    <row r="217" ht="15.75" customHeight="1">
      <c r="C217" s="1"/>
      <c r="D217" s="1"/>
    </row>
    <row r="218" ht="15.75" customHeight="1">
      <c r="C218" s="1"/>
      <c r="D218" s="1"/>
    </row>
    <row r="219" ht="15.75" customHeight="1">
      <c r="C219" s="1"/>
      <c r="D219" s="1"/>
    </row>
    <row r="220" ht="15.75" customHeight="1">
      <c r="C220" s="1"/>
      <c r="D220" s="1"/>
    </row>
    <row r="221" ht="15.75" customHeight="1">
      <c r="C221" s="1"/>
      <c r="D221" s="1"/>
    </row>
    <row r="222" ht="15.75" customHeight="1">
      <c r="C222" s="1"/>
      <c r="D222" s="1"/>
    </row>
    <row r="223" ht="15.75" customHeight="1">
      <c r="C223" s="1"/>
      <c r="D223" s="1"/>
    </row>
    <row r="224" ht="15.75" customHeight="1">
      <c r="C224" s="1"/>
      <c r="D224" s="1"/>
    </row>
    <row r="225" ht="15.75" customHeight="1">
      <c r="C225" s="1"/>
      <c r="D225" s="1"/>
    </row>
    <row r="226" ht="15.75" customHeight="1">
      <c r="C226" s="1"/>
      <c r="D226" s="1"/>
    </row>
    <row r="227" ht="15.75" customHeight="1">
      <c r="C227" s="1"/>
      <c r="D227" s="1"/>
    </row>
    <row r="228" ht="15.75" customHeight="1">
      <c r="C228" s="1"/>
      <c r="D228" s="1"/>
    </row>
    <row r="229" ht="15.75" customHeight="1">
      <c r="C229" s="1"/>
      <c r="D229" s="1"/>
    </row>
    <row r="230" ht="15.75" customHeight="1">
      <c r="C230" s="1"/>
      <c r="D230" s="1"/>
    </row>
    <row r="231" ht="15.75" customHeight="1">
      <c r="C231" s="1"/>
      <c r="D231" s="1"/>
    </row>
    <row r="232" ht="15.75" customHeight="1">
      <c r="C232" s="1"/>
      <c r="D232" s="1"/>
    </row>
    <row r="233" ht="15.75" customHeight="1">
      <c r="C233" s="1"/>
      <c r="D233" s="1"/>
    </row>
    <row r="234" ht="15.75" customHeight="1">
      <c r="C234" s="1"/>
      <c r="D234" s="1"/>
    </row>
    <row r="235" ht="15.75" customHeight="1">
      <c r="C235" s="1"/>
      <c r="D235" s="1"/>
    </row>
    <row r="236" ht="15.75" customHeight="1">
      <c r="C236" s="1"/>
      <c r="D236" s="1"/>
    </row>
    <row r="237" ht="15.75" customHeight="1">
      <c r="C237" s="1"/>
      <c r="D237" s="1"/>
    </row>
    <row r="238" ht="15.75" customHeight="1">
      <c r="C238" s="1"/>
      <c r="D238" s="1"/>
    </row>
    <row r="239" ht="15.75" customHeight="1">
      <c r="C239" s="1"/>
      <c r="D239" s="1"/>
    </row>
    <row r="240" ht="15.75" customHeight="1">
      <c r="C240" s="1"/>
      <c r="D240" s="1"/>
    </row>
    <row r="241" ht="15.75" customHeight="1">
      <c r="C241" s="1"/>
      <c r="D241" s="1"/>
    </row>
    <row r="242" ht="15.75" customHeight="1">
      <c r="C242" s="1"/>
      <c r="D242" s="1"/>
    </row>
    <row r="243" ht="15.75" customHeight="1">
      <c r="C243" s="1"/>
      <c r="D243" s="1"/>
    </row>
    <row r="244" ht="15.75" customHeight="1">
      <c r="C244" s="1"/>
      <c r="D244" s="1"/>
    </row>
    <row r="245" ht="15.75" customHeight="1">
      <c r="C245" s="1"/>
      <c r="D245" s="1"/>
    </row>
    <row r="246" ht="15.75" customHeight="1">
      <c r="C246" s="1"/>
      <c r="D246" s="1"/>
    </row>
    <row r="247" ht="15.75" customHeight="1">
      <c r="C247" s="1"/>
      <c r="D247" s="1"/>
    </row>
    <row r="248" ht="15.75" customHeight="1">
      <c r="C248" s="1"/>
      <c r="D248" s="1"/>
    </row>
    <row r="249" ht="15.75" customHeight="1">
      <c r="C249" s="1"/>
      <c r="D249" s="1"/>
    </row>
    <row r="250" ht="15.75" customHeight="1">
      <c r="C250" s="1"/>
      <c r="D250" s="1"/>
    </row>
    <row r="251" ht="15.75" customHeight="1">
      <c r="C251" s="1"/>
      <c r="D251" s="1"/>
    </row>
    <row r="252" ht="15.75" customHeight="1">
      <c r="C252" s="1"/>
      <c r="D252" s="1"/>
    </row>
    <row r="253" ht="15.75" customHeight="1">
      <c r="C253" s="1"/>
      <c r="D253" s="1"/>
    </row>
    <row r="254" ht="15.75" customHeight="1">
      <c r="C254" s="1"/>
      <c r="D254" s="1"/>
    </row>
    <row r="255" ht="15.75" customHeight="1">
      <c r="C255" s="1"/>
      <c r="D255" s="1"/>
    </row>
    <row r="256" ht="15.75" customHeight="1">
      <c r="C256" s="1"/>
      <c r="D256" s="1"/>
    </row>
    <row r="257" ht="15.75" customHeight="1">
      <c r="C257" s="1"/>
      <c r="D257" s="1"/>
    </row>
    <row r="258" ht="15.75" customHeight="1">
      <c r="C258" s="1"/>
      <c r="D258" s="1"/>
    </row>
    <row r="259" ht="15.75" customHeight="1">
      <c r="C259" s="1"/>
      <c r="D259" s="1"/>
    </row>
    <row r="260" ht="15.75" customHeight="1">
      <c r="C260" s="1"/>
      <c r="D260" s="1"/>
    </row>
    <row r="261" ht="15.75" customHeight="1">
      <c r="C261" s="1"/>
      <c r="D261" s="1"/>
    </row>
    <row r="262" ht="15.75" customHeight="1">
      <c r="C262" s="1"/>
      <c r="D262" s="1"/>
    </row>
    <row r="263" ht="15.75" customHeight="1">
      <c r="C263" s="1"/>
      <c r="D263" s="1"/>
    </row>
    <row r="264" ht="15.75" customHeight="1">
      <c r="C264" s="1"/>
      <c r="D264" s="1"/>
    </row>
    <row r="265" ht="15.75" customHeight="1">
      <c r="C265" s="1"/>
      <c r="D265" s="1"/>
    </row>
    <row r="266" ht="15.75" customHeight="1">
      <c r="C266" s="1"/>
      <c r="D266" s="1"/>
    </row>
    <row r="267" ht="15.75" customHeight="1">
      <c r="C267" s="1"/>
      <c r="D267" s="1"/>
    </row>
    <row r="268" ht="15.75" customHeight="1">
      <c r="C268" s="1"/>
      <c r="D268" s="1"/>
    </row>
    <row r="269" ht="15.75" customHeight="1">
      <c r="C269" s="1"/>
      <c r="D269" s="1"/>
    </row>
    <row r="270" ht="15.75" customHeight="1">
      <c r="C270" s="1"/>
      <c r="D270" s="1"/>
    </row>
    <row r="271" ht="15.75" customHeight="1">
      <c r="C271" s="1"/>
      <c r="D271" s="1"/>
    </row>
    <row r="272" ht="15.75" customHeight="1">
      <c r="C272" s="1"/>
      <c r="D272" s="1"/>
    </row>
    <row r="273" ht="15.75" customHeight="1">
      <c r="C273" s="1"/>
      <c r="D273" s="1"/>
    </row>
    <row r="274" ht="15.75" customHeight="1">
      <c r="C274" s="1"/>
      <c r="D274" s="1"/>
    </row>
    <row r="275" ht="15.75" customHeight="1">
      <c r="C275" s="1"/>
      <c r="D275" s="1"/>
    </row>
    <row r="276" ht="15.75" customHeight="1">
      <c r="C276" s="1"/>
      <c r="D276" s="1"/>
    </row>
    <row r="277" ht="15.75" customHeight="1">
      <c r="C277" s="1"/>
      <c r="D277" s="1"/>
    </row>
    <row r="278" ht="15.75" customHeight="1">
      <c r="C278" s="1"/>
      <c r="D278" s="1"/>
    </row>
    <row r="279" ht="15.75" customHeight="1">
      <c r="C279" s="1"/>
      <c r="D279" s="1"/>
    </row>
    <row r="280" ht="15.75" customHeight="1">
      <c r="C280" s="1"/>
      <c r="D280" s="1"/>
    </row>
    <row r="281" ht="15.75" customHeight="1">
      <c r="C281" s="1"/>
      <c r="D281" s="1"/>
    </row>
    <row r="282" ht="15.75" customHeight="1">
      <c r="C282" s="1"/>
      <c r="D282" s="1"/>
    </row>
    <row r="283" ht="15.75" customHeight="1">
      <c r="C283" s="1"/>
      <c r="D283" s="1"/>
    </row>
    <row r="284" ht="15.75" customHeight="1">
      <c r="C284" s="1"/>
      <c r="D284" s="1"/>
    </row>
    <row r="285" ht="15.75" customHeight="1">
      <c r="C285" s="1"/>
      <c r="D285" s="1"/>
    </row>
    <row r="286" ht="15.75" customHeight="1">
      <c r="C286" s="1"/>
      <c r="D286" s="1"/>
    </row>
    <row r="287" ht="15.75" customHeight="1">
      <c r="C287" s="1"/>
      <c r="D287" s="1"/>
    </row>
    <row r="288" ht="15.75" customHeight="1">
      <c r="C288" s="1"/>
      <c r="D288" s="1"/>
    </row>
    <row r="289" ht="15.75" customHeight="1">
      <c r="C289" s="1"/>
      <c r="D289" s="1"/>
    </row>
    <row r="290" ht="15.75" customHeight="1">
      <c r="C290" s="1"/>
      <c r="D290" s="1"/>
    </row>
    <row r="291" ht="15.75" customHeight="1">
      <c r="C291" s="1"/>
      <c r="D291" s="1"/>
    </row>
    <row r="292" ht="15.75" customHeight="1">
      <c r="C292" s="1"/>
      <c r="D292" s="1"/>
    </row>
    <row r="293" ht="15.75" customHeight="1">
      <c r="C293" s="1"/>
      <c r="D293" s="1"/>
    </row>
    <row r="294" ht="15.75" customHeight="1">
      <c r="C294" s="1"/>
      <c r="D294" s="1"/>
    </row>
    <row r="295" ht="15.75" customHeight="1">
      <c r="C295" s="1"/>
      <c r="D295" s="1"/>
    </row>
    <row r="296" ht="15.75" customHeight="1">
      <c r="C296" s="1"/>
      <c r="D296" s="1"/>
    </row>
    <row r="297" ht="15.75" customHeight="1">
      <c r="C297" s="1"/>
      <c r="D297" s="1"/>
    </row>
    <row r="298" ht="15.75" customHeight="1">
      <c r="C298" s="1"/>
      <c r="D298" s="1"/>
    </row>
    <row r="299" ht="15.75" customHeight="1">
      <c r="C299" s="1"/>
      <c r="D299" s="1"/>
    </row>
    <row r="300" ht="15.75" customHeight="1">
      <c r="C300" s="1"/>
      <c r="D300" s="1"/>
    </row>
    <row r="301" ht="15.75" customHeight="1">
      <c r="C301" s="1"/>
      <c r="D301" s="1"/>
    </row>
    <row r="302" ht="15.75" customHeight="1">
      <c r="C302" s="1"/>
      <c r="D302" s="1"/>
    </row>
    <row r="303" ht="15.75" customHeight="1">
      <c r="C303" s="1"/>
      <c r="D303" s="1"/>
    </row>
    <row r="304" ht="15.75" customHeight="1">
      <c r="C304" s="1"/>
      <c r="D304" s="1"/>
    </row>
    <row r="305" ht="15.75" customHeight="1">
      <c r="C305" s="1"/>
      <c r="D305" s="1"/>
    </row>
    <row r="306" ht="15.75" customHeight="1">
      <c r="C306" s="1"/>
      <c r="D306" s="1"/>
    </row>
    <row r="307" ht="15.75" customHeight="1">
      <c r="C307" s="1"/>
      <c r="D307" s="1"/>
    </row>
    <row r="308" ht="15.75" customHeight="1">
      <c r="C308" s="1"/>
      <c r="D308" s="1"/>
    </row>
    <row r="309" ht="15.75" customHeight="1">
      <c r="C309" s="1"/>
      <c r="D309" s="1"/>
    </row>
    <row r="310" ht="15.75" customHeight="1">
      <c r="C310" s="1"/>
      <c r="D310" s="1"/>
    </row>
    <row r="311" ht="15.75" customHeight="1">
      <c r="C311" s="1"/>
      <c r="D311" s="1"/>
    </row>
    <row r="312" ht="15.75" customHeight="1">
      <c r="C312" s="1"/>
      <c r="D312" s="1"/>
    </row>
    <row r="313" ht="15.75" customHeight="1">
      <c r="C313" s="1"/>
      <c r="D313" s="1"/>
    </row>
    <row r="314" ht="15.75" customHeight="1">
      <c r="C314" s="1"/>
      <c r="D314" s="1"/>
    </row>
    <row r="315" ht="15.75" customHeight="1">
      <c r="C315" s="1"/>
      <c r="D315" s="1"/>
    </row>
    <row r="316" ht="15.75" customHeight="1">
      <c r="C316" s="1"/>
      <c r="D316" s="1"/>
    </row>
    <row r="317" ht="15.75" customHeight="1">
      <c r="C317" s="1"/>
      <c r="D317" s="1"/>
    </row>
    <row r="318" ht="15.75" customHeight="1">
      <c r="C318" s="1"/>
      <c r="D318" s="1"/>
    </row>
    <row r="319" ht="15.75" customHeight="1">
      <c r="C319" s="1"/>
      <c r="D319" s="1"/>
    </row>
    <row r="320" ht="15.75" customHeight="1">
      <c r="C320" s="1"/>
      <c r="D320" s="1"/>
    </row>
    <row r="321" ht="15.75" customHeight="1">
      <c r="C321" s="1"/>
      <c r="D321" s="1"/>
    </row>
    <row r="322" ht="15.75" customHeight="1">
      <c r="C322" s="1"/>
      <c r="D322" s="1"/>
    </row>
    <row r="323" ht="15.75" customHeight="1">
      <c r="C323" s="1"/>
      <c r="D323" s="1"/>
    </row>
    <row r="324" ht="15.75" customHeight="1">
      <c r="C324" s="1"/>
      <c r="D324" s="1"/>
    </row>
    <row r="325" ht="15.75" customHeight="1">
      <c r="C325" s="1"/>
      <c r="D325" s="1"/>
    </row>
    <row r="326" ht="15.75" customHeight="1">
      <c r="C326" s="1"/>
      <c r="D326" s="1"/>
    </row>
    <row r="327" ht="15.75" customHeight="1">
      <c r="C327" s="1"/>
      <c r="D327" s="1"/>
    </row>
    <row r="328" ht="15.75" customHeight="1">
      <c r="C328" s="1"/>
      <c r="D328" s="1"/>
    </row>
    <row r="329" ht="15.75" customHeight="1">
      <c r="C329" s="1"/>
      <c r="D329" s="1"/>
    </row>
    <row r="330" ht="15.75" customHeight="1">
      <c r="C330" s="1"/>
      <c r="D330" s="1"/>
    </row>
    <row r="331" ht="15.75" customHeight="1">
      <c r="C331" s="1"/>
      <c r="D331" s="1"/>
    </row>
    <row r="332" ht="15.75" customHeight="1">
      <c r="C332" s="1"/>
      <c r="D332" s="1"/>
    </row>
    <row r="333" ht="15.75" customHeight="1">
      <c r="C333" s="1"/>
      <c r="D333" s="1"/>
    </row>
    <row r="334" ht="15.75" customHeight="1">
      <c r="C334" s="1"/>
      <c r="D334" s="1"/>
    </row>
    <row r="335" ht="15.75" customHeight="1">
      <c r="C335" s="1"/>
      <c r="D335" s="1"/>
    </row>
    <row r="336" ht="15.75" customHeight="1">
      <c r="C336" s="1"/>
      <c r="D336" s="1"/>
    </row>
    <row r="337" ht="15.75" customHeight="1">
      <c r="C337" s="1"/>
      <c r="D337" s="1"/>
    </row>
    <row r="338" ht="15.75" customHeight="1">
      <c r="C338" s="1"/>
      <c r="D338" s="1"/>
    </row>
    <row r="339" ht="15.75" customHeight="1">
      <c r="C339" s="1"/>
      <c r="D339" s="1"/>
    </row>
    <row r="340" ht="15.75" customHeight="1">
      <c r="C340" s="1"/>
      <c r="D340" s="1"/>
    </row>
    <row r="341" ht="15.75" customHeight="1">
      <c r="C341" s="1"/>
      <c r="D341" s="1"/>
    </row>
    <row r="342" ht="15.75" customHeight="1">
      <c r="C342" s="1"/>
      <c r="D342" s="1"/>
    </row>
    <row r="343" ht="15.75" customHeight="1">
      <c r="C343" s="1"/>
      <c r="D343" s="1"/>
    </row>
    <row r="344" ht="15.75" customHeight="1">
      <c r="C344" s="1"/>
      <c r="D344" s="1"/>
    </row>
    <row r="345" ht="15.75" customHeight="1">
      <c r="C345" s="1"/>
      <c r="D345" s="1"/>
    </row>
    <row r="346" ht="15.75" customHeight="1">
      <c r="C346" s="1"/>
      <c r="D346" s="1"/>
    </row>
    <row r="347" ht="15.75" customHeight="1">
      <c r="C347" s="1"/>
      <c r="D347" s="1"/>
    </row>
    <row r="348" ht="15.75" customHeight="1">
      <c r="C348" s="1"/>
      <c r="D348" s="1"/>
    </row>
    <row r="349" ht="15.75" customHeight="1">
      <c r="C349" s="1"/>
      <c r="D349" s="1"/>
    </row>
    <row r="350" ht="15.75" customHeight="1">
      <c r="C350" s="1"/>
      <c r="D350" s="1"/>
    </row>
    <row r="351" ht="15.75" customHeight="1">
      <c r="C351" s="1"/>
      <c r="D351" s="1"/>
    </row>
    <row r="352" ht="15.75" customHeight="1">
      <c r="C352" s="1"/>
      <c r="D352" s="1"/>
    </row>
    <row r="353" ht="15.75" customHeight="1">
      <c r="C353" s="1"/>
      <c r="D353" s="1"/>
    </row>
    <row r="354" ht="15.75" customHeight="1">
      <c r="C354" s="1"/>
      <c r="D354" s="1"/>
    </row>
    <row r="355" ht="15.75" customHeight="1">
      <c r="C355" s="1"/>
      <c r="D355" s="1"/>
    </row>
    <row r="356" ht="15.75" customHeight="1">
      <c r="C356" s="1"/>
      <c r="D356" s="1"/>
    </row>
    <row r="357" ht="15.75" customHeight="1">
      <c r="C357" s="1"/>
      <c r="D357" s="1"/>
    </row>
    <row r="358" ht="15.75" customHeight="1">
      <c r="C358" s="1"/>
      <c r="D358" s="1"/>
    </row>
    <row r="359" ht="15.75" customHeight="1">
      <c r="C359" s="1"/>
      <c r="D359" s="1"/>
    </row>
    <row r="360" ht="15.75" customHeight="1">
      <c r="C360" s="1"/>
      <c r="D360" s="1"/>
    </row>
    <row r="361" ht="15.75" customHeight="1">
      <c r="C361" s="1"/>
      <c r="D361" s="1"/>
    </row>
    <row r="362" ht="15.75" customHeight="1">
      <c r="C362" s="1"/>
      <c r="D362" s="1"/>
    </row>
    <row r="363" ht="15.75" customHeight="1">
      <c r="C363" s="1"/>
      <c r="D363" s="1"/>
    </row>
    <row r="364" ht="15.75" customHeight="1">
      <c r="C364" s="1"/>
      <c r="D364" s="1"/>
    </row>
    <row r="365" ht="15.75" customHeight="1">
      <c r="C365" s="1"/>
      <c r="D365" s="1"/>
    </row>
    <row r="366" ht="15.75" customHeight="1">
      <c r="C366" s="1"/>
      <c r="D366" s="1"/>
    </row>
    <row r="367" ht="15.75" customHeight="1">
      <c r="C367" s="1"/>
      <c r="D367" s="1"/>
    </row>
    <row r="368" ht="15.75" customHeight="1">
      <c r="C368" s="1"/>
      <c r="D368" s="1"/>
    </row>
    <row r="369" ht="15.75" customHeight="1">
      <c r="C369" s="1"/>
      <c r="D369" s="1"/>
    </row>
    <row r="370" ht="15.75" customHeight="1">
      <c r="C370" s="1"/>
      <c r="D370" s="1"/>
    </row>
    <row r="371" ht="15.75" customHeight="1">
      <c r="C371" s="1"/>
      <c r="D371" s="1"/>
    </row>
    <row r="372" ht="15.75" customHeight="1">
      <c r="C372" s="1"/>
      <c r="D372" s="1"/>
    </row>
    <row r="373" ht="15.75" customHeight="1">
      <c r="C373" s="1"/>
      <c r="D373" s="1"/>
    </row>
    <row r="374" ht="15.75" customHeight="1">
      <c r="C374" s="1"/>
      <c r="D374" s="1"/>
    </row>
    <row r="375" ht="15.75" customHeight="1">
      <c r="C375" s="1"/>
      <c r="D375" s="1"/>
    </row>
    <row r="376" ht="15.75" customHeight="1">
      <c r="C376" s="1"/>
      <c r="D376" s="1"/>
    </row>
    <row r="377" ht="15.75" customHeight="1">
      <c r="C377" s="1"/>
      <c r="D377" s="1"/>
    </row>
    <row r="378" ht="15.75" customHeight="1">
      <c r="C378" s="1"/>
      <c r="D378" s="1"/>
    </row>
    <row r="379" ht="15.75" customHeight="1">
      <c r="C379" s="1"/>
      <c r="D379" s="1"/>
    </row>
    <row r="380" ht="15.75" customHeight="1">
      <c r="C380" s="1"/>
      <c r="D380" s="1"/>
    </row>
    <row r="381" ht="15.75" customHeight="1">
      <c r="C381" s="1"/>
      <c r="D381" s="1"/>
    </row>
    <row r="382" ht="15.75" customHeight="1">
      <c r="C382" s="1"/>
      <c r="D382" s="1"/>
    </row>
    <row r="383" ht="15.75" customHeight="1">
      <c r="C383" s="1"/>
      <c r="D383" s="1"/>
    </row>
    <row r="384" ht="15.75" customHeight="1">
      <c r="C384" s="1"/>
      <c r="D384" s="1"/>
    </row>
    <row r="385" ht="15.75" customHeight="1">
      <c r="C385" s="1"/>
      <c r="D385" s="1"/>
    </row>
    <row r="386" ht="15.75" customHeight="1">
      <c r="C386" s="1"/>
      <c r="D386" s="1"/>
    </row>
    <row r="387" ht="15.75" customHeight="1">
      <c r="C387" s="1"/>
      <c r="D387" s="1"/>
    </row>
    <row r="388" ht="15.75" customHeight="1">
      <c r="C388" s="1"/>
      <c r="D388" s="1"/>
    </row>
    <row r="389" ht="15.75" customHeight="1">
      <c r="C389" s="1"/>
      <c r="D389" s="1"/>
    </row>
    <row r="390" ht="15.75" customHeight="1">
      <c r="C390" s="1"/>
      <c r="D390" s="1"/>
    </row>
    <row r="391" ht="15.75" customHeight="1">
      <c r="C391" s="1"/>
      <c r="D391" s="1"/>
    </row>
    <row r="392" ht="15.75" customHeight="1">
      <c r="C392" s="1"/>
      <c r="D392" s="1"/>
    </row>
    <row r="393" ht="15.75" customHeight="1">
      <c r="C393" s="1"/>
      <c r="D393" s="1"/>
    </row>
    <row r="394" ht="15.75" customHeight="1">
      <c r="C394" s="1"/>
      <c r="D394" s="1"/>
    </row>
    <row r="395" ht="15.75" customHeight="1">
      <c r="C395" s="1"/>
      <c r="D395" s="1"/>
    </row>
    <row r="396" ht="15.75" customHeight="1">
      <c r="C396" s="1"/>
      <c r="D396" s="1"/>
    </row>
    <row r="397" ht="15.75" customHeight="1">
      <c r="C397" s="1"/>
      <c r="D397" s="1"/>
    </row>
    <row r="398" ht="15.75" customHeight="1">
      <c r="C398" s="1"/>
      <c r="D398" s="1"/>
    </row>
    <row r="399" ht="15.75" customHeight="1">
      <c r="C399" s="1"/>
      <c r="D399" s="1"/>
    </row>
    <row r="400" ht="15.75" customHeight="1">
      <c r="C400" s="1"/>
      <c r="D400" s="1"/>
    </row>
    <row r="401" ht="15.75" customHeight="1">
      <c r="C401" s="1"/>
      <c r="D401" s="1"/>
    </row>
    <row r="402" ht="15.75" customHeight="1">
      <c r="C402" s="1"/>
      <c r="D402" s="1"/>
    </row>
    <row r="403" ht="15.75" customHeight="1">
      <c r="C403" s="1"/>
      <c r="D403" s="1"/>
    </row>
    <row r="404" ht="15.75" customHeight="1">
      <c r="C404" s="1"/>
      <c r="D404" s="1"/>
    </row>
    <row r="405" ht="15.75" customHeight="1">
      <c r="C405" s="1"/>
      <c r="D405" s="1"/>
    </row>
    <row r="406" ht="15.75" customHeight="1">
      <c r="C406" s="1"/>
      <c r="D406" s="1"/>
    </row>
    <row r="407" ht="15.75" customHeight="1">
      <c r="C407" s="1"/>
      <c r="D407" s="1"/>
    </row>
    <row r="408" ht="15.75" customHeight="1">
      <c r="C408" s="1"/>
      <c r="D408" s="1"/>
    </row>
    <row r="409" ht="15.75" customHeight="1">
      <c r="C409" s="1"/>
      <c r="D409" s="1"/>
    </row>
    <row r="410" ht="15.75" customHeight="1">
      <c r="C410" s="1"/>
      <c r="D410" s="1"/>
    </row>
    <row r="411" ht="15.75" customHeight="1">
      <c r="C411" s="1"/>
      <c r="D411" s="1"/>
    </row>
    <row r="412" ht="15.75" customHeight="1">
      <c r="C412" s="1"/>
      <c r="D412" s="1"/>
    </row>
    <row r="413" ht="15.75" customHeight="1">
      <c r="C413" s="1"/>
      <c r="D413" s="1"/>
    </row>
    <row r="414" ht="15.75" customHeight="1">
      <c r="C414" s="1"/>
      <c r="D414" s="1"/>
    </row>
    <row r="415" ht="15.75" customHeight="1">
      <c r="C415" s="1"/>
      <c r="D415" s="1"/>
    </row>
    <row r="416" ht="15.75" customHeight="1">
      <c r="C416" s="1"/>
      <c r="D416" s="1"/>
    </row>
    <row r="417" ht="15.75" customHeight="1">
      <c r="C417" s="1"/>
      <c r="D417" s="1"/>
    </row>
    <row r="418" ht="15.75" customHeight="1">
      <c r="C418" s="1"/>
      <c r="D418" s="1"/>
    </row>
    <row r="419" ht="15.75" customHeight="1">
      <c r="C419" s="1"/>
      <c r="D419" s="1"/>
    </row>
    <row r="420" ht="15.75" customHeight="1">
      <c r="C420" s="1"/>
      <c r="D420" s="1"/>
    </row>
    <row r="421" ht="15.75" customHeight="1">
      <c r="C421" s="1"/>
      <c r="D421" s="1"/>
    </row>
    <row r="422" ht="15.75" customHeight="1">
      <c r="C422" s="1"/>
      <c r="D422" s="1"/>
    </row>
    <row r="423" ht="15.75" customHeight="1">
      <c r="C423" s="1"/>
      <c r="D423" s="1"/>
    </row>
    <row r="424" ht="15.75" customHeight="1">
      <c r="C424" s="1"/>
      <c r="D424" s="1"/>
    </row>
    <row r="425" ht="15.75" customHeight="1">
      <c r="C425" s="1"/>
      <c r="D425" s="1"/>
    </row>
    <row r="426" ht="15.75" customHeight="1">
      <c r="C426" s="1"/>
      <c r="D426" s="1"/>
    </row>
    <row r="427" ht="15.75" customHeight="1">
      <c r="C427" s="1"/>
      <c r="D427" s="1"/>
    </row>
    <row r="428" ht="15.75" customHeight="1">
      <c r="C428" s="1"/>
      <c r="D428" s="1"/>
    </row>
    <row r="429" ht="15.75" customHeight="1">
      <c r="C429" s="1"/>
      <c r="D429" s="1"/>
    </row>
    <row r="430" ht="15.75" customHeight="1">
      <c r="C430" s="1"/>
      <c r="D430" s="1"/>
    </row>
    <row r="431" ht="15.75" customHeight="1">
      <c r="C431" s="1"/>
      <c r="D431" s="1"/>
    </row>
    <row r="432" ht="15.75" customHeight="1">
      <c r="C432" s="1"/>
      <c r="D432" s="1"/>
    </row>
    <row r="433" ht="15.75" customHeight="1">
      <c r="C433" s="1"/>
      <c r="D433" s="1"/>
    </row>
    <row r="434" ht="15.75" customHeight="1">
      <c r="C434" s="1"/>
      <c r="D434" s="1"/>
    </row>
    <row r="435" ht="15.75" customHeight="1">
      <c r="C435" s="1"/>
      <c r="D435" s="1"/>
    </row>
    <row r="436" ht="15.75" customHeight="1">
      <c r="C436" s="1"/>
      <c r="D436" s="1"/>
    </row>
    <row r="437" ht="15.75" customHeight="1">
      <c r="C437" s="1"/>
      <c r="D437" s="1"/>
    </row>
    <row r="438" ht="15.75" customHeight="1">
      <c r="C438" s="1"/>
      <c r="D438" s="1"/>
    </row>
    <row r="439" ht="15.75" customHeight="1">
      <c r="C439" s="1"/>
      <c r="D439" s="1"/>
    </row>
    <row r="440" ht="15.75" customHeight="1">
      <c r="C440" s="1"/>
      <c r="D440" s="1"/>
    </row>
    <row r="441" ht="15.75" customHeight="1">
      <c r="C441" s="1"/>
      <c r="D441" s="1"/>
    </row>
    <row r="442" ht="15.75" customHeight="1">
      <c r="C442" s="1"/>
      <c r="D442" s="1"/>
    </row>
    <row r="443" ht="15.75" customHeight="1">
      <c r="C443" s="1"/>
      <c r="D443" s="1"/>
    </row>
    <row r="444" ht="15.75" customHeight="1">
      <c r="C444" s="1"/>
      <c r="D444" s="1"/>
    </row>
    <row r="445" ht="15.75" customHeight="1">
      <c r="C445" s="1"/>
      <c r="D445" s="1"/>
    </row>
    <row r="446" ht="15.75" customHeight="1">
      <c r="C446" s="1"/>
      <c r="D446" s="1"/>
    </row>
    <row r="447" ht="15.75" customHeight="1">
      <c r="C447" s="1"/>
      <c r="D447" s="1"/>
    </row>
    <row r="448" ht="15.75" customHeight="1">
      <c r="C448" s="1"/>
      <c r="D448" s="1"/>
    </row>
    <row r="449" ht="15.75" customHeight="1">
      <c r="C449" s="1"/>
      <c r="D449" s="1"/>
    </row>
    <row r="450" ht="15.75" customHeight="1">
      <c r="C450" s="1"/>
      <c r="D450" s="1"/>
    </row>
    <row r="451" ht="15.75" customHeight="1">
      <c r="C451" s="1"/>
      <c r="D451" s="1"/>
    </row>
    <row r="452" ht="15.75" customHeight="1">
      <c r="C452" s="1"/>
      <c r="D452" s="1"/>
    </row>
    <row r="453" ht="15.75" customHeight="1">
      <c r="C453" s="1"/>
      <c r="D453" s="1"/>
    </row>
    <row r="454" ht="15.75" customHeight="1">
      <c r="C454" s="1"/>
      <c r="D454" s="1"/>
    </row>
    <row r="455" ht="15.75" customHeight="1">
      <c r="C455" s="1"/>
      <c r="D455" s="1"/>
    </row>
    <row r="456" ht="15.75" customHeight="1">
      <c r="C456" s="1"/>
      <c r="D456" s="1"/>
    </row>
    <row r="457" ht="15.75" customHeight="1">
      <c r="C457" s="1"/>
      <c r="D457" s="1"/>
    </row>
    <row r="458" ht="15.75" customHeight="1">
      <c r="C458" s="1"/>
      <c r="D458" s="1"/>
    </row>
    <row r="459" ht="15.75" customHeight="1">
      <c r="C459" s="1"/>
      <c r="D459" s="1"/>
    </row>
    <row r="460" ht="15.75" customHeight="1">
      <c r="C460" s="1"/>
      <c r="D460" s="1"/>
    </row>
    <row r="461" ht="15.75" customHeight="1">
      <c r="C461" s="1"/>
      <c r="D461" s="1"/>
    </row>
    <row r="462" ht="15.75" customHeight="1">
      <c r="C462" s="1"/>
      <c r="D462" s="1"/>
    </row>
    <row r="463" ht="15.75" customHeight="1">
      <c r="C463" s="1"/>
      <c r="D463" s="1"/>
    </row>
    <row r="464" ht="15.75" customHeight="1">
      <c r="C464" s="1"/>
      <c r="D464" s="1"/>
    </row>
    <row r="465" ht="15.75" customHeight="1">
      <c r="C465" s="1"/>
      <c r="D465" s="1"/>
    </row>
    <row r="466" ht="15.75" customHeight="1">
      <c r="C466" s="1"/>
      <c r="D466" s="1"/>
    </row>
    <row r="467" ht="15.75" customHeight="1">
      <c r="C467" s="1"/>
      <c r="D467" s="1"/>
    </row>
    <row r="468" ht="15.75" customHeight="1">
      <c r="C468" s="1"/>
      <c r="D468" s="1"/>
    </row>
    <row r="469" ht="15.75" customHeight="1">
      <c r="C469" s="1"/>
      <c r="D469" s="1"/>
    </row>
    <row r="470" ht="15.75" customHeight="1">
      <c r="C470" s="1"/>
      <c r="D470" s="1"/>
    </row>
    <row r="471" ht="15.75" customHeight="1">
      <c r="C471" s="1"/>
      <c r="D471" s="1"/>
    </row>
    <row r="472" ht="15.75" customHeight="1">
      <c r="C472" s="1"/>
      <c r="D472" s="1"/>
    </row>
    <row r="473" ht="15.75" customHeight="1">
      <c r="C473" s="1"/>
      <c r="D473" s="1"/>
    </row>
    <row r="474" ht="15.75" customHeight="1">
      <c r="C474" s="1"/>
      <c r="D474" s="1"/>
    </row>
    <row r="475" ht="15.75" customHeight="1">
      <c r="C475" s="1"/>
      <c r="D475" s="1"/>
    </row>
    <row r="476" ht="15.75" customHeight="1">
      <c r="C476" s="1"/>
      <c r="D476" s="1"/>
    </row>
    <row r="477" ht="15.75" customHeight="1">
      <c r="C477" s="1"/>
      <c r="D477" s="1"/>
    </row>
    <row r="478" ht="15.75" customHeight="1">
      <c r="C478" s="1"/>
      <c r="D478" s="1"/>
    </row>
    <row r="479" ht="15.75" customHeight="1">
      <c r="C479" s="1"/>
      <c r="D479" s="1"/>
    </row>
    <row r="480" ht="15.75" customHeight="1">
      <c r="C480" s="1"/>
      <c r="D480" s="1"/>
    </row>
    <row r="481" ht="15.75" customHeight="1">
      <c r="C481" s="1"/>
      <c r="D481" s="1"/>
    </row>
    <row r="482" ht="15.75" customHeight="1">
      <c r="C482" s="1"/>
      <c r="D482" s="1"/>
    </row>
    <row r="483" ht="15.75" customHeight="1">
      <c r="C483" s="1"/>
      <c r="D483" s="1"/>
    </row>
    <row r="484" ht="15.75" customHeight="1">
      <c r="C484" s="1"/>
      <c r="D484" s="1"/>
    </row>
    <row r="485" ht="15.75" customHeight="1">
      <c r="C485" s="1"/>
      <c r="D485" s="1"/>
    </row>
    <row r="486" ht="15.75" customHeight="1">
      <c r="C486" s="1"/>
      <c r="D486" s="1"/>
    </row>
    <row r="487" ht="15.75" customHeight="1">
      <c r="C487" s="1"/>
      <c r="D487" s="1"/>
    </row>
    <row r="488" ht="15.75" customHeight="1">
      <c r="C488" s="1"/>
      <c r="D488" s="1"/>
    </row>
    <row r="489" ht="15.75" customHeight="1">
      <c r="C489" s="1"/>
      <c r="D489" s="1"/>
    </row>
    <row r="490" ht="15.75" customHeight="1">
      <c r="C490" s="1"/>
      <c r="D490" s="1"/>
    </row>
    <row r="491" ht="15.75" customHeight="1">
      <c r="C491" s="1"/>
      <c r="D491" s="1"/>
    </row>
    <row r="492" ht="15.75" customHeight="1">
      <c r="C492" s="1"/>
      <c r="D492" s="1"/>
    </row>
    <row r="493" ht="15.75" customHeight="1">
      <c r="C493" s="1"/>
      <c r="D493" s="1"/>
    </row>
    <row r="494" ht="15.75" customHeight="1">
      <c r="C494" s="1"/>
      <c r="D494" s="1"/>
    </row>
    <row r="495" ht="15.75" customHeight="1">
      <c r="C495" s="1"/>
      <c r="D495" s="1"/>
    </row>
    <row r="496" ht="15.75" customHeight="1">
      <c r="C496" s="1"/>
      <c r="D496" s="1"/>
    </row>
    <row r="497" ht="15.75" customHeight="1">
      <c r="C497" s="1"/>
      <c r="D497" s="1"/>
    </row>
    <row r="498" ht="15.75" customHeight="1">
      <c r="C498" s="1"/>
      <c r="D498" s="1"/>
    </row>
    <row r="499" ht="15.75" customHeight="1">
      <c r="C499" s="1"/>
      <c r="D499" s="1"/>
    </row>
    <row r="500" ht="15.75" customHeight="1">
      <c r="C500" s="1"/>
      <c r="D500" s="1"/>
    </row>
    <row r="501" ht="15.75" customHeight="1">
      <c r="C501" s="1"/>
      <c r="D501" s="1"/>
    </row>
    <row r="502" ht="15.75" customHeight="1">
      <c r="C502" s="1"/>
      <c r="D502" s="1"/>
    </row>
    <row r="503" ht="15.75" customHeight="1">
      <c r="C503" s="1"/>
      <c r="D503" s="1"/>
    </row>
    <row r="504" ht="15.75" customHeight="1">
      <c r="C504" s="1"/>
      <c r="D504" s="1"/>
    </row>
    <row r="505" ht="15.75" customHeight="1">
      <c r="C505" s="1"/>
      <c r="D505" s="1"/>
    </row>
    <row r="506" ht="15.75" customHeight="1">
      <c r="C506" s="1"/>
      <c r="D506" s="1"/>
    </row>
    <row r="507" ht="15.75" customHeight="1">
      <c r="C507" s="1"/>
      <c r="D507" s="1"/>
    </row>
    <row r="508" ht="15.75" customHeight="1">
      <c r="C508" s="1"/>
      <c r="D508" s="1"/>
    </row>
    <row r="509" ht="15.75" customHeight="1">
      <c r="C509" s="1"/>
      <c r="D509" s="1"/>
    </row>
    <row r="510" ht="15.75" customHeight="1">
      <c r="C510" s="1"/>
      <c r="D510" s="1"/>
    </row>
    <row r="511" ht="15.75" customHeight="1">
      <c r="C511" s="1"/>
      <c r="D511" s="1"/>
    </row>
    <row r="512" ht="15.75" customHeight="1">
      <c r="C512" s="1"/>
      <c r="D512" s="1"/>
    </row>
    <row r="513" ht="15.75" customHeight="1">
      <c r="C513" s="1"/>
      <c r="D513" s="1"/>
    </row>
    <row r="514" ht="15.75" customHeight="1">
      <c r="C514" s="1"/>
      <c r="D514" s="1"/>
    </row>
    <row r="515" ht="15.75" customHeight="1">
      <c r="C515" s="1"/>
      <c r="D515" s="1"/>
    </row>
    <row r="516" ht="15.75" customHeight="1">
      <c r="C516" s="1"/>
      <c r="D516" s="1"/>
    </row>
    <row r="517" ht="15.75" customHeight="1">
      <c r="C517" s="1"/>
      <c r="D517" s="1"/>
    </row>
    <row r="518" ht="15.75" customHeight="1">
      <c r="C518" s="1"/>
      <c r="D518" s="1"/>
    </row>
    <row r="519" ht="15.75" customHeight="1">
      <c r="C519" s="1"/>
      <c r="D519" s="1"/>
    </row>
    <row r="520" ht="15.75" customHeight="1">
      <c r="C520" s="1"/>
      <c r="D520" s="1"/>
    </row>
    <row r="521" ht="15.75" customHeight="1">
      <c r="C521" s="1"/>
      <c r="D521" s="1"/>
    </row>
    <row r="522" ht="15.75" customHeight="1">
      <c r="C522" s="1"/>
      <c r="D522" s="1"/>
    </row>
    <row r="523" ht="15.75" customHeight="1">
      <c r="C523" s="1"/>
      <c r="D523" s="1"/>
    </row>
    <row r="524" ht="15.75" customHeight="1">
      <c r="C524" s="1"/>
      <c r="D524" s="1"/>
    </row>
    <row r="525" ht="15.75" customHeight="1">
      <c r="C525" s="1"/>
      <c r="D525" s="1"/>
    </row>
    <row r="526" ht="15.75" customHeight="1">
      <c r="C526" s="1"/>
      <c r="D526" s="1"/>
    </row>
    <row r="527" ht="15.75" customHeight="1">
      <c r="C527" s="1"/>
      <c r="D527" s="1"/>
    </row>
    <row r="528" ht="15.75" customHeight="1">
      <c r="C528" s="1"/>
      <c r="D528" s="1"/>
    </row>
    <row r="529" ht="15.75" customHeight="1">
      <c r="C529" s="1"/>
      <c r="D529" s="1"/>
    </row>
    <row r="530" ht="15.75" customHeight="1">
      <c r="C530" s="1"/>
      <c r="D530" s="1"/>
    </row>
    <row r="531" ht="15.75" customHeight="1">
      <c r="C531" s="1"/>
      <c r="D531" s="1"/>
    </row>
    <row r="532" ht="15.75" customHeight="1">
      <c r="C532" s="1"/>
      <c r="D532" s="1"/>
    </row>
    <row r="533" ht="15.75" customHeight="1">
      <c r="C533" s="1"/>
      <c r="D533" s="1"/>
    </row>
    <row r="534" ht="15.75" customHeight="1">
      <c r="C534" s="1"/>
      <c r="D534" s="1"/>
    </row>
    <row r="535" ht="15.75" customHeight="1">
      <c r="C535" s="1"/>
      <c r="D535" s="1"/>
    </row>
    <row r="536" ht="15.75" customHeight="1">
      <c r="C536" s="1"/>
      <c r="D536" s="1"/>
    </row>
    <row r="537" ht="15.75" customHeight="1">
      <c r="C537" s="1"/>
      <c r="D537" s="1"/>
    </row>
    <row r="538" ht="15.75" customHeight="1">
      <c r="C538" s="1"/>
      <c r="D538" s="1"/>
    </row>
    <row r="539" ht="15.75" customHeight="1">
      <c r="C539" s="1"/>
      <c r="D539" s="1"/>
    </row>
    <row r="540" ht="15.75" customHeight="1">
      <c r="C540" s="1"/>
      <c r="D540" s="1"/>
    </row>
    <row r="541" ht="15.75" customHeight="1">
      <c r="C541" s="1"/>
      <c r="D541" s="1"/>
    </row>
    <row r="542" ht="15.75" customHeight="1">
      <c r="C542" s="1"/>
      <c r="D542" s="1"/>
    </row>
    <row r="543" ht="15.75" customHeight="1">
      <c r="C543" s="1"/>
      <c r="D543" s="1"/>
    </row>
    <row r="544" ht="15.75" customHeight="1">
      <c r="C544" s="1"/>
      <c r="D544" s="1"/>
    </row>
    <row r="545" ht="15.75" customHeight="1">
      <c r="C545" s="1"/>
      <c r="D545" s="1"/>
    </row>
    <row r="546" ht="15.75" customHeight="1">
      <c r="C546" s="1"/>
      <c r="D546" s="1"/>
    </row>
    <row r="547" ht="15.75" customHeight="1">
      <c r="C547" s="1"/>
      <c r="D547" s="1"/>
    </row>
    <row r="548" ht="15.75" customHeight="1">
      <c r="C548" s="1"/>
      <c r="D548" s="1"/>
    </row>
    <row r="549" ht="15.75" customHeight="1">
      <c r="C549" s="1"/>
      <c r="D549" s="1"/>
    </row>
    <row r="550" ht="15.75" customHeight="1">
      <c r="C550" s="1"/>
      <c r="D550" s="1"/>
    </row>
    <row r="551" ht="15.75" customHeight="1">
      <c r="C551" s="1"/>
      <c r="D551" s="1"/>
    </row>
    <row r="552" ht="15.75" customHeight="1">
      <c r="C552" s="1"/>
      <c r="D552" s="1"/>
    </row>
    <row r="553" ht="15.75" customHeight="1">
      <c r="C553" s="1"/>
      <c r="D553" s="1"/>
    </row>
    <row r="554" ht="15.75" customHeight="1">
      <c r="C554" s="1"/>
      <c r="D554" s="1"/>
    </row>
    <row r="555" ht="15.75" customHeight="1">
      <c r="C555" s="1"/>
      <c r="D555" s="1"/>
    </row>
    <row r="556" ht="15.75" customHeight="1">
      <c r="C556" s="1"/>
      <c r="D556" s="1"/>
    </row>
    <row r="557" ht="15.75" customHeight="1">
      <c r="C557" s="1"/>
      <c r="D557" s="1"/>
    </row>
    <row r="558" ht="15.75" customHeight="1">
      <c r="C558" s="1"/>
      <c r="D558" s="1"/>
    </row>
    <row r="559" ht="15.75" customHeight="1">
      <c r="C559" s="1"/>
      <c r="D559" s="1"/>
    </row>
    <row r="560" ht="15.75" customHeight="1">
      <c r="C560" s="1"/>
      <c r="D560" s="1"/>
    </row>
    <row r="561" ht="15.75" customHeight="1">
      <c r="C561" s="1"/>
      <c r="D561" s="1"/>
    </row>
    <row r="562" ht="15.75" customHeight="1">
      <c r="C562" s="1"/>
      <c r="D562" s="1"/>
    </row>
    <row r="563" ht="15.75" customHeight="1">
      <c r="C563" s="1"/>
      <c r="D563" s="1"/>
    </row>
    <row r="564" ht="15.75" customHeight="1">
      <c r="C564" s="1"/>
      <c r="D564" s="1"/>
    </row>
    <row r="565" ht="15.75" customHeight="1">
      <c r="C565" s="1"/>
      <c r="D565" s="1"/>
    </row>
    <row r="566" ht="15.75" customHeight="1">
      <c r="C566" s="1"/>
      <c r="D566" s="1"/>
    </row>
    <row r="567" ht="15.75" customHeight="1">
      <c r="C567" s="1"/>
      <c r="D567" s="1"/>
    </row>
    <row r="568" ht="15.75" customHeight="1">
      <c r="C568" s="1"/>
      <c r="D568" s="1"/>
    </row>
    <row r="569" ht="15.75" customHeight="1">
      <c r="C569" s="1"/>
      <c r="D569" s="1"/>
    </row>
    <row r="570" ht="15.75" customHeight="1">
      <c r="C570" s="1"/>
      <c r="D570" s="1"/>
    </row>
    <row r="571" ht="15.75" customHeight="1">
      <c r="C571" s="1"/>
      <c r="D571" s="1"/>
    </row>
    <row r="572" ht="15.75" customHeight="1">
      <c r="C572" s="1"/>
      <c r="D572" s="1"/>
    </row>
    <row r="573" ht="15.75" customHeight="1">
      <c r="C573" s="1"/>
      <c r="D573" s="1"/>
    </row>
    <row r="574" ht="15.75" customHeight="1">
      <c r="C574" s="1"/>
      <c r="D574" s="1"/>
    </row>
    <row r="575" ht="15.75" customHeight="1">
      <c r="C575" s="1"/>
      <c r="D575" s="1"/>
    </row>
    <row r="576" ht="15.75" customHeight="1">
      <c r="C576" s="1"/>
      <c r="D576" s="1"/>
    </row>
    <row r="577" ht="15.75" customHeight="1">
      <c r="C577" s="1"/>
      <c r="D577" s="1"/>
    </row>
    <row r="578" ht="15.75" customHeight="1">
      <c r="C578" s="1"/>
      <c r="D578" s="1"/>
    </row>
    <row r="579" ht="15.75" customHeight="1">
      <c r="C579" s="1"/>
      <c r="D579" s="1"/>
    </row>
    <row r="580" ht="15.75" customHeight="1">
      <c r="C580" s="1"/>
      <c r="D580" s="1"/>
    </row>
    <row r="581" ht="15.75" customHeight="1">
      <c r="C581" s="1"/>
      <c r="D581" s="1"/>
    </row>
    <row r="582" ht="15.75" customHeight="1">
      <c r="C582" s="1"/>
      <c r="D582" s="1"/>
    </row>
    <row r="583" ht="15.75" customHeight="1">
      <c r="C583" s="1"/>
      <c r="D583" s="1"/>
    </row>
    <row r="584" ht="15.75" customHeight="1">
      <c r="C584" s="1"/>
      <c r="D584" s="1"/>
    </row>
    <row r="585" ht="15.75" customHeight="1">
      <c r="C585" s="1"/>
      <c r="D585" s="1"/>
    </row>
    <row r="586" ht="15.75" customHeight="1">
      <c r="C586" s="1"/>
      <c r="D586" s="1"/>
    </row>
    <row r="587" ht="15.75" customHeight="1">
      <c r="C587" s="1"/>
      <c r="D587" s="1"/>
    </row>
    <row r="588" ht="15.75" customHeight="1">
      <c r="C588" s="1"/>
      <c r="D588" s="1"/>
    </row>
    <row r="589" ht="15.75" customHeight="1">
      <c r="C589" s="1"/>
      <c r="D589" s="1"/>
    </row>
    <row r="590" ht="15.75" customHeight="1">
      <c r="C590" s="1"/>
      <c r="D590" s="1"/>
    </row>
    <row r="591" ht="15.75" customHeight="1">
      <c r="C591" s="1"/>
      <c r="D591" s="1"/>
    </row>
    <row r="592" ht="15.75" customHeight="1">
      <c r="C592" s="1"/>
      <c r="D592" s="1"/>
    </row>
    <row r="593" ht="15.75" customHeight="1">
      <c r="C593" s="1"/>
      <c r="D593" s="1"/>
    </row>
    <row r="594" ht="15.75" customHeight="1">
      <c r="C594" s="1"/>
      <c r="D594" s="1"/>
    </row>
    <row r="595" ht="15.75" customHeight="1">
      <c r="C595" s="1"/>
      <c r="D595" s="1"/>
    </row>
    <row r="596" ht="15.75" customHeight="1">
      <c r="C596" s="1"/>
      <c r="D596" s="1"/>
    </row>
    <row r="597" ht="15.75" customHeight="1">
      <c r="C597" s="1"/>
      <c r="D597" s="1"/>
    </row>
    <row r="598" ht="15.75" customHeight="1">
      <c r="C598" s="1"/>
      <c r="D598" s="1"/>
    </row>
    <row r="599" ht="15.75" customHeight="1">
      <c r="C599" s="1"/>
      <c r="D599" s="1"/>
    </row>
    <row r="600" ht="15.75" customHeight="1">
      <c r="C600" s="1"/>
      <c r="D600" s="1"/>
    </row>
    <row r="601" ht="15.75" customHeight="1">
      <c r="C601" s="1"/>
      <c r="D601" s="1"/>
    </row>
    <row r="602" ht="15.75" customHeight="1">
      <c r="C602" s="1"/>
      <c r="D602" s="1"/>
    </row>
    <row r="603" ht="15.75" customHeight="1">
      <c r="C603" s="1"/>
      <c r="D603" s="1"/>
    </row>
    <row r="604" ht="15.75" customHeight="1">
      <c r="C604" s="1"/>
      <c r="D604" s="1"/>
    </row>
    <row r="605" ht="15.75" customHeight="1">
      <c r="C605" s="1"/>
      <c r="D605" s="1"/>
    </row>
    <row r="606" ht="15.75" customHeight="1">
      <c r="C606" s="1"/>
      <c r="D606" s="1"/>
    </row>
    <row r="607" ht="15.75" customHeight="1">
      <c r="C607" s="1"/>
      <c r="D607" s="1"/>
    </row>
    <row r="608" ht="15.75" customHeight="1">
      <c r="C608" s="1"/>
      <c r="D608" s="1"/>
    </row>
    <row r="609" ht="15.75" customHeight="1">
      <c r="C609" s="1"/>
      <c r="D609" s="1"/>
    </row>
    <row r="610" ht="15.75" customHeight="1">
      <c r="C610" s="1"/>
      <c r="D610" s="1"/>
    </row>
    <row r="611" ht="15.75" customHeight="1">
      <c r="C611" s="1"/>
      <c r="D611" s="1"/>
    </row>
    <row r="612" ht="15.75" customHeight="1">
      <c r="C612" s="1"/>
      <c r="D612" s="1"/>
    </row>
    <row r="613" ht="15.75" customHeight="1">
      <c r="C613" s="1"/>
      <c r="D613" s="1"/>
    </row>
    <row r="614" ht="15.75" customHeight="1">
      <c r="C614" s="1"/>
      <c r="D614" s="1"/>
    </row>
    <row r="615" ht="15.75" customHeight="1">
      <c r="C615" s="1"/>
      <c r="D615" s="1"/>
    </row>
    <row r="616" ht="15.75" customHeight="1">
      <c r="C616" s="1"/>
      <c r="D616" s="1"/>
    </row>
    <row r="617" ht="15.75" customHeight="1">
      <c r="C617" s="1"/>
      <c r="D617" s="1"/>
    </row>
    <row r="618" ht="15.75" customHeight="1">
      <c r="C618" s="1"/>
      <c r="D618" s="1"/>
    </row>
    <row r="619" ht="15.75" customHeight="1">
      <c r="C619" s="1"/>
      <c r="D619" s="1"/>
    </row>
    <row r="620" ht="15.75" customHeight="1">
      <c r="C620" s="1"/>
      <c r="D620" s="1"/>
    </row>
    <row r="621" ht="15.75" customHeight="1">
      <c r="C621" s="1"/>
      <c r="D621" s="1"/>
    </row>
    <row r="622" ht="15.75" customHeight="1">
      <c r="C622" s="1"/>
      <c r="D622" s="1"/>
    </row>
    <row r="623" ht="15.75" customHeight="1">
      <c r="C623" s="1"/>
      <c r="D623" s="1"/>
    </row>
    <row r="624" ht="15.75" customHeight="1">
      <c r="C624" s="1"/>
      <c r="D624" s="1"/>
    </row>
    <row r="625" ht="15.75" customHeight="1">
      <c r="C625" s="1"/>
      <c r="D625" s="1"/>
    </row>
    <row r="626" ht="15.75" customHeight="1">
      <c r="C626" s="1"/>
      <c r="D626" s="1"/>
    </row>
    <row r="627" ht="15.75" customHeight="1">
      <c r="C627" s="1"/>
      <c r="D627" s="1"/>
    </row>
    <row r="628" ht="15.75" customHeight="1">
      <c r="C628" s="1"/>
      <c r="D628" s="1"/>
    </row>
    <row r="629" ht="15.75" customHeight="1">
      <c r="C629" s="1"/>
      <c r="D629" s="1"/>
    </row>
    <row r="630" ht="15.75" customHeight="1">
      <c r="C630" s="1"/>
      <c r="D630" s="1"/>
    </row>
    <row r="631" ht="15.75" customHeight="1">
      <c r="C631" s="1"/>
      <c r="D631" s="1"/>
    </row>
    <row r="632" ht="15.75" customHeight="1">
      <c r="C632" s="1"/>
      <c r="D632" s="1"/>
    </row>
    <row r="633" ht="15.75" customHeight="1">
      <c r="C633" s="1"/>
      <c r="D633" s="1"/>
    </row>
    <row r="634" ht="15.75" customHeight="1">
      <c r="C634" s="1"/>
      <c r="D634" s="1"/>
    </row>
    <row r="635" ht="15.75" customHeight="1">
      <c r="C635" s="1"/>
      <c r="D635" s="1"/>
    </row>
    <row r="636" ht="15.75" customHeight="1">
      <c r="C636" s="1"/>
      <c r="D636" s="1"/>
    </row>
    <row r="637" ht="15.75" customHeight="1">
      <c r="C637" s="1"/>
      <c r="D637" s="1"/>
    </row>
    <row r="638" ht="15.75" customHeight="1">
      <c r="C638" s="1"/>
      <c r="D638" s="1"/>
    </row>
    <row r="639" ht="15.75" customHeight="1">
      <c r="C639" s="1"/>
      <c r="D639" s="1"/>
    </row>
    <row r="640" ht="15.75" customHeight="1">
      <c r="C640" s="1"/>
      <c r="D640" s="1"/>
    </row>
    <row r="641" ht="15.75" customHeight="1">
      <c r="C641" s="1"/>
      <c r="D641" s="1"/>
    </row>
    <row r="642" ht="15.75" customHeight="1">
      <c r="C642" s="1"/>
      <c r="D642" s="1"/>
    </row>
    <row r="643" ht="15.75" customHeight="1">
      <c r="C643" s="1"/>
      <c r="D643" s="1"/>
    </row>
    <row r="644" ht="15.75" customHeight="1">
      <c r="C644" s="1"/>
      <c r="D644" s="1"/>
    </row>
    <row r="645" ht="15.75" customHeight="1">
      <c r="C645" s="1"/>
      <c r="D645" s="1"/>
    </row>
    <row r="646" ht="15.75" customHeight="1">
      <c r="C646" s="1"/>
      <c r="D646" s="1"/>
    </row>
    <row r="647" ht="15.75" customHeight="1">
      <c r="C647" s="1"/>
      <c r="D647" s="1"/>
    </row>
    <row r="648" ht="15.75" customHeight="1">
      <c r="C648" s="1"/>
      <c r="D648" s="1"/>
    </row>
    <row r="649" ht="15.75" customHeight="1">
      <c r="C649" s="1"/>
      <c r="D649" s="1"/>
    </row>
    <row r="650" ht="15.75" customHeight="1">
      <c r="C650" s="1"/>
      <c r="D650" s="1"/>
    </row>
    <row r="651" ht="15.75" customHeight="1">
      <c r="C651" s="1"/>
      <c r="D651" s="1"/>
    </row>
    <row r="652" ht="15.75" customHeight="1">
      <c r="C652" s="1"/>
      <c r="D652" s="1"/>
    </row>
    <row r="653" ht="15.75" customHeight="1">
      <c r="C653" s="1"/>
      <c r="D653" s="1"/>
    </row>
    <row r="654" ht="15.75" customHeight="1">
      <c r="C654" s="1"/>
      <c r="D654" s="1"/>
    </row>
    <row r="655" ht="15.75" customHeight="1">
      <c r="C655" s="1"/>
      <c r="D655" s="1"/>
    </row>
    <row r="656" ht="15.75" customHeight="1">
      <c r="C656" s="1"/>
      <c r="D656" s="1"/>
    </row>
    <row r="657" ht="15.75" customHeight="1">
      <c r="C657" s="1"/>
      <c r="D657" s="1"/>
    </row>
    <row r="658" ht="15.75" customHeight="1">
      <c r="C658" s="1"/>
      <c r="D658" s="1"/>
    </row>
    <row r="659" ht="15.75" customHeight="1">
      <c r="C659" s="1"/>
      <c r="D659" s="1"/>
    </row>
    <row r="660" ht="15.75" customHeight="1">
      <c r="C660" s="1"/>
      <c r="D660" s="1"/>
    </row>
    <row r="661" ht="15.75" customHeight="1">
      <c r="C661" s="1"/>
      <c r="D661" s="1"/>
    </row>
    <row r="662" ht="15.75" customHeight="1">
      <c r="C662" s="1"/>
      <c r="D662" s="1"/>
    </row>
    <row r="663" ht="15.75" customHeight="1">
      <c r="C663" s="1"/>
      <c r="D663" s="1"/>
    </row>
    <row r="664" ht="15.75" customHeight="1">
      <c r="C664" s="1"/>
      <c r="D664" s="1"/>
    </row>
    <row r="665" ht="15.75" customHeight="1">
      <c r="C665" s="1"/>
      <c r="D665" s="1"/>
    </row>
    <row r="666" ht="15.75" customHeight="1">
      <c r="C666" s="1"/>
      <c r="D666" s="1"/>
    </row>
    <row r="667" ht="15.75" customHeight="1">
      <c r="C667" s="1"/>
      <c r="D667" s="1"/>
    </row>
    <row r="668" ht="15.75" customHeight="1">
      <c r="C668" s="1"/>
      <c r="D668" s="1"/>
    </row>
    <row r="669" ht="15.75" customHeight="1">
      <c r="C669" s="1"/>
      <c r="D669" s="1"/>
    </row>
    <row r="670" ht="15.75" customHeight="1">
      <c r="C670" s="1"/>
      <c r="D670" s="1"/>
    </row>
    <row r="671" ht="15.75" customHeight="1">
      <c r="C671" s="1"/>
      <c r="D671" s="1"/>
    </row>
    <row r="672" ht="15.75" customHeight="1">
      <c r="C672" s="1"/>
      <c r="D672" s="1"/>
    </row>
    <row r="673" ht="15.75" customHeight="1">
      <c r="C673" s="1"/>
      <c r="D673" s="1"/>
    </row>
    <row r="674" ht="15.75" customHeight="1">
      <c r="C674" s="1"/>
      <c r="D674" s="1"/>
    </row>
    <row r="675" ht="15.75" customHeight="1">
      <c r="C675" s="1"/>
      <c r="D675" s="1"/>
    </row>
    <row r="676" ht="15.75" customHeight="1">
      <c r="C676" s="1"/>
      <c r="D676" s="1"/>
    </row>
    <row r="677" ht="15.75" customHeight="1">
      <c r="C677" s="1"/>
      <c r="D677" s="1"/>
    </row>
    <row r="678" ht="15.75" customHeight="1">
      <c r="C678" s="1"/>
      <c r="D678" s="1"/>
    </row>
    <row r="679" ht="15.75" customHeight="1">
      <c r="C679" s="1"/>
      <c r="D679" s="1"/>
    </row>
    <row r="680" ht="15.75" customHeight="1">
      <c r="C680" s="1"/>
      <c r="D680" s="1"/>
    </row>
    <row r="681" ht="15.75" customHeight="1">
      <c r="C681" s="1"/>
      <c r="D681" s="1"/>
    </row>
    <row r="682" ht="15.75" customHeight="1">
      <c r="C682" s="1"/>
      <c r="D682" s="1"/>
    </row>
    <row r="683" ht="15.75" customHeight="1">
      <c r="C683" s="1"/>
      <c r="D683" s="1"/>
    </row>
    <row r="684" ht="15.75" customHeight="1">
      <c r="C684" s="1"/>
      <c r="D684" s="1"/>
    </row>
    <row r="685" ht="15.75" customHeight="1">
      <c r="C685" s="1"/>
      <c r="D685" s="1"/>
    </row>
    <row r="686" ht="15.75" customHeight="1">
      <c r="C686" s="1"/>
      <c r="D686" s="1"/>
    </row>
    <row r="687" ht="15.75" customHeight="1">
      <c r="C687" s="1"/>
      <c r="D687" s="1"/>
    </row>
    <row r="688" ht="15.75" customHeight="1">
      <c r="C688" s="1"/>
      <c r="D688" s="1"/>
    </row>
    <row r="689" ht="15.75" customHeight="1">
      <c r="C689" s="1"/>
      <c r="D689" s="1"/>
    </row>
    <row r="690" ht="15.75" customHeight="1">
      <c r="C690" s="1"/>
      <c r="D690" s="1"/>
    </row>
    <row r="691" ht="15.75" customHeight="1">
      <c r="C691" s="1"/>
      <c r="D691" s="1"/>
    </row>
    <row r="692" ht="15.75" customHeight="1">
      <c r="C692" s="1"/>
      <c r="D692" s="1"/>
    </row>
    <row r="693" ht="15.75" customHeight="1">
      <c r="C693" s="1"/>
      <c r="D693" s="1"/>
    </row>
    <row r="694" ht="15.75" customHeight="1">
      <c r="C694" s="1"/>
      <c r="D694" s="1"/>
    </row>
    <row r="695" ht="15.75" customHeight="1">
      <c r="C695" s="1"/>
      <c r="D695" s="1"/>
    </row>
    <row r="696" ht="15.75" customHeight="1">
      <c r="C696" s="1"/>
      <c r="D696" s="1"/>
    </row>
    <row r="697" ht="15.75" customHeight="1">
      <c r="C697" s="1"/>
      <c r="D697" s="1"/>
    </row>
    <row r="698" ht="15.75" customHeight="1">
      <c r="C698" s="1"/>
      <c r="D698" s="1"/>
    </row>
    <row r="699" ht="15.75" customHeight="1">
      <c r="C699" s="1"/>
      <c r="D699" s="1"/>
    </row>
    <row r="700" ht="15.75" customHeight="1">
      <c r="C700" s="1"/>
      <c r="D700" s="1"/>
    </row>
    <row r="701" ht="15.75" customHeight="1">
      <c r="C701" s="1"/>
      <c r="D701" s="1"/>
    </row>
    <row r="702" ht="15.75" customHeight="1">
      <c r="C702" s="1"/>
      <c r="D702" s="1"/>
    </row>
    <row r="703" ht="15.75" customHeight="1">
      <c r="C703" s="1"/>
      <c r="D703" s="1"/>
    </row>
    <row r="704" ht="15.75" customHeight="1">
      <c r="C704" s="1"/>
      <c r="D704" s="1"/>
    </row>
    <row r="705" ht="15.75" customHeight="1">
      <c r="C705" s="1"/>
      <c r="D705" s="1"/>
    </row>
    <row r="706" ht="15.75" customHeight="1">
      <c r="C706" s="1"/>
      <c r="D706" s="1"/>
    </row>
    <row r="707" ht="15.75" customHeight="1">
      <c r="C707" s="1"/>
      <c r="D707" s="1"/>
    </row>
    <row r="708" ht="15.75" customHeight="1">
      <c r="C708" s="1"/>
      <c r="D708" s="1"/>
    </row>
    <row r="709" ht="15.75" customHeight="1">
      <c r="C709" s="1"/>
      <c r="D709" s="1"/>
    </row>
    <row r="710" ht="15.75" customHeight="1">
      <c r="C710" s="1"/>
      <c r="D710" s="1"/>
    </row>
    <row r="711" ht="15.75" customHeight="1">
      <c r="C711" s="1"/>
      <c r="D711" s="1"/>
    </row>
    <row r="712" ht="15.75" customHeight="1">
      <c r="C712" s="1"/>
      <c r="D712" s="1"/>
    </row>
    <row r="713" ht="15.75" customHeight="1">
      <c r="C713" s="1"/>
      <c r="D713" s="1"/>
    </row>
    <row r="714" ht="15.75" customHeight="1">
      <c r="C714" s="1"/>
      <c r="D714" s="1"/>
    </row>
    <row r="715" ht="15.75" customHeight="1">
      <c r="C715" s="1"/>
      <c r="D715" s="1"/>
    </row>
    <row r="716" ht="15.75" customHeight="1">
      <c r="C716" s="1"/>
      <c r="D716" s="1"/>
    </row>
    <row r="717" ht="15.75" customHeight="1">
      <c r="C717" s="1"/>
      <c r="D717" s="1"/>
    </row>
    <row r="718" ht="15.75" customHeight="1">
      <c r="C718" s="1"/>
      <c r="D718" s="1"/>
    </row>
    <row r="719" ht="15.75" customHeight="1">
      <c r="C719" s="1"/>
      <c r="D719" s="1"/>
    </row>
    <row r="720" ht="15.75" customHeight="1">
      <c r="C720" s="1"/>
      <c r="D720" s="1"/>
    </row>
    <row r="721" ht="15.75" customHeight="1">
      <c r="C721" s="1"/>
      <c r="D721" s="1"/>
    </row>
    <row r="722" ht="15.75" customHeight="1">
      <c r="C722" s="1"/>
      <c r="D722" s="1"/>
    </row>
    <row r="723" ht="15.75" customHeight="1">
      <c r="C723" s="1"/>
      <c r="D723" s="1"/>
    </row>
    <row r="724" ht="15.75" customHeight="1">
      <c r="C724" s="1"/>
      <c r="D724" s="1"/>
    </row>
    <row r="725" ht="15.75" customHeight="1">
      <c r="C725" s="1"/>
      <c r="D725" s="1"/>
    </row>
    <row r="726" ht="15.75" customHeight="1">
      <c r="C726" s="1"/>
      <c r="D726" s="1"/>
    </row>
    <row r="727" ht="15.75" customHeight="1">
      <c r="C727" s="1"/>
      <c r="D727" s="1"/>
    </row>
    <row r="728" ht="15.75" customHeight="1">
      <c r="C728" s="1"/>
      <c r="D728" s="1"/>
    </row>
    <row r="729" ht="15.75" customHeight="1">
      <c r="C729" s="1"/>
      <c r="D729" s="1"/>
    </row>
    <row r="730" ht="15.75" customHeight="1">
      <c r="C730" s="1"/>
      <c r="D730" s="1"/>
    </row>
    <row r="731" ht="15.75" customHeight="1">
      <c r="C731" s="1"/>
      <c r="D731" s="1"/>
    </row>
    <row r="732" ht="15.75" customHeight="1">
      <c r="C732" s="1"/>
      <c r="D732" s="1"/>
    </row>
    <row r="733" ht="15.75" customHeight="1">
      <c r="C733" s="1"/>
      <c r="D733" s="1"/>
    </row>
    <row r="734" ht="15.75" customHeight="1">
      <c r="C734" s="1"/>
      <c r="D734" s="1"/>
    </row>
    <row r="735" ht="15.75" customHeight="1">
      <c r="C735" s="1"/>
      <c r="D735" s="1"/>
    </row>
    <row r="736" ht="15.75" customHeight="1">
      <c r="C736" s="1"/>
      <c r="D736" s="1"/>
    </row>
    <row r="737" ht="15.75" customHeight="1">
      <c r="C737" s="1"/>
      <c r="D737" s="1"/>
    </row>
    <row r="738" ht="15.75" customHeight="1">
      <c r="C738" s="1"/>
      <c r="D738" s="1"/>
    </row>
    <row r="739" ht="15.75" customHeight="1">
      <c r="C739" s="1"/>
      <c r="D739" s="1"/>
    </row>
    <row r="740" ht="15.75" customHeight="1">
      <c r="C740" s="1"/>
      <c r="D740" s="1"/>
    </row>
    <row r="741" ht="15.75" customHeight="1">
      <c r="C741" s="1"/>
      <c r="D741" s="1"/>
    </row>
    <row r="742" ht="15.75" customHeight="1">
      <c r="C742" s="1"/>
      <c r="D742" s="1"/>
    </row>
    <row r="743" ht="15.75" customHeight="1">
      <c r="C743" s="1"/>
      <c r="D743" s="1"/>
    </row>
    <row r="744" ht="15.75" customHeight="1">
      <c r="C744" s="1"/>
      <c r="D744" s="1"/>
    </row>
    <row r="745" ht="15.75" customHeight="1">
      <c r="C745" s="1"/>
      <c r="D745" s="1"/>
    </row>
    <row r="746" ht="15.75" customHeight="1">
      <c r="C746" s="1"/>
      <c r="D746" s="1"/>
    </row>
    <row r="747" ht="15.75" customHeight="1">
      <c r="C747" s="1"/>
      <c r="D747" s="1"/>
    </row>
    <row r="748" ht="15.75" customHeight="1">
      <c r="C748" s="1"/>
      <c r="D748" s="1"/>
    </row>
    <row r="749" ht="15.75" customHeight="1">
      <c r="C749" s="1"/>
      <c r="D749" s="1"/>
    </row>
    <row r="750" ht="15.75" customHeight="1">
      <c r="C750" s="1"/>
      <c r="D750" s="1"/>
    </row>
    <row r="751" ht="15.75" customHeight="1">
      <c r="C751" s="1"/>
      <c r="D751" s="1"/>
    </row>
    <row r="752" ht="15.75" customHeight="1">
      <c r="C752" s="1"/>
      <c r="D752" s="1"/>
    </row>
    <row r="753" ht="15.75" customHeight="1">
      <c r="C753" s="1"/>
      <c r="D753" s="1"/>
    </row>
    <row r="754" ht="15.75" customHeight="1">
      <c r="C754" s="1"/>
      <c r="D754" s="1"/>
    </row>
    <row r="755" ht="15.75" customHeight="1">
      <c r="C755" s="1"/>
      <c r="D755" s="1"/>
    </row>
    <row r="756" ht="15.75" customHeight="1">
      <c r="C756" s="1"/>
      <c r="D756" s="1"/>
    </row>
    <row r="757" ht="15.75" customHeight="1">
      <c r="C757" s="1"/>
      <c r="D757" s="1"/>
    </row>
    <row r="758" ht="15.75" customHeight="1">
      <c r="C758" s="1"/>
      <c r="D758" s="1"/>
    </row>
    <row r="759" ht="15.75" customHeight="1">
      <c r="C759" s="1"/>
      <c r="D759" s="1"/>
    </row>
    <row r="760" ht="15.75" customHeight="1">
      <c r="C760" s="1"/>
      <c r="D760" s="1"/>
    </row>
    <row r="761" ht="15.75" customHeight="1">
      <c r="C761" s="1"/>
      <c r="D761" s="1"/>
    </row>
    <row r="762" ht="15.75" customHeight="1">
      <c r="C762" s="1"/>
      <c r="D762" s="1"/>
    </row>
    <row r="763" ht="15.75" customHeight="1">
      <c r="C763" s="1"/>
      <c r="D763" s="1"/>
    </row>
    <row r="764" ht="15.75" customHeight="1">
      <c r="C764" s="1"/>
      <c r="D764" s="1"/>
    </row>
    <row r="765" ht="15.75" customHeight="1">
      <c r="C765" s="1"/>
      <c r="D765" s="1"/>
    </row>
    <row r="766" ht="15.75" customHeight="1">
      <c r="C766" s="1"/>
      <c r="D766" s="1"/>
    </row>
    <row r="767" ht="15.75" customHeight="1">
      <c r="C767" s="1"/>
      <c r="D767" s="1"/>
    </row>
    <row r="768" ht="15.75" customHeight="1">
      <c r="C768" s="1"/>
      <c r="D768" s="1"/>
    </row>
    <row r="769" ht="15.75" customHeight="1">
      <c r="C769" s="1"/>
      <c r="D769" s="1"/>
    </row>
    <row r="770" ht="15.75" customHeight="1">
      <c r="C770" s="1"/>
      <c r="D770" s="1"/>
    </row>
    <row r="771" ht="15.75" customHeight="1">
      <c r="C771" s="1"/>
      <c r="D771" s="1"/>
    </row>
    <row r="772" ht="15.75" customHeight="1">
      <c r="C772" s="1"/>
      <c r="D772" s="1"/>
    </row>
    <row r="773" ht="15.75" customHeight="1">
      <c r="C773" s="1"/>
      <c r="D773" s="1"/>
    </row>
    <row r="774" ht="15.75" customHeight="1">
      <c r="C774" s="1"/>
      <c r="D774" s="1"/>
    </row>
    <row r="775" ht="15.75" customHeight="1">
      <c r="C775" s="1"/>
      <c r="D775" s="1"/>
    </row>
    <row r="776" ht="15.75" customHeight="1">
      <c r="C776" s="1"/>
      <c r="D776" s="1"/>
    </row>
    <row r="777" ht="15.75" customHeight="1">
      <c r="C777" s="1"/>
      <c r="D777" s="1"/>
    </row>
    <row r="778" ht="15.75" customHeight="1">
      <c r="C778" s="1"/>
      <c r="D778" s="1"/>
    </row>
    <row r="779" ht="15.75" customHeight="1">
      <c r="C779" s="1"/>
      <c r="D779" s="1"/>
    </row>
    <row r="780" ht="15.75" customHeight="1">
      <c r="C780" s="1"/>
      <c r="D780" s="1"/>
    </row>
    <row r="781" ht="15.75" customHeight="1">
      <c r="C781" s="1"/>
      <c r="D781" s="1"/>
    </row>
    <row r="782" ht="15.75" customHeight="1">
      <c r="C782" s="1"/>
      <c r="D782" s="1"/>
    </row>
    <row r="783" ht="15.75" customHeight="1">
      <c r="C783" s="1"/>
      <c r="D783" s="1"/>
    </row>
    <row r="784" ht="15.75" customHeight="1">
      <c r="C784" s="1"/>
      <c r="D784" s="1"/>
    </row>
    <row r="785" ht="15.75" customHeight="1">
      <c r="C785" s="1"/>
      <c r="D785" s="1"/>
    </row>
    <row r="786" ht="15.75" customHeight="1">
      <c r="C786" s="1"/>
      <c r="D786" s="1"/>
    </row>
    <row r="787" ht="15.75" customHeight="1">
      <c r="C787" s="1"/>
      <c r="D787" s="1"/>
    </row>
    <row r="788" ht="15.75" customHeight="1">
      <c r="C788" s="1"/>
      <c r="D788" s="1"/>
    </row>
    <row r="789" ht="15.75" customHeight="1">
      <c r="C789" s="1"/>
      <c r="D789" s="1"/>
    </row>
    <row r="790" ht="15.75" customHeight="1">
      <c r="C790" s="1"/>
      <c r="D790" s="1"/>
    </row>
    <row r="791" ht="15.75" customHeight="1">
      <c r="C791" s="1"/>
      <c r="D791" s="1"/>
    </row>
    <row r="792" ht="15.75" customHeight="1">
      <c r="C792" s="1"/>
      <c r="D792" s="1"/>
    </row>
    <row r="793" ht="15.75" customHeight="1">
      <c r="C793" s="1"/>
      <c r="D793" s="1"/>
    </row>
    <row r="794" ht="15.75" customHeight="1">
      <c r="C794" s="1"/>
      <c r="D794" s="1"/>
    </row>
    <row r="795" ht="15.75" customHeight="1">
      <c r="C795" s="1"/>
      <c r="D795" s="1"/>
    </row>
    <row r="796" ht="15.75" customHeight="1">
      <c r="C796" s="1"/>
      <c r="D796" s="1"/>
    </row>
    <row r="797" ht="15.75" customHeight="1">
      <c r="C797" s="1"/>
      <c r="D797" s="1"/>
    </row>
    <row r="798" ht="15.75" customHeight="1">
      <c r="C798" s="1"/>
      <c r="D798" s="1"/>
    </row>
    <row r="799" ht="15.75" customHeight="1">
      <c r="C799" s="1"/>
      <c r="D799" s="1"/>
    </row>
    <row r="800" ht="15.75" customHeight="1">
      <c r="C800" s="1"/>
      <c r="D800" s="1"/>
    </row>
    <row r="801" ht="15.75" customHeight="1">
      <c r="C801" s="1"/>
      <c r="D801" s="1"/>
    </row>
    <row r="802" ht="15.75" customHeight="1">
      <c r="C802" s="1"/>
      <c r="D802" s="1"/>
    </row>
    <row r="803" ht="15.75" customHeight="1">
      <c r="C803" s="1"/>
      <c r="D803" s="1"/>
    </row>
    <row r="804" ht="15.75" customHeight="1">
      <c r="C804" s="1"/>
      <c r="D804" s="1"/>
    </row>
    <row r="805" ht="15.75" customHeight="1">
      <c r="C805" s="1"/>
      <c r="D805" s="1"/>
    </row>
    <row r="806" ht="15.75" customHeight="1">
      <c r="C806" s="1"/>
      <c r="D806" s="1"/>
    </row>
    <row r="807" ht="15.75" customHeight="1">
      <c r="C807" s="1"/>
      <c r="D807" s="1"/>
    </row>
    <row r="808" ht="15.75" customHeight="1">
      <c r="C808" s="1"/>
      <c r="D808" s="1"/>
    </row>
    <row r="809" ht="15.75" customHeight="1">
      <c r="C809" s="1"/>
      <c r="D809" s="1"/>
    </row>
    <row r="810" ht="15.75" customHeight="1">
      <c r="C810" s="1"/>
      <c r="D810" s="1"/>
    </row>
    <row r="811" ht="15.75" customHeight="1">
      <c r="C811" s="1"/>
      <c r="D811" s="1"/>
    </row>
    <row r="812" ht="15.75" customHeight="1">
      <c r="C812" s="1"/>
      <c r="D812" s="1"/>
    </row>
    <row r="813" ht="15.75" customHeight="1">
      <c r="C813" s="1"/>
      <c r="D813" s="1"/>
    </row>
    <row r="814" ht="15.75" customHeight="1">
      <c r="C814" s="1"/>
      <c r="D814" s="1"/>
    </row>
    <row r="815" ht="15.75" customHeight="1">
      <c r="C815" s="1"/>
      <c r="D815" s="1"/>
    </row>
    <row r="816" ht="15.75" customHeight="1">
      <c r="C816" s="1"/>
      <c r="D816" s="1"/>
    </row>
    <row r="817" ht="15.75" customHeight="1">
      <c r="C817" s="1"/>
      <c r="D817" s="1"/>
    </row>
    <row r="818" ht="15.75" customHeight="1">
      <c r="C818" s="1"/>
      <c r="D818" s="1"/>
    </row>
    <row r="819" ht="15.75" customHeight="1">
      <c r="C819" s="1"/>
      <c r="D819" s="1"/>
    </row>
    <row r="820" ht="15.75" customHeight="1">
      <c r="C820" s="1"/>
      <c r="D820" s="1"/>
    </row>
    <row r="821" ht="15.75" customHeight="1">
      <c r="C821" s="1"/>
      <c r="D821" s="1"/>
    </row>
    <row r="822" ht="15.75" customHeight="1">
      <c r="C822" s="1"/>
      <c r="D822" s="1"/>
    </row>
    <row r="823" ht="15.75" customHeight="1">
      <c r="C823" s="1"/>
      <c r="D823" s="1"/>
    </row>
    <row r="824" ht="15.75" customHeight="1">
      <c r="C824" s="1"/>
      <c r="D824" s="1"/>
    </row>
    <row r="825" ht="15.75" customHeight="1">
      <c r="C825" s="1"/>
      <c r="D825" s="1"/>
    </row>
    <row r="826" ht="15.75" customHeight="1">
      <c r="C826" s="1"/>
      <c r="D826" s="1"/>
    </row>
    <row r="827" ht="15.75" customHeight="1">
      <c r="C827" s="1"/>
      <c r="D827" s="1"/>
    </row>
    <row r="828" ht="15.75" customHeight="1">
      <c r="C828" s="1"/>
      <c r="D828" s="1"/>
    </row>
    <row r="829" ht="15.75" customHeight="1">
      <c r="C829" s="1"/>
      <c r="D829" s="1"/>
    </row>
    <row r="830" ht="15.75" customHeight="1">
      <c r="C830" s="1"/>
      <c r="D830" s="1"/>
    </row>
    <row r="831" ht="15.75" customHeight="1">
      <c r="C831" s="1"/>
      <c r="D831" s="1"/>
    </row>
    <row r="832" ht="15.75" customHeight="1">
      <c r="C832" s="1"/>
      <c r="D832" s="1"/>
    </row>
    <row r="833" ht="15.75" customHeight="1">
      <c r="C833" s="1"/>
      <c r="D833" s="1"/>
    </row>
    <row r="834" ht="15.75" customHeight="1">
      <c r="C834" s="1"/>
      <c r="D834" s="1"/>
    </row>
    <row r="835" ht="15.75" customHeight="1">
      <c r="C835" s="1"/>
      <c r="D835" s="1"/>
    </row>
    <row r="836" ht="15.75" customHeight="1">
      <c r="C836" s="1"/>
      <c r="D836" s="1"/>
    </row>
    <row r="837" ht="15.75" customHeight="1">
      <c r="C837" s="1"/>
      <c r="D837" s="1"/>
    </row>
    <row r="838" ht="15.75" customHeight="1">
      <c r="C838" s="1"/>
      <c r="D838" s="1"/>
    </row>
    <row r="839" ht="15.75" customHeight="1">
      <c r="C839" s="1"/>
      <c r="D839" s="1"/>
    </row>
    <row r="840" ht="15.75" customHeight="1">
      <c r="C840" s="1"/>
      <c r="D840" s="1"/>
    </row>
    <row r="841" ht="15.75" customHeight="1">
      <c r="C841" s="1"/>
      <c r="D841" s="1"/>
    </row>
    <row r="842" ht="15.75" customHeight="1">
      <c r="C842" s="1"/>
      <c r="D842" s="1"/>
    </row>
    <row r="843" ht="15.75" customHeight="1">
      <c r="C843" s="1"/>
      <c r="D843" s="1"/>
    </row>
    <row r="844" ht="15.75" customHeight="1">
      <c r="C844" s="1"/>
      <c r="D844" s="1"/>
    </row>
    <row r="845" ht="15.75" customHeight="1">
      <c r="C845" s="1"/>
      <c r="D845" s="1"/>
    </row>
    <row r="846" ht="15.75" customHeight="1">
      <c r="C846" s="1"/>
      <c r="D846" s="1"/>
    </row>
    <row r="847" ht="15.75" customHeight="1">
      <c r="C847" s="1"/>
      <c r="D847" s="1"/>
    </row>
    <row r="848" ht="15.75" customHeight="1">
      <c r="C848" s="1"/>
      <c r="D848" s="1"/>
    </row>
    <row r="849" ht="15.75" customHeight="1">
      <c r="C849" s="1"/>
      <c r="D849" s="1"/>
    </row>
    <row r="850" ht="15.75" customHeight="1">
      <c r="C850" s="1"/>
      <c r="D850" s="1"/>
    </row>
    <row r="851" ht="15.75" customHeight="1">
      <c r="C851" s="1"/>
      <c r="D851" s="1"/>
    </row>
    <row r="852" ht="15.75" customHeight="1">
      <c r="C852" s="1"/>
      <c r="D852" s="1"/>
    </row>
    <row r="853" ht="15.75" customHeight="1">
      <c r="C853" s="1"/>
      <c r="D853" s="1"/>
    </row>
    <row r="854" ht="15.75" customHeight="1">
      <c r="C854" s="1"/>
      <c r="D854" s="1"/>
    </row>
    <row r="855" ht="15.75" customHeight="1">
      <c r="C855" s="1"/>
      <c r="D855" s="1"/>
    </row>
    <row r="856" ht="15.75" customHeight="1">
      <c r="C856" s="1"/>
      <c r="D856" s="1"/>
    </row>
    <row r="857" ht="15.75" customHeight="1">
      <c r="C857" s="1"/>
      <c r="D857" s="1"/>
    </row>
    <row r="858" ht="15.75" customHeight="1">
      <c r="C858" s="1"/>
      <c r="D858" s="1"/>
    </row>
    <row r="859" ht="15.75" customHeight="1">
      <c r="C859" s="1"/>
      <c r="D859" s="1"/>
    </row>
    <row r="860" ht="15.75" customHeight="1">
      <c r="C860" s="1"/>
      <c r="D860" s="1"/>
    </row>
    <row r="861" ht="15.75" customHeight="1">
      <c r="C861" s="1"/>
      <c r="D861" s="1"/>
    </row>
    <row r="862" ht="15.75" customHeight="1">
      <c r="C862" s="1"/>
      <c r="D862" s="1"/>
    </row>
    <row r="863" ht="15.75" customHeight="1">
      <c r="C863" s="1"/>
      <c r="D863" s="1"/>
    </row>
    <row r="864" ht="15.75" customHeight="1">
      <c r="C864" s="1"/>
      <c r="D864" s="1"/>
    </row>
    <row r="865" ht="15.75" customHeight="1">
      <c r="C865" s="1"/>
      <c r="D865" s="1"/>
    </row>
    <row r="866" ht="15.75" customHeight="1">
      <c r="C866" s="1"/>
      <c r="D866" s="1"/>
    </row>
    <row r="867" ht="15.75" customHeight="1">
      <c r="C867" s="1"/>
      <c r="D867" s="1"/>
    </row>
    <row r="868" ht="15.75" customHeight="1">
      <c r="C868" s="1"/>
      <c r="D868" s="1"/>
    </row>
    <row r="869" ht="15.75" customHeight="1">
      <c r="C869" s="1"/>
      <c r="D869" s="1"/>
    </row>
    <row r="870" ht="15.75" customHeight="1">
      <c r="C870" s="1"/>
      <c r="D870" s="1"/>
    </row>
    <row r="871" ht="15.75" customHeight="1">
      <c r="C871" s="1"/>
      <c r="D871" s="1"/>
    </row>
    <row r="872" ht="15.75" customHeight="1">
      <c r="C872" s="1"/>
      <c r="D872" s="1"/>
    </row>
    <row r="873" ht="15.75" customHeight="1">
      <c r="C873" s="1"/>
      <c r="D873" s="1"/>
    </row>
    <row r="874" ht="15.75" customHeight="1">
      <c r="C874" s="1"/>
      <c r="D874" s="1"/>
    </row>
    <row r="875" ht="15.75" customHeight="1">
      <c r="C875" s="1"/>
      <c r="D875" s="1"/>
    </row>
    <row r="876" ht="15.75" customHeight="1">
      <c r="C876" s="1"/>
      <c r="D876" s="1"/>
    </row>
    <row r="877" ht="15.75" customHeight="1">
      <c r="C877" s="1"/>
      <c r="D877" s="1"/>
    </row>
    <row r="878" ht="15.75" customHeight="1">
      <c r="C878" s="1"/>
      <c r="D878" s="1"/>
    </row>
    <row r="879" ht="15.75" customHeight="1">
      <c r="C879" s="1"/>
      <c r="D879" s="1"/>
    </row>
    <row r="880" ht="15.75" customHeight="1">
      <c r="C880" s="1"/>
      <c r="D880" s="1"/>
    </row>
    <row r="881" ht="15.75" customHeight="1">
      <c r="C881" s="1"/>
      <c r="D881" s="1"/>
    </row>
    <row r="882" ht="15.75" customHeight="1">
      <c r="C882" s="1"/>
      <c r="D882" s="1"/>
    </row>
    <row r="883" ht="15.75" customHeight="1">
      <c r="C883" s="1"/>
      <c r="D883" s="1"/>
    </row>
    <row r="884" ht="15.75" customHeight="1">
      <c r="C884" s="1"/>
      <c r="D884" s="1"/>
    </row>
    <row r="885" ht="15.75" customHeight="1">
      <c r="C885" s="1"/>
      <c r="D885" s="1"/>
    </row>
    <row r="886" ht="15.75" customHeight="1">
      <c r="C886" s="1"/>
      <c r="D886" s="1"/>
    </row>
    <row r="887" ht="15.75" customHeight="1">
      <c r="C887" s="1"/>
      <c r="D887" s="1"/>
    </row>
    <row r="888" ht="15.75" customHeight="1">
      <c r="C888" s="1"/>
      <c r="D888" s="1"/>
    </row>
    <row r="889" ht="15.75" customHeight="1">
      <c r="C889" s="1"/>
      <c r="D889" s="1"/>
    </row>
    <row r="890" ht="15.75" customHeight="1">
      <c r="C890" s="1"/>
      <c r="D890" s="1"/>
    </row>
    <row r="891" ht="15.75" customHeight="1">
      <c r="C891" s="1"/>
      <c r="D891" s="1"/>
    </row>
    <row r="892" ht="15.75" customHeight="1">
      <c r="C892" s="1"/>
      <c r="D892" s="1"/>
    </row>
    <row r="893" ht="15.75" customHeight="1">
      <c r="C893" s="1"/>
      <c r="D893" s="1"/>
    </row>
    <row r="894" ht="15.75" customHeight="1">
      <c r="C894" s="1"/>
      <c r="D894" s="1"/>
    </row>
    <row r="895" ht="15.75" customHeight="1">
      <c r="C895" s="1"/>
      <c r="D895" s="1"/>
    </row>
    <row r="896" ht="15.75" customHeight="1">
      <c r="C896" s="1"/>
      <c r="D896" s="1"/>
    </row>
    <row r="897" ht="15.75" customHeight="1">
      <c r="C897" s="1"/>
      <c r="D897" s="1"/>
    </row>
    <row r="898" ht="15.75" customHeight="1">
      <c r="C898" s="1"/>
      <c r="D898" s="1"/>
    </row>
    <row r="899" ht="15.75" customHeight="1">
      <c r="C899" s="1"/>
      <c r="D899" s="1"/>
    </row>
    <row r="900" ht="15.75" customHeight="1">
      <c r="C900" s="1"/>
      <c r="D900" s="1"/>
    </row>
    <row r="901" ht="15.75" customHeight="1">
      <c r="C901" s="1"/>
      <c r="D901" s="1"/>
    </row>
    <row r="902" ht="15.75" customHeight="1">
      <c r="C902" s="1"/>
      <c r="D902" s="1"/>
    </row>
    <row r="903" ht="15.75" customHeight="1">
      <c r="C903" s="1"/>
      <c r="D903" s="1"/>
    </row>
    <row r="904" ht="15.75" customHeight="1">
      <c r="C904" s="1"/>
      <c r="D904" s="1"/>
    </row>
    <row r="905" ht="15.75" customHeight="1">
      <c r="C905" s="1"/>
      <c r="D905" s="1"/>
    </row>
    <row r="906" ht="15.75" customHeight="1">
      <c r="C906" s="1"/>
      <c r="D906" s="1"/>
    </row>
    <row r="907" ht="15.75" customHeight="1">
      <c r="C907" s="1"/>
      <c r="D907" s="1"/>
    </row>
    <row r="908" ht="15.75" customHeight="1">
      <c r="C908" s="1"/>
      <c r="D908" s="1"/>
    </row>
    <row r="909" ht="15.75" customHeight="1">
      <c r="C909" s="1"/>
      <c r="D909" s="1"/>
    </row>
    <row r="910" ht="15.75" customHeight="1">
      <c r="C910" s="1"/>
      <c r="D910" s="1"/>
    </row>
    <row r="911" ht="15.75" customHeight="1">
      <c r="C911" s="1"/>
      <c r="D911" s="1"/>
    </row>
    <row r="912" ht="15.75" customHeight="1">
      <c r="C912" s="1"/>
      <c r="D912" s="1"/>
    </row>
    <row r="913" ht="15.75" customHeight="1">
      <c r="C913" s="1"/>
      <c r="D913" s="1"/>
    </row>
    <row r="914" ht="15.75" customHeight="1">
      <c r="C914" s="1"/>
      <c r="D914" s="1"/>
    </row>
    <row r="915" ht="15.75" customHeight="1">
      <c r="C915" s="1"/>
      <c r="D915" s="1"/>
    </row>
    <row r="916" ht="15.75" customHeight="1">
      <c r="C916" s="1"/>
      <c r="D916" s="1"/>
    </row>
    <row r="917" ht="15.75" customHeight="1">
      <c r="C917" s="1"/>
      <c r="D917" s="1"/>
    </row>
    <row r="918" ht="15.75" customHeight="1">
      <c r="C918" s="1"/>
      <c r="D918" s="1"/>
    </row>
    <row r="919" ht="15.75" customHeight="1">
      <c r="C919" s="1"/>
      <c r="D919" s="1"/>
    </row>
    <row r="920" ht="15.75" customHeight="1">
      <c r="C920" s="1"/>
      <c r="D920" s="1"/>
    </row>
    <row r="921" ht="15.75" customHeight="1">
      <c r="C921" s="1"/>
      <c r="D921" s="1"/>
    </row>
    <row r="922" ht="15.75" customHeight="1">
      <c r="C922" s="1"/>
      <c r="D922" s="1"/>
    </row>
    <row r="923" ht="15.75" customHeight="1">
      <c r="C923" s="1"/>
      <c r="D923" s="1"/>
    </row>
    <row r="924" ht="15.75" customHeight="1">
      <c r="C924" s="1"/>
      <c r="D924" s="1"/>
    </row>
    <row r="925" ht="15.75" customHeight="1">
      <c r="C925" s="1"/>
      <c r="D925" s="1"/>
    </row>
    <row r="926" ht="15.75" customHeight="1">
      <c r="C926" s="1"/>
      <c r="D926" s="1"/>
    </row>
    <row r="927" ht="15.75" customHeight="1">
      <c r="C927" s="1"/>
      <c r="D927" s="1"/>
    </row>
    <row r="928" ht="15.75" customHeight="1">
      <c r="C928" s="1"/>
      <c r="D928" s="1"/>
    </row>
    <row r="929" ht="15.75" customHeight="1">
      <c r="C929" s="1"/>
      <c r="D929" s="1"/>
    </row>
    <row r="930" ht="15.75" customHeight="1">
      <c r="C930" s="1"/>
      <c r="D930" s="1"/>
    </row>
    <row r="931" ht="15.75" customHeight="1">
      <c r="C931" s="1"/>
      <c r="D931" s="1"/>
    </row>
    <row r="932" ht="15.75" customHeight="1">
      <c r="C932" s="1"/>
      <c r="D932" s="1"/>
    </row>
    <row r="933" ht="15.75" customHeight="1">
      <c r="C933" s="1"/>
      <c r="D933" s="1"/>
    </row>
    <row r="934" ht="15.75" customHeight="1">
      <c r="C934" s="1"/>
      <c r="D934" s="1"/>
    </row>
    <row r="935" ht="15.75" customHeight="1">
      <c r="C935" s="1"/>
      <c r="D935" s="1"/>
    </row>
    <row r="936" ht="15.75" customHeight="1">
      <c r="C936" s="1"/>
      <c r="D936" s="1"/>
    </row>
    <row r="937" ht="15.75" customHeight="1">
      <c r="C937" s="1"/>
      <c r="D937" s="1"/>
    </row>
    <row r="938" ht="15.75" customHeight="1">
      <c r="C938" s="1"/>
      <c r="D938" s="1"/>
    </row>
    <row r="939" ht="15.75" customHeight="1">
      <c r="C939" s="1"/>
      <c r="D939" s="1"/>
    </row>
    <row r="940" ht="15.75" customHeight="1">
      <c r="C940" s="1"/>
      <c r="D940" s="1"/>
    </row>
    <row r="941" ht="15.75" customHeight="1">
      <c r="C941" s="1"/>
      <c r="D941" s="1"/>
    </row>
    <row r="942" ht="15.75" customHeight="1">
      <c r="C942" s="1"/>
      <c r="D942" s="1"/>
    </row>
    <row r="943" ht="15.75" customHeight="1">
      <c r="C943" s="1"/>
      <c r="D943" s="1"/>
    </row>
    <row r="944" ht="15.75" customHeight="1">
      <c r="C944" s="1"/>
      <c r="D944" s="1"/>
    </row>
    <row r="945" ht="15.75" customHeight="1">
      <c r="C945" s="1"/>
      <c r="D945" s="1"/>
    </row>
    <row r="946" ht="15.75" customHeight="1">
      <c r="C946" s="1"/>
      <c r="D946" s="1"/>
    </row>
    <row r="947" ht="15.75" customHeight="1">
      <c r="C947" s="1"/>
      <c r="D947" s="1"/>
    </row>
    <row r="948" ht="15.75" customHeight="1">
      <c r="C948" s="1"/>
      <c r="D948" s="1"/>
    </row>
    <row r="949" ht="15.75" customHeight="1">
      <c r="C949" s="1"/>
      <c r="D949" s="1"/>
    </row>
    <row r="950" ht="15.75" customHeight="1">
      <c r="C950" s="1"/>
      <c r="D950" s="1"/>
    </row>
    <row r="951" ht="15.75" customHeight="1">
      <c r="C951" s="1"/>
      <c r="D951" s="1"/>
    </row>
    <row r="952" ht="15.75" customHeight="1">
      <c r="C952" s="1"/>
      <c r="D952" s="1"/>
    </row>
    <row r="953" ht="15.75" customHeight="1">
      <c r="C953" s="1"/>
      <c r="D953" s="1"/>
    </row>
    <row r="954" ht="15.75" customHeight="1">
      <c r="C954" s="1"/>
      <c r="D954" s="1"/>
    </row>
    <row r="955" ht="15.75" customHeight="1">
      <c r="C955" s="1"/>
      <c r="D955" s="1"/>
    </row>
    <row r="956" ht="15.75" customHeight="1">
      <c r="C956" s="1"/>
      <c r="D956" s="1"/>
    </row>
    <row r="957" ht="15.75" customHeight="1">
      <c r="C957" s="1"/>
      <c r="D957" s="1"/>
    </row>
    <row r="958" ht="15.75" customHeight="1">
      <c r="C958" s="1"/>
      <c r="D958" s="1"/>
    </row>
    <row r="959" ht="15.75" customHeight="1">
      <c r="C959" s="1"/>
      <c r="D959" s="1"/>
    </row>
    <row r="960" ht="15.75" customHeight="1">
      <c r="C960" s="1"/>
      <c r="D960" s="1"/>
    </row>
    <row r="961" ht="15.75" customHeight="1">
      <c r="C961" s="1"/>
      <c r="D961" s="1"/>
    </row>
    <row r="962" ht="15.75" customHeight="1">
      <c r="C962" s="1"/>
      <c r="D962" s="1"/>
    </row>
    <row r="963" ht="15.75" customHeight="1">
      <c r="C963" s="1"/>
      <c r="D963" s="1"/>
    </row>
    <row r="964" ht="15.75" customHeight="1">
      <c r="C964" s="1"/>
      <c r="D964" s="1"/>
    </row>
    <row r="965" ht="15.75" customHeight="1">
      <c r="C965" s="1"/>
      <c r="D965" s="1"/>
    </row>
    <row r="966" ht="15.75" customHeight="1">
      <c r="C966" s="1"/>
      <c r="D966" s="1"/>
    </row>
    <row r="967" ht="15.75" customHeight="1">
      <c r="C967" s="1"/>
      <c r="D967" s="1"/>
    </row>
    <row r="968" ht="15.75" customHeight="1">
      <c r="C968" s="1"/>
      <c r="D968" s="1"/>
    </row>
    <row r="969" ht="15.75" customHeight="1">
      <c r="C969" s="1"/>
      <c r="D969" s="1"/>
    </row>
    <row r="970" ht="15.75" customHeight="1">
      <c r="C970" s="1"/>
      <c r="D970" s="1"/>
    </row>
    <row r="971" ht="15.75" customHeight="1">
      <c r="C971" s="1"/>
      <c r="D971" s="1"/>
    </row>
    <row r="972" ht="15.75" customHeight="1">
      <c r="C972" s="1"/>
      <c r="D972" s="1"/>
    </row>
    <row r="973" ht="15.75" customHeight="1">
      <c r="C973" s="1"/>
      <c r="D973" s="1"/>
    </row>
    <row r="974" ht="15.75" customHeight="1">
      <c r="C974" s="1"/>
      <c r="D974" s="1"/>
    </row>
    <row r="975" ht="15.75" customHeight="1">
      <c r="C975" s="1"/>
      <c r="D975" s="1"/>
    </row>
    <row r="976" ht="15.75" customHeight="1">
      <c r="C976" s="1"/>
      <c r="D976" s="1"/>
    </row>
    <row r="977" ht="15.75" customHeight="1">
      <c r="C977" s="1"/>
      <c r="D977" s="1"/>
    </row>
    <row r="978" ht="15.75" customHeight="1">
      <c r="C978" s="1"/>
      <c r="D978" s="1"/>
    </row>
    <row r="979" ht="15.75" customHeight="1">
      <c r="C979" s="1"/>
      <c r="D979" s="1"/>
    </row>
    <row r="980" ht="15.75" customHeight="1">
      <c r="C980" s="1"/>
      <c r="D980" s="1"/>
    </row>
    <row r="981" ht="15.75" customHeight="1">
      <c r="C981" s="1"/>
      <c r="D981" s="1"/>
    </row>
    <row r="982" ht="15.75" customHeight="1">
      <c r="C982" s="1"/>
      <c r="D982" s="1"/>
    </row>
    <row r="983" ht="15.75" customHeight="1">
      <c r="C983" s="1"/>
      <c r="D983" s="1"/>
    </row>
    <row r="984" ht="15.75" customHeight="1">
      <c r="C984" s="1"/>
      <c r="D984" s="1"/>
    </row>
    <row r="985" ht="15.75" customHeight="1">
      <c r="C985" s="1"/>
      <c r="D985" s="1"/>
    </row>
    <row r="986" ht="15.75" customHeight="1">
      <c r="C986" s="1"/>
      <c r="D986" s="1"/>
    </row>
    <row r="987" ht="15.75" customHeight="1">
      <c r="C987" s="1"/>
      <c r="D987" s="1"/>
    </row>
    <row r="988" ht="15.75" customHeight="1">
      <c r="C988" s="1"/>
      <c r="D988" s="1"/>
    </row>
    <row r="989" ht="15.75" customHeight="1">
      <c r="C989" s="1"/>
      <c r="D989" s="1"/>
    </row>
    <row r="990" ht="15.75" customHeight="1">
      <c r="C990" s="1"/>
      <c r="D990" s="1"/>
    </row>
    <row r="991" ht="15.75" customHeight="1">
      <c r="C991" s="1"/>
      <c r="D991" s="1"/>
    </row>
    <row r="992" ht="15.75" customHeight="1">
      <c r="C992" s="1"/>
      <c r="D992" s="1"/>
    </row>
    <row r="993" ht="15.75" customHeight="1">
      <c r="C993" s="1"/>
      <c r="D993" s="1"/>
    </row>
    <row r="994" ht="15.75" customHeight="1">
      <c r="C994" s="1"/>
      <c r="D994" s="1"/>
    </row>
    <row r="995" ht="15.75" customHeight="1">
      <c r="C995" s="1"/>
      <c r="D995" s="1"/>
    </row>
    <row r="996" ht="15.75" customHeight="1">
      <c r="C996" s="1"/>
      <c r="D996" s="1"/>
    </row>
    <row r="997" ht="15.75" customHeight="1">
      <c r="C997" s="1"/>
      <c r="D997" s="1"/>
    </row>
    <row r="998" ht="15.75" customHeight="1">
      <c r="C998" s="1"/>
      <c r="D998" s="1"/>
    </row>
    <row r="999" ht="15.75" customHeight="1">
      <c r="C999" s="1"/>
      <c r="D999" s="1"/>
    </row>
  </sheetData>
  <mergeCells count="6">
    <mergeCell ref="E13:E14"/>
    <mergeCell ref="H13:I13"/>
    <mergeCell ref="H29:I29"/>
    <mergeCell ref="E30:E31"/>
    <mergeCell ref="H46:I46"/>
    <mergeCell ref="E47:E48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4" width="10.71"/>
    <col customWidth="1" min="5" max="5" width="38.14"/>
    <col customWidth="1" min="6" max="6" width="10.86"/>
    <col customWidth="1" min="7" max="7" width="9.57"/>
    <col customWidth="1" min="8" max="8" width="10.71"/>
    <col customWidth="1" min="9" max="9" width="9.71"/>
    <col customWidth="1" min="10" max="10" width="13.43"/>
    <col customWidth="1" min="11" max="12" width="9.86"/>
    <col customWidth="1" min="13" max="13" width="12.29"/>
    <col customWidth="1" min="14" max="15" width="8.71"/>
    <col customWidth="1" min="16" max="16" width="6.29"/>
    <col customWidth="1" min="17" max="26" width="8.71"/>
  </cols>
  <sheetData>
    <row r="1">
      <c r="C1" s="1"/>
      <c r="D1" s="1"/>
    </row>
    <row r="2">
      <c r="C2" s="1"/>
      <c r="D2" s="1"/>
    </row>
    <row r="3">
      <c r="C3" s="1"/>
      <c r="D3" s="1"/>
    </row>
    <row r="4">
      <c r="C4" s="2" t="s">
        <v>0</v>
      </c>
      <c r="D4" s="2" t="s">
        <v>1</v>
      </c>
      <c r="E4" s="38" t="s">
        <v>43</v>
      </c>
      <c r="F4" s="3" t="s">
        <v>3</v>
      </c>
      <c r="G4" s="3" t="s">
        <v>4</v>
      </c>
      <c r="H4" s="3" t="s">
        <v>5</v>
      </c>
      <c r="I4" s="3"/>
      <c r="J4" s="3"/>
      <c r="K4" s="31" t="s">
        <v>14</v>
      </c>
      <c r="L4" s="31" t="s">
        <v>15</v>
      </c>
      <c r="M4" s="3" t="s">
        <v>16</v>
      </c>
      <c r="P4" s="31" t="s">
        <v>14</v>
      </c>
    </row>
    <row r="5">
      <c r="C5" s="22">
        <v>45994.0</v>
      </c>
      <c r="D5" s="22">
        <v>46021.0</v>
      </c>
      <c r="E5" s="6" t="s">
        <v>44</v>
      </c>
      <c r="F5" s="23">
        <v>11111.0</v>
      </c>
      <c r="G5" s="23">
        <v>11280.0</v>
      </c>
      <c r="H5" s="23">
        <f>G5-F5</f>
        <v>169</v>
      </c>
      <c r="I5" s="21">
        <v>350.0</v>
      </c>
      <c r="J5" s="8">
        <f>I5*H5</f>
        <v>59150</v>
      </c>
      <c r="K5" s="32">
        <v>2099.0</v>
      </c>
      <c r="L5" s="33">
        <v>5.69</v>
      </c>
      <c r="M5" s="14">
        <f t="shared" ref="M5:M6" si="1">K5*L5</f>
        <v>11943.31</v>
      </c>
      <c r="P5" s="32"/>
    </row>
    <row r="6">
      <c r="C6" s="22"/>
      <c r="D6" s="22"/>
      <c r="E6" s="26" t="s">
        <v>45</v>
      </c>
      <c r="F6" s="23"/>
      <c r="G6" s="23"/>
      <c r="H6" s="7"/>
      <c r="I6" s="34"/>
      <c r="J6" s="8"/>
      <c r="K6" s="7"/>
      <c r="L6" s="7"/>
      <c r="M6" s="14">
        <f t="shared" si="1"/>
        <v>0</v>
      </c>
      <c r="P6" s="7"/>
    </row>
    <row r="7">
      <c r="C7" s="22"/>
      <c r="D7" s="22"/>
      <c r="E7" s="6"/>
      <c r="F7" s="23"/>
      <c r="G7" s="23"/>
      <c r="H7" s="7"/>
      <c r="I7" s="34"/>
      <c r="J7" s="8"/>
      <c r="K7" s="23"/>
      <c r="L7" s="23"/>
      <c r="M7" s="14"/>
      <c r="P7" s="23"/>
    </row>
    <row r="8">
      <c r="C8" s="5"/>
      <c r="D8" s="5"/>
      <c r="E8" s="6" t="s">
        <v>46</v>
      </c>
      <c r="F8" s="7"/>
      <c r="G8" s="7"/>
      <c r="H8" s="7"/>
      <c r="I8" s="7"/>
      <c r="J8" s="21">
        <v>29575.0</v>
      </c>
      <c r="K8" s="7"/>
      <c r="L8" s="7"/>
      <c r="M8" s="14"/>
      <c r="P8" s="7"/>
    </row>
    <row r="9">
      <c r="C9" s="5"/>
      <c r="D9" s="5"/>
      <c r="E9" s="9"/>
      <c r="F9" s="7"/>
      <c r="G9" s="7"/>
      <c r="H9" s="7"/>
      <c r="I9" s="7"/>
      <c r="J9" s="8"/>
      <c r="K9" s="7"/>
      <c r="L9" s="7"/>
      <c r="M9" s="14"/>
      <c r="P9" s="7"/>
    </row>
    <row r="10">
      <c r="C10" s="5"/>
      <c r="D10" s="5"/>
      <c r="E10" s="9"/>
      <c r="F10" s="7"/>
      <c r="G10" s="7"/>
      <c r="H10" s="7"/>
      <c r="I10" s="7"/>
      <c r="J10" s="8"/>
      <c r="K10" s="7"/>
      <c r="L10" s="7"/>
      <c r="M10" s="14"/>
      <c r="P10" s="7"/>
    </row>
    <row r="11">
      <c r="C11" s="1"/>
      <c r="D11" s="1"/>
      <c r="I11" s="15" t="s">
        <v>11</v>
      </c>
      <c r="J11" s="11">
        <f>SUM(J5-J8)</f>
        <v>29575</v>
      </c>
      <c r="M11" s="16">
        <f>SUM(M5:M10)</f>
        <v>11943.31</v>
      </c>
    </row>
    <row r="12">
      <c r="C12" s="1"/>
      <c r="D12" s="1"/>
    </row>
    <row r="13">
      <c r="C13" s="1"/>
      <c r="D13" s="1"/>
      <c r="E13" s="12" t="s">
        <v>12</v>
      </c>
      <c r="H13" s="17" t="s">
        <v>18</v>
      </c>
      <c r="I13" s="18"/>
      <c r="J13" s="19">
        <f>J11-M11</f>
        <v>17631.69</v>
      </c>
    </row>
    <row r="14">
      <c r="C14" s="1"/>
      <c r="D14" s="1"/>
      <c r="E14" s="13"/>
    </row>
    <row r="15">
      <c r="C15" s="1"/>
      <c r="D15" s="1"/>
    </row>
    <row r="16">
      <c r="C16" s="1"/>
      <c r="D16" s="1"/>
    </row>
    <row r="17">
      <c r="C17" s="1"/>
      <c r="D17" s="1"/>
    </row>
    <row r="18">
      <c r="A18" s="26" t="s">
        <v>27</v>
      </c>
      <c r="C18" s="1"/>
      <c r="D18" s="1"/>
    </row>
    <row r="19">
      <c r="C19" s="1"/>
      <c r="D19" s="1"/>
    </row>
    <row r="20">
      <c r="C20" s="35" t="s">
        <v>0</v>
      </c>
      <c r="D20" s="35" t="s">
        <v>1</v>
      </c>
      <c r="E20" s="39" t="s">
        <v>43</v>
      </c>
      <c r="F20" s="31" t="s">
        <v>3</v>
      </c>
      <c r="G20" s="31" t="s">
        <v>4</v>
      </c>
      <c r="H20" s="31" t="s">
        <v>5</v>
      </c>
      <c r="I20" s="31"/>
      <c r="J20" s="31"/>
      <c r="K20" s="31" t="s">
        <v>14</v>
      </c>
      <c r="L20" s="31" t="s">
        <v>15</v>
      </c>
      <c r="M20" s="3" t="s">
        <v>16</v>
      </c>
      <c r="P20" s="31" t="s">
        <v>14</v>
      </c>
    </row>
    <row r="21" ht="15.75" customHeight="1">
      <c r="C21" s="22">
        <v>45994.0</v>
      </c>
      <c r="D21" s="22">
        <v>46022.0</v>
      </c>
      <c r="E21" s="6" t="s">
        <v>47</v>
      </c>
      <c r="F21" s="23">
        <v>7471.1</v>
      </c>
      <c r="G21" s="23">
        <v>7658.5</v>
      </c>
      <c r="H21" s="7">
        <f t="shared" ref="H21:H22" si="2">G21-F21</f>
        <v>187.4</v>
      </c>
      <c r="I21" s="34">
        <v>400.0</v>
      </c>
      <c r="J21" s="8">
        <f t="shared" ref="J21:J22" si="3">I21*H21</f>
        <v>74960</v>
      </c>
      <c r="K21" s="33">
        <v>1729.0</v>
      </c>
      <c r="L21" s="33">
        <v>5.69</v>
      </c>
      <c r="M21" s="14">
        <f t="shared" ref="M21:M22" si="4">K21*L21</f>
        <v>9838.01</v>
      </c>
      <c r="P21" s="33"/>
    </row>
    <row r="22" ht="15.75" customHeight="1">
      <c r="C22" s="22">
        <v>45992.0</v>
      </c>
      <c r="D22" s="22">
        <v>46022.0</v>
      </c>
      <c r="E22" s="6" t="s">
        <v>48</v>
      </c>
      <c r="F22" s="23">
        <v>1910.33</v>
      </c>
      <c r="G22" s="23">
        <v>2141.0</v>
      </c>
      <c r="H22" s="7">
        <f t="shared" si="2"/>
        <v>230.67</v>
      </c>
      <c r="I22" s="21">
        <v>350.0</v>
      </c>
      <c r="J22" s="8">
        <f t="shared" si="3"/>
        <v>80734.5</v>
      </c>
      <c r="K22" s="23">
        <v>2918.0</v>
      </c>
      <c r="L22" s="23">
        <v>5.69</v>
      </c>
      <c r="M22" s="14">
        <f t="shared" si="4"/>
        <v>16603.42</v>
      </c>
      <c r="P22" s="7"/>
    </row>
    <row r="23" ht="15.75" customHeight="1">
      <c r="C23" s="22"/>
      <c r="D23" s="22"/>
      <c r="E23" s="6"/>
      <c r="F23" s="23"/>
      <c r="G23" s="23"/>
      <c r="H23" s="7"/>
      <c r="I23" s="23"/>
      <c r="J23" s="8"/>
      <c r="K23" s="23"/>
      <c r="L23" s="23"/>
      <c r="M23" s="14"/>
      <c r="P23" s="23"/>
    </row>
    <row r="24" ht="15.75" customHeight="1">
      <c r="C24" s="5"/>
      <c r="D24" s="5"/>
      <c r="F24" s="7"/>
      <c r="G24" s="7"/>
      <c r="H24" s="7"/>
      <c r="I24" s="7"/>
      <c r="J24" s="8"/>
      <c r="K24" s="7"/>
      <c r="L24" s="7"/>
      <c r="M24" s="14"/>
      <c r="P24" s="7"/>
    </row>
    <row r="25" ht="15.75" customHeight="1">
      <c r="C25" s="5"/>
      <c r="D25" s="5"/>
      <c r="E25" s="6" t="s">
        <v>46</v>
      </c>
      <c r="F25" s="7"/>
      <c r="G25" s="7"/>
      <c r="H25" s="7"/>
      <c r="I25" s="7"/>
      <c r="J25" s="21">
        <v>77847.25</v>
      </c>
      <c r="K25" s="7"/>
      <c r="L25" s="7"/>
      <c r="M25" s="14"/>
      <c r="P25" s="7"/>
    </row>
    <row r="26" ht="15.75" customHeight="1">
      <c r="C26" s="5"/>
      <c r="D26" s="5"/>
      <c r="E26" s="9"/>
      <c r="F26" s="7"/>
      <c r="G26" s="7"/>
      <c r="H26" s="7"/>
      <c r="I26" s="7"/>
      <c r="J26" s="8"/>
      <c r="K26" s="7"/>
      <c r="L26" s="7"/>
      <c r="M26" s="14"/>
      <c r="P26" s="7"/>
    </row>
    <row r="27" ht="15.75" customHeight="1">
      <c r="C27" s="1"/>
      <c r="D27" s="1"/>
      <c r="I27" s="15" t="s">
        <v>11</v>
      </c>
      <c r="J27" s="11">
        <f>SUM(J21+J22-J25)</f>
        <v>77847.25</v>
      </c>
      <c r="M27" s="16">
        <f>SUM(M21:M26)</f>
        <v>26441.43</v>
      </c>
    </row>
    <row r="28" ht="15.75" customHeight="1">
      <c r="C28" s="1"/>
      <c r="D28" s="1"/>
    </row>
    <row r="29" ht="15.75" customHeight="1">
      <c r="C29" s="1"/>
      <c r="D29" s="1"/>
      <c r="H29" s="17" t="s">
        <v>18</v>
      </c>
      <c r="I29" s="18"/>
      <c r="J29" s="19">
        <f>J27-M27</f>
        <v>51405.82</v>
      </c>
    </row>
    <row r="30" ht="15.75" customHeight="1">
      <c r="C30" s="1"/>
      <c r="D30" s="1"/>
      <c r="E30" s="20" t="s">
        <v>12</v>
      </c>
    </row>
    <row r="31" ht="15.75" customHeight="1">
      <c r="C31" s="1"/>
      <c r="D31" s="1"/>
      <c r="E31" s="13"/>
    </row>
    <row r="32" ht="15.75" customHeight="1">
      <c r="C32" s="1"/>
      <c r="D32" s="1"/>
    </row>
    <row r="33" ht="15.75" customHeight="1">
      <c r="C33" s="1"/>
      <c r="D33" s="1"/>
    </row>
    <row r="34" ht="15.75" customHeight="1">
      <c r="C34" s="1"/>
      <c r="D34" s="1"/>
    </row>
    <row r="35" ht="15.75" customHeight="1">
      <c r="A35" s="26" t="s">
        <v>27</v>
      </c>
      <c r="C35" s="1"/>
      <c r="D35" s="1"/>
    </row>
    <row r="36" ht="15.75" customHeight="1">
      <c r="C36" s="1"/>
      <c r="D36" s="1"/>
    </row>
    <row r="37" ht="15.75" customHeight="1">
      <c r="C37" s="2" t="s">
        <v>0</v>
      </c>
      <c r="D37" s="2" t="s">
        <v>1</v>
      </c>
      <c r="E37" s="3" t="s">
        <v>2</v>
      </c>
      <c r="F37" s="3" t="s">
        <v>3</v>
      </c>
      <c r="G37" s="3" t="s">
        <v>4</v>
      </c>
      <c r="H37" s="3" t="s">
        <v>5</v>
      </c>
      <c r="I37" s="3"/>
      <c r="J37" s="3"/>
      <c r="K37" s="31" t="s">
        <v>14</v>
      </c>
      <c r="L37" s="31" t="s">
        <v>15</v>
      </c>
      <c r="M37" s="3" t="s">
        <v>16</v>
      </c>
    </row>
    <row r="38" ht="15.75" customHeight="1">
      <c r="C38" s="22">
        <v>46027.0</v>
      </c>
      <c r="D38" s="22">
        <v>46052.0</v>
      </c>
      <c r="E38" s="6" t="s">
        <v>44</v>
      </c>
      <c r="F38" s="23">
        <v>11280.0</v>
      </c>
      <c r="G38" s="23">
        <v>11460.9</v>
      </c>
      <c r="H38" s="7">
        <f>G38-F38</f>
        <v>180.9</v>
      </c>
      <c r="I38" s="21">
        <v>360.0</v>
      </c>
      <c r="J38" s="8">
        <f>I38*H38</f>
        <v>65124</v>
      </c>
      <c r="K38" s="40">
        <v>3176.0</v>
      </c>
      <c r="L38" s="33"/>
      <c r="M38" s="14">
        <f>L38*K38</f>
        <v>0</v>
      </c>
      <c r="R38" s="26">
        <v>3176.0</v>
      </c>
    </row>
    <row r="39" ht="15.75" customHeight="1">
      <c r="C39" s="22"/>
      <c r="D39" s="22"/>
      <c r="E39" s="6" t="s">
        <v>45</v>
      </c>
      <c r="F39" s="23"/>
      <c r="G39" s="23"/>
      <c r="H39" s="7"/>
      <c r="I39" s="23"/>
      <c r="J39" s="8"/>
      <c r="K39" s="7"/>
      <c r="L39" s="7"/>
      <c r="M39" s="14"/>
    </row>
    <row r="40" ht="15.75" customHeight="1">
      <c r="C40" s="22"/>
      <c r="D40" s="22"/>
      <c r="E40" s="6"/>
      <c r="F40" s="23"/>
      <c r="G40" s="23"/>
      <c r="H40" s="7"/>
      <c r="I40" s="23"/>
      <c r="J40" s="8"/>
      <c r="K40" s="23"/>
      <c r="L40" s="23"/>
      <c r="M40" s="14"/>
    </row>
    <row r="41" ht="15.75" customHeight="1">
      <c r="C41" s="5"/>
      <c r="D41" s="5"/>
      <c r="F41" s="7"/>
      <c r="G41" s="7"/>
      <c r="H41" s="7"/>
      <c r="I41" s="7"/>
      <c r="J41" s="8"/>
      <c r="K41" s="7"/>
      <c r="L41" s="7"/>
      <c r="M41" s="14"/>
    </row>
    <row r="42" ht="15.75" customHeight="1">
      <c r="C42" s="5"/>
      <c r="D42" s="5"/>
      <c r="E42" s="9"/>
      <c r="F42" s="7"/>
      <c r="G42" s="7"/>
      <c r="H42" s="7"/>
      <c r="I42" s="7"/>
      <c r="J42" s="8"/>
      <c r="K42" s="7"/>
      <c r="L42" s="7"/>
      <c r="M42" s="14"/>
    </row>
    <row r="43" ht="15.75" customHeight="1">
      <c r="C43" s="5"/>
      <c r="D43" s="5"/>
      <c r="E43" s="9"/>
      <c r="F43" s="7"/>
      <c r="G43" s="7"/>
      <c r="H43" s="7"/>
      <c r="I43" s="7"/>
      <c r="J43" s="8"/>
      <c r="K43" s="7"/>
      <c r="L43" s="7"/>
      <c r="M43" s="14"/>
    </row>
    <row r="44" ht="15.75" customHeight="1">
      <c r="C44" s="1"/>
      <c r="D44" s="1"/>
      <c r="I44" s="15" t="s">
        <v>11</v>
      </c>
      <c r="J44" s="11">
        <f>SUM(J38:J43)</f>
        <v>65124</v>
      </c>
      <c r="M44" s="16">
        <f>SUM(M38:M43)</f>
        <v>0</v>
      </c>
    </row>
    <row r="45" ht="15.75" customHeight="1">
      <c r="C45" s="1"/>
      <c r="D45" s="1"/>
    </row>
    <row r="46" ht="15.75" customHeight="1">
      <c r="C46" s="1"/>
      <c r="D46" s="1"/>
      <c r="H46" s="17" t="s">
        <v>18</v>
      </c>
      <c r="I46" s="18"/>
      <c r="J46" s="19">
        <f>J44-M44</f>
        <v>65124</v>
      </c>
    </row>
    <row r="47" ht="15.75" customHeight="1">
      <c r="C47" s="1"/>
      <c r="D47" s="1"/>
      <c r="E47" s="12" t="s">
        <v>12</v>
      </c>
    </row>
    <row r="48" ht="15.75" customHeight="1">
      <c r="C48" s="1"/>
      <c r="D48" s="1"/>
      <c r="E48" s="13"/>
    </row>
    <row r="49" ht="15.75" customHeight="1">
      <c r="C49" s="1"/>
      <c r="D49" s="1"/>
    </row>
    <row r="50" ht="15.75" customHeight="1">
      <c r="C50" s="1"/>
      <c r="D50" s="1"/>
    </row>
    <row r="51" ht="15.75" customHeight="1">
      <c r="C51" s="1"/>
      <c r="D51" s="1"/>
    </row>
    <row r="52" ht="15.75" customHeight="1">
      <c r="C52" s="2" t="s">
        <v>0</v>
      </c>
      <c r="D52" s="2" t="s">
        <v>1</v>
      </c>
      <c r="E52" s="3" t="s">
        <v>2</v>
      </c>
      <c r="F52" s="3" t="s">
        <v>3</v>
      </c>
      <c r="G52" s="3" t="s">
        <v>4</v>
      </c>
      <c r="H52" s="3" t="s">
        <v>5</v>
      </c>
      <c r="I52" s="3"/>
      <c r="J52" s="3"/>
      <c r="K52" s="31" t="s">
        <v>14</v>
      </c>
      <c r="L52" s="31" t="s">
        <v>15</v>
      </c>
      <c r="M52" s="3" t="s">
        <v>16</v>
      </c>
    </row>
    <row r="53" ht="15.75" customHeight="1">
      <c r="C53" s="22">
        <v>46024.0</v>
      </c>
      <c r="D53" s="22">
        <v>46052.0</v>
      </c>
      <c r="E53" s="6" t="s">
        <v>49</v>
      </c>
      <c r="F53" s="23">
        <v>7658.6</v>
      </c>
      <c r="G53" s="23">
        <v>7876.5</v>
      </c>
      <c r="H53" s="23">
        <f t="shared" ref="H53:H54" si="5">G53-F53</f>
        <v>217.9</v>
      </c>
      <c r="I53" s="21">
        <v>410.0</v>
      </c>
      <c r="J53" s="8">
        <f t="shared" ref="J53:J54" si="6">I53*H53</f>
        <v>89339</v>
      </c>
      <c r="K53" s="26">
        <v>2370.0</v>
      </c>
      <c r="L53" s="33"/>
      <c r="M53" s="14">
        <f>L53*K53</f>
        <v>0</v>
      </c>
      <c r="R53" s="26">
        <v>2370.0</v>
      </c>
    </row>
    <row r="54" ht="15.75" customHeight="1">
      <c r="C54" s="22">
        <v>46024.0</v>
      </c>
      <c r="D54" s="22">
        <v>46024.0</v>
      </c>
      <c r="E54" s="6" t="s">
        <v>50</v>
      </c>
      <c r="F54" s="23">
        <v>2129.05</v>
      </c>
      <c r="G54" s="23">
        <v>2141.0</v>
      </c>
      <c r="H54" s="7">
        <f t="shared" si="5"/>
        <v>11.95</v>
      </c>
      <c r="I54" s="24">
        <v>360.0</v>
      </c>
      <c r="J54" s="21">
        <f t="shared" si="6"/>
        <v>4302</v>
      </c>
      <c r="K54" s="23">
        <v>300.0</v>
      </c>
      <c r="L54" s="7"/>
      <c r="M54" s="14"/>
      <c r="R54" s="26">
        <v>300.0</v>
      </c>
    </row>
    <row r="55" ht="15.75" customHeight="1">
      <c r="C55" s="22"/>
      <c r="D55" s="22"/>
      <c r="E55" s="6"/>
      <c r="F55" s="23"/>
      <c r="G55" s="23"/>
      <c r="H55" s="7"/>
      <c r="I55" s="24">
        <v>0.0</v>
      </c>
      <c r="J55" s="21">
        <v>0.0</v>
      </c>
      <c r="K55" s="23"/>
      <c r="L55" s="23"/>
      <c r="M55" s="14"/>
    </row>
    <row r="56" ht="15.75" customHeight="1">
      <c r="C56" s="5"/>
      <c r="D56" s="5"/>
      <c r="F56" s="7"/>
      <c r="G56" s="7"/>
      <c r="H56" s="7"/>
      <c r="I56" s="24">
        <v>0.0</v>
      </c>
      <c r="J56" s="21">
        <v>0.0</v>
      </c>
      <c r="K56" s="7"/>
      <c r="L56" s="7"/>
      <c r="M56" s="14"/>
    </row>
    <row r="57" ht="15.75" customHeight="1">
      <c r="C57" s="5"/>
      <c r="D57" s="5"/>
      <c r="E57" s="9"/>
      <c r="F57" s="7"/>
      <c r="G57" s="7"/>
      <c r="H57" s="7"/>
      <c r="I57" s="24">
        <v>0.0</v>
      </c>
      <c r="J57" s="21">
        <v>0.0</v>
      </c>
      <c r="K57" s="7"/>
      <c r="L57" s="7"/>
      <c r="M57" s="14"/>
    </row>
    <row r="58" ht="15.75" customHeight="1">
      <c r="C58" s="5"/>
      <c r="D58" s="5"/>
      <c r="E58" s="9"/>
      <c r="F58" s="7"/>
      <c r="G58" s="7"/>
      <c r="H58" s="7"/>
      <c r="I58" s="24">
        <v>0.0</v>
      </c>
      <c r="J58" s="21">
        <v>0.0</v>
      </c>
      <c r="K58" s="7"/>
      <c r="L58" s="7"/>
      <c r="M58" s="14"/>
    </row>
    <row r="59" ht="15.75" customHeight="1">
      <c r="C59" s="1"/>
      <c r="D59" s="1"/>
      <c r="I59" s="15" t="s">
        <v>11</v>
      </c>
      <c r="J59" s="11">
        <f>SUM(J53:J58)</f>
        <v>93641</v>
      </c>
      <c r="M59" s="16">
        <f>SUM(M53:M58)</f>
        <v>0</v>
      </c>
    </row>
    <row r="60" ht="15.75" customHeight="1">
      <c r="C60" s="1"/>
      <c r="D60" s="1"/>
    </row>
    <row r="61" ht="15.75" customHeight="1">
      <c r="C61" s="1"/>
      <c r="D61" s="1"/>
      <c r="H61" s="17" t="s">
        <v>18</v>
      </c>
      <c r="I61" s="18"/>
      <c r="J61" s="19">
        <f>J59-M59</f>
        <v>93641</v>
      </c>
    </row>
    <row r="62" ht="15.75" customHeight="1">
      <c r="C62" s="1"/>
      <c r="D62" s="1"/>
      <c r="E62" s="12" t="s">
        <v>12</v>
      </c>
    </row>
    <row r="63" ht="15.75" customHeight="1">
      <c r="C63" s="1"/>
      <c r="D63" s="1"/>
      <c r="E63" s="13"/>
    </row>
    <row r="64" ht="15.75" customHeight="1">
      <c r="C64" s="1"/>
      <c r="D64" s="1"/>
    </row>
    <row r="65" ht="15.75" customHeight="1">
      <c r="C65" s="1"/>
      <c r="D65" s="1"/>
    </row>
    <row r="66" ht="15.75" customHeight="1">
      <c r="C66" s="1"/>
      <c r="D66" s="1"/>
    </row>
    <row r="67" ht="15.75" customHeight="1">
      <c r="C67" s="1"/>
      <c r="D67" s="1"/>
    </row>
    <row r="68" ht="15.75" customHeight="1">
      <c r="C68" s="2" t="s">
        <v>0</v>
      </c>
      <c r="D68" s="2" t="s">
        <v>1</v>
      </c>
      <c r="E68" s="3" t="s">
        <v>2</v>
      </c>
      <c r="F68" s="3" t="s">
        <v>3</v>
      </c>
      <c r="G68" s="3" t="s">
        <v>4</v>
      </c>
      <c r="H68" s="3" t="s">
        <v>5</v>
      </c>
      <c r="I68" s="3"/>
      <c r="J68" s="3"/>
      <c r="K68" s="38" t="s">
        <v>14</v>
      </c>
      <c r="L68" s="38" t="s">
        <v>51</v>
      </c>
      <c r="M68" s="3" t="s">
        <v>8</v>
      </c>
    </row>
    <row r="69" ht="15.75" customHeight="1">
      <c r="C69" s="22">
        <v>46055.0</v>
      </c>
      <c r="D69" s="22">
        <v>46058.0</v>
      </c>
      <c r="E69" s="6" t="s">
        <v>52</v>
      </c>
      <c r="F69" s="23">
        <v>7876.5</v>
      </c>
      <c r="G69" s="23">
        <v>7917.5</v>
      </c>
      <c r="H69" s="7">
        <f t="shared" ref="H69:H74" si="7">G69-F69</f>
        <v>41</v>
      </c>
      <c r="I69" s="21">
        <v>410.0</v>
      </c>
      <c r="J69" s="8">
        <f t="shared" ref="J69:J74" si="8">H69*I69</f>
        <v>16810</v>
      </c>
      <c r="K69" s="7"/>
      <c r="L69" s="7"/>
      <c r="M69" s="7">
        <v>0.0</v>
      </c>
    </row>
    <row r="70" ht="15.75" customHeight="1">
      <c r="C70" s="5"/>
      <c r="D70" s="5"/>
      <c r="E70" s="6" t="s">
        <v>53</v>
      </c>
      <c r="F70" s="7">
        <v>0.0</v>
      </c>
      <c r="G70" s="7"/>
      <c r="H70" s="7">
        <f t="shared" si="7"/>
        <v>0</v>
      </c>
      <c r="I70" s="7"/>
      <c r="J70" s="8">
        <f t="shared" si="8"/>
        <v>0</v>
      </c>
      <c r="K70" s="7"/>
      <c r="L70" s="7"/>
      <c r="M70" s="7"/>
    </row>
    <row r="71" ht="15.75" customHeight="1">
      <c r="C71" s="5"/>
      <c r="D71" s="5"/>
      <c r="E71" s="9"/>
      <c r="F71" s="7">
        <v>0.0</v>
      </c>
      <c r="G71" s="7"/>
      <c r="H71" s="7">
        <f t="shared" si="7"/>
        <v>0</v>
      </c>
      <c r="I71" s="7"/>
      <c r="J71" s="8">
        <f t="shared" si="8"/>
        <v>0</v>
      </c>
      <c r="K71" s="7"/>
      <c r="L71" s="7"/>
      <c r="M71" s="7"/>
    </row>
    <row r="72" ht="15.75" customHeight="1">
      <c r="C72" s="5"/>
      <c r="D72" s="5"/>
      <c r="E72" s="9"/>
      <c r="F72" s="7">
        <v>0.0</v>
      </c>
      <c r="G72" s="7"/>
      <c r="H72" s="7">
        <f t="shared" si="7"/>
        <v>0</v>
      </c>
      <c r="I72" s="7"/>
      <c r="J72" s="8">
        <f t="shared" si="8"/>
        <v>0</v>
      </c>
      <c r="K72" s="7"/>
      <c r="L72" s="7"/>
      <c r="M72" s="7"/>
    </row>
    <row r="73" ht="15.75" customHeight="1">
      <c r="C73" s="5"/>
      <c r="D73" s="5"/>
      <c r="E73" s="9"/>
      <c r="F73" s="7">
        <v>0.0</v>
      </c>
      <c r="G73" s="7"/>
      <c r="H73" s="7">
        <f t="shared" si="7"/>
        <v>0</v>
      </c>
      <c r="I73" s="7"/>
      <c r="J73" s="8">
        <f t="shared" si="8"/>
        <v>0</v>
      </c>
      <c r="K73" s="7"/>
      <c r="L73" s="7"/>
      <c r="M73" s="7"/>
    </row>
    <row r="74" ht="15.75" customHeight="1">
      <c r="C74" s="5"/>
      <c r="D74" s="5"/>
      <c r="E74" s="9"/>
      <c r="F74" s="7">
        <v>0.0</v>
      </c>
      <c r="G74" s="7"/>
      <c r="H74" s="7">
        <f t="shared" si="7"/>
        <v>0</v>
      </c>
      <c r="I74" s="7"/>
      <c r="J74" s="8">
        <f t="shared" si="8"/>
        <v>0</v>
      </c>
      <c r="K74" s="7"/>
      <c r="L74" s="7"/>
      <c r="M74" s="7"/>
    </row>
    <row r="75" ht="15.75" customHeight="1">
      <c r="C75" s="1"/>
      <c r="D75" s="1"/>
      <c r="I75" s="10" t="s">
        <v>11</v>
      </c>
      <c r="J75" s="11">
        <f>SUM(J69:J74)</f>
        <v>16810</v>
      </c>
    </row>
    <row r="76" ht="15.75" customHeight="1">
      <c r="C76" s="1"/>
      <c r="D76" s="1"/>
    </row>
    <row r="77" ht="15.75" customHeight="1">
      <c r="C77" s="1"/>
      <c r="D77" s="1"/>
      <c r="H77" s="41" t="s">
        <v>18</v>
      </c>
      <c r="I77" s="42"/>
      <c r="J77" s="43">
        <f>J75</f>
        <v>16810</v>
      </c>
    </row>
    <row r="78" ht="15.75" customHeight="1">
      <c r="C78" s="1"/>
      <c r="D78" s="1"/>
      <c r="E78" s="12" t="s">
        <v>12</v>
      </c>
      <c r="J78" s="11"/>
    </row>
    <row r="79" ht="15.75" customHeight="1">
      <c r="C79" s="1"/>
      <c r="D79" s="1"/>
      <c r="E79" s="13"/>
    </row>
    <row r="80" ht="15.75" customHeight="1">
      <c r="C80" s="1"/>
      <c r="D80" s="1"/>
    </row>
    <row r="81" ht="15.75" customHeight="1"/>
    <row r="82" ht="15.75" customHeight="1"/>
    <row r="83" ht="15.75" customHeight="1">
      <c r="C83" s="1"/>
      <c r="D83" s="1"/>
    </row>
    <row r="84" ht="15.75" customHeight="1">
      <c r="C84" s="2" t="s">
        <v>0</v>
      </c>
      <c r="D84" s="2" t="s">
        <v>1</v>
      </c>
      <c r="E84" s="3" t="s">
        <v>2</v>
      </c>
      <c r="F84" s="3" t="s">
        <v>3</v>
      </c>
      <c r="G84" s="3" t="s">
        <v>4</v>
      </c>
      <c r="H84" s="3" t="s">
        <v>5</v>
      </c>
      <c r="I84" s="3"/>
      <c r="J84" s="3"/>
      <c r="K84" s="38" t="s">
        <v>14</v>
      </c>
      <c r="L84" s="38" t="s">
        <v>15</v>
      </c>
      <c r="M84" s="3" t="s">
        <v>8</v>
      </c>
    </row>
    <row r="85" ht="15.75" customHeight="1">
      <c r="C85" s="22">
        <v>46055.0</v>
      </c>
      <c r="D85" s="22">
        <v>46065.0</v>
      </c>
      <c r="E85" s="6" t="s">
        <v>54</v>
      </c>
      <c r="F85" s="23">
        <v>11460.9</v>
      </c>
      <c r="G85" s="23">
        <v>11519.5</v>
      </c>
      <c r="H85" s="7">
        <f t="shared" ref="H85:H90" si="9">G85-F85</f>
        <v>58.6</v>
      </c>
      <c r="I85" s="21">
        <v>360.0</v>
      </c>
      <c r="J85" s="8">
        <f t="shared" ref="J85:J90" si="10">H85*I85</f>
        <v>21096</v>
      </c>
      <c r="K85" s="7"/>
      <c r="L85" s="7"/>
      <c r="M85" s="7">
        <v>0.0</v>
      </c>
    </row>
    <row r="86" ht="15.75" customHeight="1">
      <c r="C86" s="5"/>
      <c r="D86" s="5"/>
      <c r="E86" s="6" t="s">
        <v>45</v>
      </c>
      <c r="F86" s="7">
        <v>0.0</v>
      </c>
      <c r="G86" s="7"/>
      <c r="H86" s="7">
        <f t="shared" si="9"/>
        <v>0</v>
      </c>
      <c r="I86" s="7"/>
      <c r="J86" s="8">
        <f t="shared" si="10"/>
        <v>0</v>
      </c>
      <c r="K86" s="7"/>
      <c r="L86" s="7"/>
      <c r="M86" s="7"/>
    </row>
    <row r="87" ht="15.75" customHeight="1">
      <c r="C87" s="5"/>
      <c r="D87" s="5"/>
      <c r="E87" s="9"/>
      <c r="F87" s="7">
        <v>0.0</v>
      </c>
      <c r="G87" s="7"/>
      <c r="H87" s="7">
        <f t="shared" si="9"/>
        <v>0</v>
      </c>
      <c r="I87" s="7"/>
      <c r="J87" s="8">
        <f t="shared" si="10"/>
        <v>0</v>
      </c>
      <c r="K87" s="7"/>
      <c r="L87" s="7"/>
      <c r="M87" s="7"/>
    </row>
    <row r="88" ht="15.75" customHeight="1">
      <c r="C88" s="5"/>
      <c r="D88" s="5"/>
      <c r="E88" s="9"/>
      <c r="F88" s="7">
        <v>0.0</v>
      </c>
      <c r="G88" s="7"/>
      <c r="H88" s="7">
        <f t="shared" si="9"/>
        <v>0</v>
      </c>
      <c r="I88" s="7"/>
      <c r="J88" s="8">
        <f t="shared" si="10"/>
        <v>0</v>
      </c>
      <c r="K88" s="7"/>
      <c r="L88" s="7"/>
      <c r="M88" s="7"/>
    </row>
    <row r="89" ht="15.75" customHeight="1">
      <c r="C89" s="5"/>
      <c r="D89" s="5"/>
      <c r="E89" s="9"/>
      <c r="F89" s="7">
        <v>0.0</v>
      </c>
      <c r="G89" s="7"/>
      <c r="H89" s="7">
        <f t="shared" si="9"/>
        <v>0</v>
      </c>
      <c r="I89" s="7"/>
      <c r="J89" s="8">
        <f t="shared" si="10"/>
        <v>0</v>
      </c>
      <c r="K89" s="7"/>
      <c r="L89" s="7"/>
      <c r="M89" s="7"/>
    </row>
    <row r="90" ht="15.75" customHeight="1">
      <c r="C90" s="5"/>
      <c r="D90" s="5"/>
      <c r="E90" s="9"/>
      <c r="F90" s="7">
        <v>0.0</v>
      </c>
      <c r="G90" s="7"/>
      <c r="H90" s="7">
        <f t="shared" si="9"/>
        <v>0</v>
      </c>
      <c r="I90" s="7"/>
      <c r="J90" s="8">
        <f t="shared" si="10"/>
        <v>0</v>
      </c>
      <c r="K90" s="7"/>
      <c r="L90" s="7"/>
      <c r="M90" s="7"/>
    </row>
    <row r="91" ht="15.75" customHeight="1">
      <c r="C91" s="1"/>
      <c r="D91" s="1"/>
      <c r="I91" s="10" t="s">
        <v>11</v>
      </c>
      <c r="J91" s="11">
        <f>SUM(J85:J90)</f>
        <v>21096</v>
      </c>
    </row>
    <row r="92" ht="15.75" customHeight="1">
      <c r="C92" s="1"/>
      <c r="D92" s="1"/>
    </row>
    <row r="93" ht="15.75" customHeight="1">
      <c r="C93" s="1"/>
      <c r="D93" s="1"/>
      <c r="H93" s="41" t="s">
        <v>18</v>
      </c>
      <c r="I93" s="42"/>
      <c r="J93" s="43">
        <f>J91</f>
        <v>21096</v>
      </c>
    </row>
    <row r="94" ht="15.75" customHeight="1">
      <c r="C94" s="1"/>
      <c r="D94" s="1"/>
      <c r="J94" s="11"/>
    </row>
    <row r="95" ht="15.75" customHeight="1">
      <c r="C95" s="1"/>
      <c r="D95" s="1"/>
      <c r="E95" s="12" t="s">
        <v>12</v>
      </c>
    </row>
    <row r="96" ht="15.75" customHeight="1">
      <c r="C96" s="1"/>
      <c r="D96" s="1"/>
      <c r="E96" s="13"/>
    </row>
    <row r="97" ht="15.75" customHeight="1">
      <c r="C97" s="1"/>
      <c r="D97" s="1"/>
    </row>
    <row r="98" ht="15.75" customHeight="1">
      <c r="C98" s="1"/>
      <c r="D98" s="1"/>
    </row>
    <row r="99" ht="15.75" customHeight="1"/>
    <row r="100" ht="15.75" customHeight="1">
      <c r="C100" s="1"/>
      <c r="D100" s="1"/>
      <c r="I100" s="44" t="s">
        <v>55</v>
      </c>
    </row>
    <row r="101" ht="15.75" customHeight="1">
      <c r="C101" s="2" t="s">
        <v>0</v>
      </c>
      <c r="D101" s="2" t="s">
        <v>1</v>
      </c>
      <c r="E101" s="38" t="s">
        <v>52</v>
      </c>
      <c r="F101" s="3" t="s">
        <v>3</v>
      </c>
      <c r="G101" s="3" t="s">
        <v>4</v>
      </c>
      <c r="H101" s="3" t="s">
        <v>5</v>
      </c>
      <c r="I101" s="3"/>
      <c r="J101" s="3"/>
      <c r="K101" s="38" t="s">
        <v>14</v>
      </c>
      <c r="L101" s="38" t="s">
        <v>15</v>
      </c>
      <c r="M101" s="3" t="s">
        <v>8</v>
      </c>
    </row>
    <row r="102" ht="15.75" customHeight="1">
      <c r="C102" s="22">
        <v>45994.0</v>
      </c>
      <c r="D102" s="22">
        <v>46022.0</v>
      </c>
      <c r="E102" s="6" t="s">
        <v>56</v>
      </c>
      <c r="F102" s="23">
        <v>7471.1</v>
      </c>
      <c r="G102" s="23">
        <v>7658.5</v>
      </c>
      <c r="H102" s="7">
        <f t="shared" ref="H102:H107" si="11">G102-F102</f>
        <v>187.4</v>
      </c>
      <c r="I102" s="34">
        <v>400.0</v>
      </c>
      <c r="J102" s="8">
        <f t="shared" ref="J102:J107" si="12">H102*I102</f>
        <v>74960</v>
      </c>
      <c r="K102" s="7"/>
      <c r="L102" s="7"/>
      <c r="M102" s="7">
        <v>0.0</v>
      </c>
    </row>
    <row r="103" ht="15.75" customHeight="1">
      <c r="C103" s="22">
        <v>45992.0</v>
      </c>
      <c r="D103" s="22">
        <v>46022.0</v>
      </c>
      <c r="E103" s="6" t="s">
        <v>48</v>
      </c>
      <c r="F103" s="23">
        <v>1910.33</v>
      </c>
      <c r="G103" s="23">
        <v>2141.0</v>
      </c>
      <c r="H103" s="7">
        <f t="shared" si="11"/>
        <v>230.67</v>
      </c>
      <c r="I103" s="21">
        <v>350.0</v>
      </c>
      <c r="J103" s="8">
        <f t="shared" si="12"/>
        <v>80734.5</v>
      </c>
      <c r="K103" s="7"/>
      <c r="L103" s="7"/>
      <c r="M103" s="7"/>
    </row>
    <row r="104" ht="15.75" customHeight="1">
      <c r="C104" s="22">
        <v>46024.0</v>
      </c>
      <c r="D104" s="22">
        <v>46052.0</v>
      </c>
      <c r="E104" s="6" t="s">
        <v>57</v>
      </c>
      <c r="F104" s="23">
        <v>7658.6</v>
      </c>
      <c r="G104" s="23">
        <v>7876.5</v>
      </c>
      <c r="H104" s="23">
        <f t="shared" si="11"/>
        <v>217.9</v>
      </c>
      <c r="I104" s="21">
        <v>410.0</v>
      </c>
      <c r="J104" s="8">
        <f t="shared" si="12"/>
        <v>89339</v>
      </c>
      <c r="K104" s="7"/>
      <c r="L104" s="7"/>
      <c r="M104" s="7"/>
    </row>
    <row r="105" ht="15.75" customHeight="1">
      <c r="C105" s="22">
        <v>46024.0</v>
      </c>
      <c r="D105" s="22">
        <v>46024.0</v>
      </c>
      <c r="E105" s="6" t="s">
        <v>58</v>
      </c>
      <c r="F105" s="23">
        <v>2129.05</v>
      </c>
      <c r="G105" s="23">
        <v>2141.0</v>
      </c>
      <c r="H105" s="7">
        <f t="shared" si="11"/>
        <v>11.95</v>
      </c>
      <c r="I105" s="24">
        <v>360.0</v>
      </c>
      <c r="J105" s="8">
        <f t="shared" si="12"/>
        <v>4302</v>
      </c>
      <c r="K105" s="7"/>
      <c r="L105" s="7"/>
      <c r="M105" s="7"/>
    </row>
    <row r="106" ht="15.75" customHeight="1">
      <c r="C106" s="22">
        <v>46055.0</v>
      </c>
      <c r="D106" s="22">
        <v>46058.0</v>
      </c>
      <c r="E106" s="6" t="s">
        <v>59</v>
      </c>
      <c r="F106" s="23">
        <v>7876.5</v>
      </c>
      <c r="G106" s="23">
        <v>7917.5</v>
      </c>
      <c r="H106" s="7">
        <f t="shared" si="11"/>
        <v>41</v>
      </c>
      <c r="I106" s="21">
        <v>410.0</v>
      </c>
      <c r="J106" s="8">
        <f t="shared" si="12"/>
        <v>16810</v>
      </c>
      <c r="K106" s="7"/>
      <c r="L106" s="7"/>
      <c r="M106" s="7"/>
    </row>
    <row r="107" ht="15.75" customHeight="1">
      <c r="C107" s="5"/>
      <c r="D107" s="5"/>
      <c r="E107" s="9"/>
      <c r="F107" s="7"/>
      <c r="G107" s="7"/>
      <c r="H107" s="7">
        <f t="shared" si="11"/>
        <v>0</v>
      </c>
      <c r="I107" s="7"/>
      <c r="J107" s="8">
        <f t="shared" si="12"/>
        <v>0</v>
      </c>
      <c r="K107" s="7"/>
      <c r="L107" s="7"/>
      <c r="M107" s="7"/>
    </row>
    <row r="108" ht="15.75" customHeight="1">
      <c r="C108" s="1"/>
      <c r="D108" s="1"/>
      <c r="I108" s="10" t="s">
        <v>11</v>
      </c>
      <c r="J108" s="11">
        <f>SUM(J102:J107)</f>
        <v>266145.5</v>
      </c>
    </row>
    <row r="109" ht="15.75" customHeight="1">
      <c r="C109" s="1"/>
      <c r="D109" s="1"/>
    </row>
    <row r="110" ht="15.75" customHeight="1">
      <c r="C110" s="1"/>
      <c r="D110" s="1"/>
      <c r="H110" s="41" t="s">
        <v>18</v>
      </c>
      <c r="I110" s="42"/>
      <c r="J110" s="43">
        <f>J108</f>
        <v>266145.5</v>
      </c>
      <c r="N110" s="45"/>
    </row>
    <row r="111" ht="15.75" customHeight="1">
      <c r="C111" s="1"/>
      <c r="D111" s="1"/>
      <c r="J111" s="11"/>
    </row>
    <row r="112" ht="15.75" customHeight="1">
      <c r="D112" s="1"/>
      <c r="E112" s="46" t="s">
        <v>60</v>
      </c>
      <c r="F112" s="47">
        <v>77847.25</v>
      </c>
      <c r="G112" s="48"/>
      <c r="H112" s="49">
        <v>46035.0</v>
      </c>
    </row>
    <row r="113" ht="15.75" customHeight="1">
      <c r="D113" s="1"/>
      <c r="E113" s="50" t="s">
        <v>60</v>
      </c>
      <c r="F113" s="51" t="s">
        <v>61</v>
      </c>
      <c r="G113" s="52"/>
      <c r="H113" s="53">
        <v>46066.0</v>
      </c>
    </row>
    <row r="114" ht="15.75" customHeight="1">
      <c r="C114" s="1"/>
      <c r="D114" s="1"/>
    </row>
    <row r="115" ht="15.75" customHeight="1">
      <c r="C115" s="1"/>
      <c r="D115" s="1"/>
    </row>
    <row r="116" ht="15.75" customHeight="1">
      <c r="C116" s="1"/>
      <c r="D116" s="1"/>
    </row>
    <row r="117" ht="15.75" customHeight="1">
      <c r="C117" s="1"/>
      <c r="D117" s="1"/>
    </row>
    <row r="118" ht="15.75" customHeight="1">
      <c r="C118" s="1"/>
      <c r="D118" s="1"/>
    </row>
    <row r="119" ht="15.75" customHeight="1">
      <c r="C119" s="1"/>
      <c r="D119" s="1"/>
    </row>
    <row r="120" ht="15.75" customHeight="1">
      <c r="C120" s="1"/>
      <c r="D120" s="1"/>
    </row>
    <row r="121" ht="15.75" customHeight="1">
      <c r="C121" s="1"/>
      <c r="D121" s="1"/>
    </row>
    <row r="122" ht="15.75" customHeight="1">
      <c r="C122" s="1"/>
      <c r="D122" s="1"/>
    </row>
    <row r="123" ht="15.75" customHeight="1">
      <c r="C123" s="1"/>
      <c r="D123" s="1"/>
    </row>
    <row r="124" ht="15.75" customHeight="1">
      <c r="C124" s="1"/>
      <c r="D124" s="1"/>
    </row>
    <row r="125" ht="15.75" customHeight="1">
      <c r="C125" s="1"/>
      <c r="D125" s="1"/>
    </row>
    <row r="126" ht="15.75" customHeight="1">
      <c r="C126" s="1"/>
      <c r="D126" s="1"/>
    </row>
    <row r="127" ht="15.75" customHeight="1">
      <c r="C127" s="1"/>
      <c r="D127" s="1"/>
    </row>
    <row r="128" ht="15.75" customHeight="1">
      <c r="C128" s="1"/>
      <c r="D128" s="1"/>
    </row>
    <row r="129" ht="15.75" customHeight="1">
      <c r="C129" s="1"/>
      <c r="D129" s="1"/>
    </row>
    <row r="130" ht="15.75" customHeight="1">
      <c r="C130" s="1"/>
      <c r="D130" s="1"/>
    </row>
    <row r="131" ht="15.75" customHeight="1">
      <c r="C131" s="1"/>
      <c r="D131" s="1"/>
    </row>
    <row r="132" ht="15.75" customHeight="1">
      <c r="C132" s="1"/>
      <c r="D132" s="1"/>
    </row>
    <row r="133" ht="15.75" customHeight="1">
      <c r="C133" s="1"/>
      <c r="D133" s="1"/>
    </row>
    <row r="134" ht="15.75" customHeight="1">
      <c r="C134" s="1"/>
      <c r="D134" s="1"/>
    </row>
    <row r="135" ht="15.75" customHeight="1">
      <c r="C135" s="1"/>
      <c r="D135" s="1"/>
    </row>
    <row r="136" ht="15.75" customHeight="1">
      <c r="C136" s="1"/>
      <c r="D136" s="1"/>
    </row>
    <row r="137" ht="15.75" customHeight="1">
      <c r="C137" s="1"/>
      <c r="D137" s="1"/>
    </row>
    <row r="138" ht="15.75" customHeight="1">
      <c r="C138" s="1"/>
      <c r="D138" s="1"/>
    </row>
    <row r="139" ht="15.75" customHeight="1">
      <c r="C139" s="1"/>
      <c r="D139" s="1"/>
    </row>
    <row r="140" ht="15.75" customHeight="1">
      <c r="C140" s="1"/>
      <c r="D140" s="1"/>
    </row>
    <row r="141" ht="15.75" customHeight="1">
      <c r="C141" s="1"/>
      <c r="D141" s="1"/>
    </row>
    <row r="142" ht="15.75" customHeight="1">
      <c r="C142" s="1"/>
      <c r="D142" s="1"/>
    </row>
    <row r="143" ht="15.75" customHeight="1">
      <c r="C143" s="1"/>
      <c r="D143" s="1"/>
    </row>
    <row r="144" ht="15.75" customHeight="1">
      <c r="C144" s="1"/>
      <c r="D144" s="1"/>
    </row>
    <row r="145" ht="15.75" customHeight="1">
      <c r="C145" s="1"/>
      <c r="D145" s="1"/>
    </row>
    <row r="146" ht="15.75" customHeight="1">
      <c r="C146" s="1"/>
      <c r="D146" s="1"/>
    </row>
    <row r="147" ht="15.75" customHeight="1">
      <c r="C147" s="1"/>
      <c r="D147" s="1"/>
    </row>
    <row r="148" ht="15.75" customHeight="1">
      <c r="C148" s="1"/>
      <c r="D148" s="1"/>
    </row>
    <row r="149" ht="15.75" customHeight="1">
      <c r="C149" s="1"/>
      <c r="D149" s="1"/>
    </row>
    <row r="150" ht="15.75" customHeight="1">
      <c r="C150" s="1"/>
      <c r="D150" s="1"/>
    </row>
    <row r="151" ht="15.75" customHeight="1">
      <c r="C151" s="1"/>
      <c r="D151" s="1"/>
    </row>
    <row r="152" ht="15.75" customHeight="1">
      <c r="C152" s="1"/>
      <c r="D152" s="1"/>
    </row>
    <row r="153" ht="15.75" customHeight="1">
      <c r="C153" s="1"/>
      <c r="D153" s="1"/>
    </row>
    <row r="154" ht="15.75" customHeight="1">
      <c r="C154" s="1"/>
      <c r="D154" s="1"/>
    </row>
    <row r="155" ht="15.75" customHeight="1">
      <c r="C155" s="1"/>
      <c r="D155" s="1"/>
    </row>
    <row r="156" ht="15.75" customHeight="1">
      <c r="C156" s="1"/>
      <c r="D156" s="1"/>
    </row>
    <row r="157" ht="15.75" customHeight="1">
      <c r="C157" s="1"/>
      <c r="D157" s="1"/>
    </row>
    <row r="158" ht="15.75" customHeight="1">
      <c r="C158" s="1"/>
      <c r="D158" s="1"/>
    </row>
    <row r="159" ht="15.75" customHeight="1">
      <c r="C159" s="1"/>
      <c r="D159" s="1"/>
    </row>
    <row r="160" ht="15.75" customHeight="1">
      <c r="C160" s="1"/>
      <c r="D160" s="1"/>
    </row>
    <row r="161" ht="15.75" customHeight="1">
      <c r="C161" s="1"/>
      <c r="D161" s="1"/>
    </row>
    <row r="162" ht="15.75" customHeight="1">
      <c r="C162" s="1"/>
      <c r="D162" s="1"/>
    </row>
    <row r="163" ht="15.75" customHeight="1">
      <c r="C163" s="1"/>
      <c r="D163" s="1"/>
    </row>
    <row r="164" ht="15.75" customHeight="1">
      <c r="C164" s="1"/>
      <c r="D164" s="1"/>
    </row>
    <row r="165" ht="15.75" customHeight="1">
      <c r="C165" s="1"/>
      <c r="D165" s="1"/>
    </row>
    <row r="166" ht="15.75" customHeight="1">
      <c r="C166" s="1"/>
      <c r="D166" s="1"/>
    </row>
    <row r="167" ht="15.75" customHeight="1">
      <c r="C167" s="1"/>
      <c r="D167" s="1"/>
    </row>
    <row r="168" ht="15.75" customHeight="1">
      <c r="C168" s="1"/>
      <c r="D168" s="1"/>
    </row>
    <row r="169" ht="15.75" customHeight="1">
      <c r="C169" s="1"/>
      <c r="D169" s="1"/>
    </row>
    <row r="170" ht="15.75" customHeight="1">
      <c r="C170" s="1"/>
      <c r="D170" s="1"/>
    </row>
    <row r="171" ht="15.75" customHeight="1">
      <c r="C171" s="1"/>
      <c r="D171" s="1"/>
    </row>
    <row r="172" ht="15.75" customHeight="1">
      <c r="C172" s="1"/>
      <c r="D172" s="1"/>
    </row>
    <row r="173" ht="15.75" customHeight="1">
      <c r="C173" s="1"/>
      <c r="D173" s="1"/>
    </row>
    <row r="174" ht="15.75" customHeight="1">
      <c r="C174" s="1"/>
      <c r="D174" s="1"/>
    </row>
    <row r="175" ht="15.75" customHeight="1">
      <c r="C175" s="1"/>
      <c r="D175" s="1"/>
    </row>
    <row r="176" ht="15.75" customHeight="1">
      <c r="C176" s="1"/>
      <c r="D176" s="1"/>
    </row>
    <row r="177" ht="15.75" customHeight="1">
      <c r="C177" s="1"/>
      <c r="D177" s="1"/>
    </row>
    <row r="178" ht="15.75" customHeight="1">
      <c r="C178" s="1"/>
      <c r="D178" s="1"/>
    </row>
    <row r="179" ht="15.75" customHeight="1">
      <c r="C179" s="1"/>
      <c r="D179" s="1"/>
    </row>
    <row r="180" ht="15.75" customHeight="1">
      <c r="C180" s="1"/>
      <c r="D180" s="1"/>
    </row>
    <row r="181" ht="15.75" customHeight="1">
      <c r="C181" s="1"/>
      <c r="D181" s="1"/>
    </row>
    <row r="182" ht="15.75" customHeight="1">
      <c r="C182" s="1"/>
      <c r="D182" s="1"/>
    </row>
    <row r="183" ht="15.75" customHeight="1">
      <c r="C183" s="1"/>
      <c r="D183" s="1"/>
    </row>
    <row r="184" ht="15.75" customHeight="1">
      <c r="C184" s="1"/>
      <c r="D184" s="1"/>
    </row>
    <row r="185" ht="15.75" customHeight="1">
      <c r="C185" s="1"/>
      <c r="D185" s="1"/>
    </row>
    <row r="186" ht="15.75" customHeight="1">
      <c r="C186" s="1"/>
      <c r="D186" s="1"/>
    </row>
    <row r="187" ht="15.75" customHeight="1">
      <c r="C187" s="1"/>
      <c r="D187" s="1"/>
    </row>
    <row r="188" ht="15.75" customHeight="1">
      <c r="C188" s="1"/>
      <c r="D188" s="1"/>
    </row>
    <row r="189" ht="15.75" customHeight="1">
      <c r="C189" s="1"/>
      <c r="D189" s="1"/>
    </row>
    <row r="190" ht="15.75" customHeight="1">
      <c r="C190" s="1"/>
      <c r="D190" s="1"/>
    </row>
    <row r="191" ht="15.75" customHeight="1">
      <c r="C191" s="1"/>
      <c r="D191" s="1"/>
    </row>
    <row r="192" ht="15.75" customHeight="1">
      <c r="C192" s="1"/>
      <c r="D192" s="1"/>
    </row>
    <row r="193" ht="15.75" customHeight="1">
      <c r="C193" s="1"/>
      <c r="D193" s="1"/>
    </row>
    <row r="194" ht="15.75" customHeight="1">
      <c r="C194" s="1"/>
      <c r="D194" s="1"/>
    </row>
    <row r="195" ht="15.75" customHeight="1">
      <c r="C195" s="1"/>
      <c r="D195" s="1"/>
    </row>
    <row r="196" ht="15.75" customHeight="1">
      <c r="C196" s="1"/>
      <c r="D196" s="1"/>
    </row>
    <row r="197" ht="15.75" customHeight="1">
      <c r="C197" s="1"/>
      <c r="D197" s="1"/>
    </row>
    <row r="198" ht="15.75" customHeight="1">
      <c r="C198" s="1"/>
      <c r="D198" s="1"/>
    </row>
    <row r="199" ht="15.75" customHeight="1">
      <c r="C199" s="1"/>
      <c r="D199" s="1"/>
    </row>
    <row r="200" ht="15.75" customHeight="1">
      <c r="C200" s="1"/>
      <c r="D200" s="1"/>
    </row>
    <row r="201" ht="15.75" customHeight="1">
      <c r="C201" s="1"/>
      <c r="D201" s="1"/>
    </row>
    <row r="202" ht="15.75" customHeight="1">
      <c r="C202" s="1"/>
      <c r="D202" s="1"/>
    </row>
    <row r="203" ht="15.75" customHeight="1">
      <c r="C203" s="1"/>
      <c r="D203" s="1"/>
    </row>
    <row r="204" ht="15.75" customHeight="1">
      <c r="C204" s="1"/>
      <c r="D204" s="1"/>
    </row>
    <row r="205" ht="15.75" customHeight="1">
      <c r="C205" s="1"/>
      <c r="D205" s="1"/>
    </row>
    <row r="206" ht="15.75" customHeight="1">
      <c r="C206" s="1"/>
      <c r="D206" s="1"/>
    </row>
    <row r="207" ht="15.75" customHeight="1">
      <c r="C207" s="1"/>
      <c r="D207" s="1"/>
    </row>
    <row r="208" ht="15.75" customHeight="1">
      <c r="C208" s="1"/>
      <c r="D208" s="1"/>
    </row>
    <row r="209" ht="15.75" customHeight="1">
      <c r="C209" s="1"/>
      <c r="D209" s="1"/>
    </row>
    <row r="210" ht="15.75" customHeight="1">
      <c r="C210" s="1"/>
      <c r="D210" s="1"/>
    </row>
    <row r="211" ht="15.75" customHeight="1">
      <c r="C211" s="1"/>
      <c r="D211" s="1"/>
    </row>
    <row r="212" ht="15.75" customHeight="1">
      <c r="C212" s="1"/>
      <c r="D212" s="1"/>
    </row>
    <row r="213" ht="15.75" customHeight="1">
      <c r="C213" s="1"/>
      <c r="D213" s="1"/>
    </row>
    <row r="214" ht="15.75" customHeight="1">
      <c r="C214" s="1"/>
      <c r="D214" s="1"/>
    </row>
    <row r="215" ht="15.75" customHeight="1">
      <c r="C215" s="1"/>
      <c r="D215" s="1"/>
    </row>
    <row r="216" ht="15.75" customHeight="1">
      <c r="C216" s="1"/>
      <c r="D216" s="1"/>
    </row>
    <row r="217" ht="15.75" customHeight="1">
      <c r="C217" s="1"/>
      <c r="D217" s="1"/>
    </row>
    <row r="218" ht="15.75" customHeight="1">
      <c r="C218" s="1"/>
      <c r="D218" s="1"/>
    </row>
    <row r="219" ht="15.75" customHeight="1">
      <c r="C219" s="1"/>
      <c r="D219" s="1"/>
    </row>
    <row r="220" ht="15.75" customHeight="1">
      <c r="C220" s="1"/>
      <c r="D220" s="1"/>
    </row>
    <row r="221" ht="15.75" customHeight="1">
      <c r="C221" s="1"/>
      <c r="D221" s="1"/>
    </row>
    <row r="222" ht="15.75" customHeight="1">
      <c r="C222" s="1"/>
      <c r="D222" s="1"/>
    </row>
    <row r="223" ht="15.75" customHeight="1">
      <c r="C223" s="1"/>
      <c r="D223" s="1"/>
    </row>
    <row r="224" ht="15.75" customHeight="1">
      <c r="C224" s="1"/>
      <c r="D224" s="1"/>
    </row>
    <row r="225" ht="15.75" customHeight="1">
      <c r="C225" s="1"/>
      <c r="D225" s="1"/>
    </row>
    <row r="226" ht="15.75" customHeight="1">
      <c r="C226" s="1"/>
      <c r="D226" s="1"/>
    </row>
    <row r="227" ht="15.75" customHeight="1">
      <c r="C227" s="1"/>
      <c r="D227" s="1"/>
    </row>
    <row r="228" ht="15.75" customHeight="1">
      <c r="C228" s="1"/>
      <c r="D228" s="1"/>
    </row>
    <row r="229" ht="15.75" customHeight="1">
      <c r="C229" s="1"/>
      <c r="D229" s="1"/>
    </row>
    <row r="230" ht="15.75" customHeight="1">
      <c r="C230" s="1"/>
      <c r="D230" s="1"/>
    </row>
    <row r="231" ht="15.75" customHeight="1">
      <c r="C231" s="1"/>
      <c r="D231" s="1"/>
    </row>
    <row r="232" ht="15.75" customHeight="1">
      <c r="C232" s="1"/>
      <c r="D232" s="1"/>
    </row>
    <row r="233" ht="15.75" customHeight="1">
      <c r="C233" s="1"/>
      <c r="D233" s="1"/>
    </row>
    <row r="234" ht="15.75" customHeight="1">
      <c r="C234" s="1"/>
      <c r="D234" s="1"/>
    </row>
    <row r="235" ht="15.75" customHeight="1">
      <c r="C235" s="1"/>
      <c r="D235" s="1"/>
    </row>
    <row r="236" ht="15.75" customHeight="1">
      <c r="C236" s="1"/>
      <c r="D236" s="1"/>
    </row>
    <row r="237" ht="15.75" customHeight="1">
      <c r="C237" s="1"/>
      <c r="D237" s="1"/>
    </row>
    <row r="238" ht="15.75" customHeight="1">
      <c r="C238" s="1"/>
      <c r="D238" s="1"/>
    </row>
    <row r="239" ht="15.75" customHeight="1">
      <c r="C239" s="1"/>
      <c r="D239" s="1"/>
    </row>
    <row r="240" ht="15.75" customHeight="1">
      <c r="C240" s="1"/>
      <c r="D240" s="1"/>
    </row>
    <row r="241" ht="15.75" customHeight="1">
      <c r="C241" s="1"/>
      <c r="D241" s="1"/>
    </row>
    <row r="242" ht="15.75" customHeight="1">
      <c r="C242" s="1"/>
      <c r="D242" s="1"/>
    </row>
    <row r="243" ht="15.75" customHeight="1">
      <c r="C243" s="1"/>
      <c r="D243" s="1"/>
    </row>
    <row r="244" ht="15.75" customHeight="1">
      <c r="C244" s="1"/>
      <c r="D244" s="1"/>
    </row>
    <row r="245" ht="15.75" customHeight="1">
      <c r="C245" s="1"/>
      <c r="D245" s="1"/>
    </row>
    <row r="246" ht="15.75" customHeight="1">
      <c r="C246" s="1"/>
      <c r="D246" s="1"/>
    </row>
    <row r="247" ht="15.75" customHeight="1">
      <c r="C247" s="1"/>
      <c r="D247" s="1"/>
    </row>
    <row r="248" ht="15.75" customHeight="1">
      <c r="C248" s="1"/>
      <c r="D248" s="1"/>
    </row>
    <row r="249" ht="15.75" customHeight="1">
      <c r="C249" s="1"/>
      <c r="D249" s="1"/>
    </row>
    <row r="250" ht="15.75" customHeight="1">
      <c r="C250" s="1"/>
      <c r="D250" s="1"/>
    </row>
    <row r="251" ht="15.75" customHeight="1">
      <c r="C251" s="1"/>
      <c r="D251" s="1"/>
    </row>
    <row r="252" ht="15.75" customHeight="1">
      <c r="C252" s="1"/>
      <c r="D252" s="1"/>
    </row>
    <row r="253" ht="15.75" customHeight="1">
      <c r="C253" s="1"/>
      <c r="D253" s="1"/>
    </row>
    <row r="254" ht="15.75" customHeight="1">
      <c r="C254" s="1"/>
      <c r="D254" s="1"/>
    </row>
    <row r="255" ht="15.75" customHeight="1">
      <c r="C255" s="1"/>
      <c r="D255" s="1"/>
    </row>
    <row r="256" ht="15.75" customHeight="1">
      <c r="C256" s="1"/>
      <c r="D256" s="1"/>
    </row>
    <row r="257" ht="15.75" customHeight="1">
      <c r="C257" s="1"/>
      <c r="D257" s="1"/>
    </row>
    <row r="258" ht="15.75" customHeight="1">
      <c r="C258" s="1"/>
      <c r="D258" s="1"/>
    </row>
    <row r="259" ht="15.75" customHeight="1">
      <c r="C259" s="1"/>
      <c r="D259" s="1"/>
    </row>
    <row r="260" ht="15.75" customHeight="1">
      <c r="C260" s="1"/>
      <c r="D260" s="1"/>
    </row>
    <row r="261" ht="15.75" customHeight="1">
      <c r="C261" s="1"/>
      <c r="D261" s="1"/>
    </row>
    <row r="262" ht="15.75" customHeight="1">
      <c r="C262" s="1"/>
      <c r="D262" s="1"/>
    </row>
    <row r="263" ht="15.75" customHeight="1">
      <c r="C263" s="1"/>
      <c r="D263" s="1"/>
    </row>
    <row r="264" ht="15.75" customHeight="1">
      <c r="C264" s="1"/>
      <c r="D264" s="1"/>
    </row>
    <row r="265" ht="15.75" customHeight="1">
      <c r="C265" s="1"/>
      <c r="D265" s="1"/>
    </row>
    <row r="266" ht="15.75" customHeight="1">
      <c r="C266" s="1"/>
      <c r="D266" s="1"/>
    </row>
    <row r="267" ht="15.75" customHeight="1">
      <c r="C267" s="1"/>
      <c r="D267" s="1"/>
    </row>
    <row r="268" ht="15.75" customHeight="1">
      <c r="C268" s="1"/>
      <c r="D268" s="1"/>
    </row>
    <row r="269" ht="15.75" customHeight="1">
      <c r="C269" s="1"/>
      <c r="D269" s="1"/>
    </row>
    <row r="270" ht="15.75" customHeight="1">
      <c r="C270" s="1"/>
      <c r="D270" s="1"/>
    </row>
    <row r="271" ht="15.75" customHeight="1">
      <c r="C271" s="1"/>
      <c r="D271" s="1"/>
    </row>
    <row r="272" ht="15.75" customHeight="1">
      <c r="C272" s="1"/>
      <c r="D272" s="1"/>
    </row>
    <row r="273" ht="15.75" customHeight="1">
      <c r="C273" s="1"/>
      <c r="D273" s="1"/>
    </row>
    <row r="274" ht="15.75" customHeight="1">
      <c r="C274" s="1"/>
      <c r="D274" s="1"/>
    </row>
    <row r="275" ht="15.75" customHeight="1">
      <c r="C275" s="1"/>
      <c r="D275" s="1"/>
    </row>
    <row r="276" ht="15.75" customHeight="1">
      <c r="C276" s="1"/>
      <c r="D276" s="1"/>
    </row>
    <row r="277" ht="15.75" customHeight="1">
      <c r="C277" s="1"/>
      <c r="D277" s="1"/>
    </row>
    <row r="278" ht="15.75" customHeight="1">
      <c r="C278" s="1"/>
      <c r="D278" s="1"/>
    </row>
    <row r="279" ht="15.75" customHeight="1">
      <c r="C279" s="1"/>
      <c r="D279" s="1"/>
    </row>
    <row r="280" ht="15.75" customHeight="1">
      <c r="C280" s="1"/>
      <c r="D280" s="1"/>
    </row>
    <row r="281" ht="15.75" customHeight="1">
      <c r="C281" s="1"/>
      <c r="D281" s="1"/>
    </row>
    <row r="282" ht="15.75" customHeight="1">
      <c r="C282" s="1"/>
      <c r="D282" s="1"/>
    </row>
    <row r="283" ht="15.75" customHeight="1">
      <c r="C283" s="1"/>
      <c r="D283" s="1"/>
    </row>
    <row r="284" ht="15.75" customHeight="1">
      <c r="C284" s="1"/>
      <c r="D284" s="1"/>
    </row>
    <row r="285" ht="15.75" customHeight="1">
      <c r="C285" s="1"/>
      <c r="D285" s="1"/>
    </row>
    <row r="286" ht="15.75" customHeight="1">
      <c r="C286" s="1"/>
      <c r="D286" s="1"/>
    </row>
    <row r="287" ht="15.75" customHeight="1">
      <c r="C287" s="1"/>
      <c r="D287" s="1"/>
    </row>
    <row r="288" ht="15.75" customHeight="1">
      <c r="C288" s="1"/>
      <c r="D288" s="1"/>
    </row>
    <row r="289" ht="15.75" customHeight="1">
      <c r="C289" s="1"/>
      <c r="D289" s="1"/>
    </row>
    <row r="290" ht="15.75" customHeight="1">
      <c r="C290" s="1"/>
      <c r="D290" s="1"/>
    </row>
    <row r="291" ht="15.75" customHeight="1">
      <c r="C291" s="1"/>
      <c r="D291" s="1"/>
    </row>
    <row r="292" ht="15.75" customHeight="1">
      <c r="C292" s="1"/>
      <c r="D292" s="1"/>
    </row>
    <row r="293" ht="15.75" customHeight="1">
      <c r="C293" s="1"/>
      <c r="D293" s="1"/>
    </row>
    <row r="294" ht="15.75" customHeight="1">
      <c r="C294" s="1"/>
      <c r="D294" s="1"/>
    </row>
    <row r="295" ht="15.75" customHeight="1">
      <c r="C295" s="1"/>
      <c r="D295" s="1"/>
    </row>
    <row r="296" ht="15.75" customHeight="1">
      <c r="C296" s="1"/>
      <c r="D296" s="1"/>
    </row>
    <row r="297" ht="15.75" customHeight="1">
      <c r="C297" s="1"/>
      <c r="D297" s="1"/>
    </row>
    <row r="298" ht="15.75" customHeight="1">
      <c r="C298" s="1"/>
      <c r="D298" s="1"/>
    </row>
    <row r="299" ht="15.75" customHeight="1">
      <c r="C299" s="1"/>
      <c r="D299" s="1"/>
    </row>
    <row r="300" ht="15.75" customHeight="1">
      <c r="C300" s="1"/>
      <c r="D300" s="1"/>
    </row>
    <row r="301" ht="15.75" customHeight="1">
      <c r="C301" s="1"/>
      <c r="D301" s="1"/>
    </row>
    <row r="302" ht="15.75" customHeight="1">
      <c r="C302" s="1"/>
      <c r="D302" s="1"/>
    </row>
    <row r="303" ht="15.75" customHeight="1">
      <c r="C303" s="1"/>
      <c r="D303" s="1"/>
    </row>
    <row r="304" ht="15.75" customHeight="1">
      <c r="C304" s="1"/>
      <c r="D304" s="1"/>
    </row>
    <row r="305" ht="15.75" customHeight="1">
      <c r="C305" s="1"/>
      <c r="D305" s="1"/>
    </row>
    <row r="306" ht="15.75" customHeight="1">
      <c r="C306" s="1"/>
      <c r="D306" s="1"/>
    </row>
    <row r="307" ht="15.75" customHeight="1">
      <c r="C307" s="1"/>
      <c r="D307" s="1"/>
    </row>
    <row r="308" ht="15.75" customHeight="1">
      <c r="C308" s="1"/>
      <c r="D308" s="1"/>
    </row>
    <row r="309" ht="15.75" customHeight="1">
      <c r="C309" s="1"/>
      <c r="D309" s="1"/>
    </row>
    <row r="310" ht="15.75" customHeight="1">
      <c r="C310" s="1"/>
      <c r="D310" s="1"/>
    </row>
    <row r="311" ht="15.75" customHeight="1">
      <c r="C311" s="1"/>
      <c r="D311" s="1"/>
    </row>
    <row r="312" ht="15.75" customHeight="1">
      <c r="C312" s="1"/>
      <c r="D312" s="1"/>
    </row>
    <row r="313" ht="15.75" customHeight="1">
      <c r="C313" s="1"/>
      <c r="D313" s="1"/>
    </row>
    <row r="314" ht="15.75" customHeight="1">
      <c r="C314" s="1"/>
      <c r="D314" s="1"/>
    </row>
    <row r="315" ht="15.75" customHeight="1">
      <c r="C315" s="1"/>
      <c r="D315" s="1"/>
    </row>
    <row r="316" ht="15.75" customHeight="1">
      <c r="C316" s="1"/>
      <c r="D316" s="1"/>
    </row>
    <row r="317" ht="15.75" customHeight="1">
      <c r="C317" s="1"/>
      <c r="D317" s="1"/>
    </row>
    <row r="318" ht="15.75" customHeight="1">
      <c r="C318" s="1"/>
      <c r="D318" s="1"/>
    </row>
    <row r="319" ht="15.75" customHeight="1">
      <c r="C319" s="1"/>
      <c r="D319" s="1"/>
    </row>
    <row r="320" ht="15.75" customHeight="1">
      <c r="C320" s="1"/>
      <c r="D320" s="1"/>
    </row>
    <row r="321" ht="15.75" customHeight="1">
      <c r="C321" s="1"/>
      <c r="D321" s="1"/>
    </row>
    <row r="322" ht="15.75" customHeight="1">
      <c r="C322" s="1"/>
      <c r="D322" s="1"/>
    </row>
    <row r="323" ht="15.75" customHeight="1">
      <c r="C323" s="1"/>
      <c r="D323" s="1"/>
    </row>
    <row r="324" ht="15.75" customHeight="1">
      <c r="C324" s="1"/>
      <c r="D324" s="1"/>
    </row>
    <row r="325" ht="15.75" customHeight="1">
      <c r="C325" s="1"/>
      <c r="D325" s="1"/>
    </row>
    <row r="326" ht="15.75" customHeight="1">
      <c r="C326" s="1"/>
      <c r="D326" s="1"/>
    </row>
    <row r="327" ht="15.75" customHeight="1">
      <c r="C327" s="1"/>
      <c r="D327" s="1"/>
    </row>
    <row r="328" ht="15.75" customHeight="1">
      <c r="C328" s="1"/>
      <c r="D328" s="1"/>
    </row>
    <row r="329" ht="15.75" customHeight="1">
      <c r="C329" s="1"/>
      <c r="D329" s="1"/>
    </row>
    <row r="330" ht="15.75" customHeight="1">
      <c r="C330" s="1"/>
      <c r="D330" s="1"/>
    </row>
    <row r="331" ht="15.75" customHeight="1">
      <c r="C331" s="1"/>
      <c r="D331" s="1"/>
    </row>
    <row r="332" ht="15.75" customHeight="1">
      <c r="C332" s="1"/>
      <c r="D332" s="1"/>
    </row>
    <row r="333" ht="15.75" customHeight="1">
      <c r="C333" s="1"/>
      <c r="D333" s="1"/>
    </row>
    <row r="334" ht="15.75" customHeight="1">
      <c r="C334" s="1"/>
      <c r="D334" s="1"/>
    </row>
    <row r="335" ht="15.75" customHeight="1">
      <c r="C335" s="1"/>
      <c r="D335" s="1"/>
    </row>
    <row r="336" ht="15.75" customHeight="1">
      <c r="C336" s="1"/>
      <c r="D336" s="1"/>
    </row>
    <row r="337" ht="15.75" customHeight="1">
      <c r="C337" s="1"/>
      <c r="D337" s="1"/>
    </row>
    <row r="338" ht="15.75" customHeight="1">
      <c r="C338" s="1"/>
      <c r="D338" s="1"/>
    </row>
    <row r="339" ht="15.75" customHeight="1">
      <c r="C339" s="1"/>
      <c r="D339" s="1"/>
    </row>
    <row r="340" ht="15.75" customHeight="1">
      <c r="C340" s="1"/>
      <c r="D340" s="1"/>
    </row>
    <row r="341" ht="15.75" customHeight="1">
      <c r="C341" s="1"/>
      <c r="D341" s="1"/>
    </row>
    <row r="342" ht="15.75" customHeight="1">
      <c r="C342" s="1"/>
      <c r="D342" s="1"/>
    </row>
    <row r="343" ht="15.75" customHeight="1">
      <c r="C343" s="1"/>
      <c r="D343" s="1"/>
    </row>
    <row r="344" ht="15.75" customHeight="1">
      <c r="C344" s="1"/>
      <c r="D344" s="1"/>
    </row>
    <row r="345" ht="15.75" customHeight="1">
      <c r="C345" s="1"/>
      <c r="D345" s="1"/>
    </row>
    <row r="346" ht="15.75" customHeight="1">
      <c r="C346" s="1"/>
      <c r="D346" s="1"/>
    </row>
    <row r="347" ht="15.75" customHeight="1">
      <c r="C347" s="1"/>
      <c r="D347" s="1"/>
    </row>
    <row r="348" ht="15.75" customHeight="1">
      <c r="C348" s="1"/>
      <c r="D348" s="1"/>
    </row>
    <row r="349" ht="15.75" customHeight="1">
      <c r="C349" s="1"/>
      <c r="D349" s="1"/>
    </row>
    <row r="350" ht="15.75" customHeight="1">
      <c r="C350" s="1"/>
      <c r="D350" s="1"/>
    </row>
    <row r="351" ht="15.75" customHeight="1">
      <c r="C351" s="1"/>
      <c r="D351" s="1"/>
    </row>
    <row r="352" ht="15.75" customHeight="1">
      <c r="C352" s="1"/>
      <c r="D352" s="1"/>
    </row>
    <row r="353" ht="15.75" customHeight="1">
      <c r="C353" s="1"/>
      <c r="D353" s="1"/>
    </row>
    <row r="354" ht="15.75" customHeight="1">
      <c r="C354" s="1"/>
      <c r="D354" s="1"/>
    </row>
    <row r="355" ht="15.75" customHeight="1">
      <c r="C355" s="1"/>
      <c r="D355" s="1"/>
    </row>
    <row r="356" ht="15.75" customHeight="1">
      <c r="C356" s="1"/>
      <c r="D356" s="1"/>
    </row>
    <row r="357" ht="15.75" customHeight="1">
      <c r="C357" s="1"/>
      <c r="D357" s="1"/>
    </row>
    <row r="358" ht="15.75" customHeight="1">
      <c r="C358" s="1"/>
      <c r="D358" s="1"/>
    </row>
    <row r="359" ht="15.75" customHeight="1">
      <c r="C359" s="1"/>
      <c r="D359" s="1"/>
    </row>
    <row r="360" ht="15.75" customHeight="1">
      <c r="C360" s="1"/>
      <c r="D360" s="1"/>
    </row>
    <row r="361" ht="15.75" customHeight="1">
      <c r="C361" s="1"/>
      <c r="D361" s="1"/>
    </row>
    <row r="362" ht="15.75" customHeight="1">
      <c r="C362" s="1"/>
      <c r="D362" s="1"/>
    </row>
    <row r="363" ht="15.75" customHeight="1">
      <c r="C363" s="1"/>
      <c r="D363" s="1"/>
    </row>
    <row r="364" ht="15.75" customHeight="1">
      <c r="C364" s="1"/>
      <c r="D364" s="1"/>
    </row>
    <row r="365" ht="15.75" customHeight="1">
      <c r="C365" s="1"/>
      <c r="D365" s="1"/>
    </row>
    <row r="366" ht="15.75" customHeight="1">
      <c r="C366" s="1"/>
      <c r="D366" s="1"/>
    </row>
    <row r="367" ht="15.75" customHeight="1">
      <c r="C367" s="1"/>
      <c r="D367" s="1"/>
    </row>
    <row r="368" ht="15.75" customHeight="1">
      <c r="C368" s="1"/>
      <c r="D368" s="1"/>
    </row>
    <row r="369" ht="15.75" customHeight="1">
      <c r="C369" s="1"/>
      <c r="D369" s="1"/>
    </row>
    <row r="370" ht="15.75" customHeight="1">
      <c r="C370" s="1"/>
      <c r="D370" s="1"/>
    </row>
    <row r="371" ht="15.75" customHeight="1">
      <c r="C371" s="1"/>
      <c r="D371" s="1"/>
    </row>
    <row r="372" ht="15.75" customHeight="1">
      <c r="C372" s="1"/>
      <c r="D372" s="1"/>
    </row>
    <row r="373" ht="15.75" customHeight="1">
      <c r="C373" s="1"/>
      <c r="D373" s="1"/>
    </row>
    <row r="374" ht="15.75" customHeight="1">
      <c r="C374" s="1"/>
      <c r="D374" s="1"/>
    </row>
    <row r="375" ht="15.75" customHeight="1">
      <c r="C375" s="1"/>
      <c r="D375" s="1"/>
    </row>
    <row r="376" ht="15.75" customHeight="1">
      <c r="C376" s="1"/>
      <c r="D376" s="1"/>
    </row>
    <row r="377" ht="15.75" customHeight="1">
      <c r="C377" s="1"/>
      <c r="D377" s="1"/>
    </row>
    <row r="378" ht="15.75" customHeight="1">
      <c r="C378" s="1"/>
      <c r="D378" s="1"/>
    </row>
    <row r="379" ht="15.75" customHeight="1">
      <c r="C379" s="1"/>
      <c r="D379" s="1"/>
    </row>
    <row r="380" ht="15.75" customHeight="1">
      <c r="C380" s="1"/>
      <c r="D380" s="1"/>
    </row>
    <row r="381" ht="15.75" customHeight="1">
      <c r="C381" s="1"/>
      <c r="D381" s="1"/>
    </row>
    <row r="382" ht="15.75" customHeight="1">
      <c r="C382" s="1"/>
      <c r="D382" s="1"/>
    </row>
    <row r="383" ht="15.75" customHeight="1">
      <c r="C383" s="1"/>
      <c r="D383" s="1"/>
    </row>
    <row r="384" ht="15.75" customHeight="1">
      <c r="C384" s="1"/>
      <c r="D384" s="1"/>
    </row>
    <row r="385" ht="15.75" customHeight="1">
      <c r="C385" s="1"/>
      <c r="D385" s="1"/>
    </row>
    <row r="386" ht="15.75" customHeight="1">
      <c r="C386" s="1"/>
      <c r="D386" s="1"/>
    </row>
    <row r="387" ht="15.75" customHeight="1">
      <c r="C387" s="1"/>
      <c r="D387" s="1"/>
    </row>
    <row r="388" ht="15.75" customHeight="1">
      <c r="C388" s="1"/>
      <c r="D388" s="1"/>
    </row>
    <row r="389" ht="15.75" customHeight="1">
      <c r="C389" s="1"/>
      <c r="D389" s="1"/>
    </row>
    <row r="390" ht="15.75" customHeight="1">
      <c r="C390" s="1"/>
      <c r="D390" s="1"/>
    </row>
    <row r="391" ht="15.75" customHeight="1">
      <c r="C391" s="1"/>
      <c r="D391" s="1"/>
    </row>
    <row r="392" ht="15.75" customHeight="1">
      <c r="C392" s="1"/>
      <c r="D392" s="1"/>
    </row>
    <row r="393" ht="15.75" customHeight="1">
      <c r="C393" s="1"/>
      <c r="D393" s="1"/>
    </row>
    <row r="394" ht="15.75" customHeight="1">
      <c r="C394" s="1"/>
      <c r="D394" s="1"/>
    </row>
    <row r="395" ht="15.75" customHeight="1">
      <c r="C395" s="1"/>
      <c r="D395" s="1"/>
    </row>
    <row r="396" ht="15.75" customHeight="1">
      <c r="C396" s="1"/>
      <c r="D396" s="1"/>
    </row>
    <row r="397" ht="15.75" customHeight="1">
      <c r="C397" s="1"/>
      <c r="D397" s="1"/>
    </row>
    <row r="398" ht="15.75" customHeight="1">
      <c r="C398" s="1"/>
      <c r="D398" s="1"/>
    </row>
    <row r="399" ht="15.75" customHeight="1">
      <c r="C399" s="1"/>
      <c r="D399" s="1"/>
    </row>
    <row r="400" ht="15.75" customHeight="1">
      <c r="C400" s="1"/>
      <c r="D400" s="1"/>
    </row>
    <row r="401" ht="15.75" customHeight="1">
      <c r="C401" s="1"/>
      <c r="D401" s="1"/>
    </row>
    <row r="402" ht="15.75" customHeight="1">
      <c r="C402" s="1"/>
      <c r="D402" s="1"/>
    </row>
    <row r="403" ht="15.75" customHeight="1">
      <c r="C403" s="1"/>
      <c r="D403" s="1"/>
    </row>
    <row r="404" ht="15.75" customHeight="1">
      <c r="C404" s="1"/>
      <c r="D404" s="1"/>
    </row>
    <row r="405" ht="15.75" customHeight="1">
      <c r="C405" s="1"/>
      <c r="D405" s="1"/>
    </row>
    <row r="406" ht="15.75" customHeight="1">
      <c r="C406" s="1"/>
      <c r="D406" s="1"/>
    </row>
    <row r="407" ht="15.75" customHeight="1">
      <c r="C407" s="1"/>
      <c r="D407" s="1"/>
    </row>
    <row r="408" ht="15.75" customHeight="1">
      <c r="C408" s="1"/>
      <c r="D408" s="1"/>
    </row>
    <row r="409" ht="15.75" customHeight="1">
      <c r="C409" s="1"/>
      <c r="D409" s="1"/>
    </row>
    <row r="410" ht="15.75" customHeight="1">
      <c r="C410" s="1"/>
      <c r="D410" s="1"/>
    </row>
    <row r="411" ht="15.75" customHeight="1">
      <c r="C411" s="1"/>
      <c r="D411" s="1"/>
    </row>
    <row r="412" ht="15.75" customHeight="1">
      <c r="C412" s="1"/>
      <c r="D412" s="1"/>
    </row>
    <row r="413" ht="15.75" customHeight="1">
      <c r="C413" s="1"/>
      <c r="D413" s="1"/>
    </row>
    <row r="414" ht="15.75" customHeight="1">
      <c r="C414" s="1"/>
      <c r="D414" s="1"/>
    </row>
    <row r="415" ht="15.75" customHeight="1">
      <c r="C415" s="1"/>
      <c r="D415" s="1"/>
    </row>
    <row r="416" ht="15.75" customHeight="1">
      <c r="C416" s="1"/>
      <c r="D416" s="1"/>
    </row>
    <row r="417" ht="15.75" customHeight="1">
      <c r="C417" s="1"/>
      <c r="D417" s="1"/>
    </row>
    <row r="418" ht="15.75" customHeight="1">
      <c r="C418" s="1"/>
      <c r="D418" s="1"/>
    </row>
    <row r="419" ht="15.75" customHeight="1">
      <c r="C419" s="1"/>
      <c r="D419" s="1"/>
    </row>
    <row r="420" ht="15.75" customHeight="1">
      <c r="C420" s="1"/>
      <c r="D420" s="1"/>
    </row>
    <row r="421" ht="15.75" customHeight="1">
      <c r="C421" s="1"/>
      <c r="D421" s="1"/>
    </row>
    <row r="422" ht="15.75" customHeight="1">
      <c r="C422" s="1"/>
      <c r="D422" s="1"/>
    </row>
    <row r="423" ht="15.75" customHeight="1">
      <c r="C423" s="1"/>
      <c r="D423" s="1"/>
    </row>
    <row r="424" ht="15.75" customHeight="1">
      <c r="C424" s="1"/>
      <c r="D424" s="1"/>
    </row>
    <row r="425" ht="15.75" customHeight="1">
      <c r="C425" s="1"/>
      <c r="D425" s="1"/>
    </row>
    <row r="426" ht="15.75" customHeight="1">
      <c r="C426" s="1"/>
      <c r="D426" s="1"/>
    </row>
    <row r="427" ht="15.75" customHeight="1">
      <c r="C427" s="1"/>
      <c r="D427" s="1"/>
    </row>
    <row r="428" ht="15.75" customHeight="1">
      <c r="C428" s="1"/>
      <c r="D428" s="1"/>
    </row>
    <row r="429" ht="15.75" customHeight="1">
      <c r="C429" s="1"/>
      <c r="D429" s="1"/>
    </row>
    <row r="430" ht="15.75" customHeight="1">
      <c r="C430" s="1"/>
      <c r="D430" s="1"/>
    </row>
    <row r="431" ht="15.75" customHeight="1">
      <c r="C431" s="1"/>
      <c r="D431" s="1"/>
    </row>
    <row r="432" ht="15.75" customHeight="1">
      <c r="C432" s="1"/>
      <c r="D432" s="1"/>
    </row>
    <row r="433" ht="15.75" customHeight="1">
      <c r="C433" s="1"/>
      <c r="D433" s="1"/>
    </row>
    <row r="434" ht="15.75" customHeight="1">
      <c r="C434" s="1"/>
      <c r="D434" s="1"/>
    </row>
    <row r="435" ht="15.75" customHeight="1">
      <c r="C435" s="1"/>
      <c r="D435" s="1"/>
    </row>
    <row r="436" ht="15.75" customHeight="1">
      <c r="C436" s="1"/>
      <c r="D436" s="1"/>
    </row>
    <row r="437" ht="15.75" customHeight="1">
      <c r="C437" s="1"/>
      <c r="D437" s="1"/>
    </row>
    <row r="438" ht="15.75" customHeight="1">
      <c r="C438" s="1"/>
      <c r="D438" s="1"/>
    </row>
    <row r="439" ht="15.75" customHeight="1">
      <c r="C439" s="1"/>
      <c r="D439" s="1"/>
    </row>
    <row r="440" ht="15.75" customHeight="1">
      <c r="C440" s="1"/>
      <c r="D440" s="1"/>
    </row>
    <row r="441" ht="15.75" customHeight="1">
      <c r="C441" s="1"/>
      <c r="D441" s="1"/>
    </row>
    <row r="442" ht="15.75" customHeight="1">
      <c r="C442" s="1"/>
      <c r="D442" s="1"/>
    </row>
    <row r="443" ht="15.75" customHeight="1">
      <c r="C443" s="1"/>
      <c r="D443" s="1"/>
    </row>
    <row r="444" ht="15.75" customHeight="1">
      <c r="C444" s="1"/>
      <c r="D444" s="1"/>
    </row>
    <row r="445" ht="15.75" customHeight="1">
      <c r="C445" s="1"/>
      <c r="D445" s="1"/>
    </row>
    <row r="446" ht="15.75" customHeight="1">
      <c r="C446" s="1"/>
      <c r="D446" s="1"/>
    </row>
    <row r="447" ht="15.75" customHeight="1">
      <c r="C447" s="1"/>
      <c r="D447" s="1"/>
    </row>
    <row r="448" ht="15.75" customHeight="1">
      <c r="C448" s="1"/>
      <c r="D448" s="1"/>
    </row>
    <row r="449" ht="15.75" customHeight="1">
      <c r="C449" s="1"/>
      <c r="D449" s="1"/>
    </row>
    <row r="450" ht="15.75" customHeight="1">
      <c r="C450" s="1"/>
      <c r="D450" s="1"/>
    </row>
    <row r="451" ht="15.75" customHeight="1">
      <c r="C451" s="1"/>
      <c r="D451" s="1"/>
    </row>
    <row r="452" ht="15.75" customHeight="1">
      <c r="C452" s="1"/>
      <c r="D452" s="1"/>
    </row>
    <row r="453" ht="15.75" customHeight="1">
      <c r="C453" s="1"/>
      <c r="D453" s="1"/>
    </row>
    <row r="454" ht="15.75" customHeight="1">
      <c r="C454" s="1"/>
      <c r="D454" s="1"/>
    </row>
    <row r="455" ht="15.75" customHeight="1">
      <c r="C455" s="1"/>
      <c r="D455" s="1"/>
    </row>
    <row r="456" ht="15.75" customHeight="1">
      <c r="C456" s="1"/>
      <c r="D456" s="1"/>
    </row>
    <row r="457" ht="15.75" customHeight="1">
      <c r="C457" s="1"/>
      <c r="D457" s="1"/>
    </row>
    <row r="458" ht="15.75" customHeight="1">
      <c r="C458" s="1"/>
      <c r="D458" s="1"/>
    </row>
    <row r="459" ht="15.75" customHeight="1">
      <c r="C459" s="1"/>
      <c r="D459" s="1"/>
    </row>
    <row r="460" ht="15.75" customHeight="1">
      <c r="C460" s="1"/>
      <c r="D460" s="1"/>
    </row>
    <row r="461" ht="15.75" customHeight="1">
      <c r="C461" s="1"/>
      <c r="D461" s="1"/>
    </row>
    <row r="462" ht="15.75" customHeight="1">
      <c r="C462" s="1"/>
      <c r="D462" s="1"/>
    </row>
    <row r="463" ht="15.75" customHeight="1">
      <c r="C463" s="1"/>
      <c r="D463" s="1"/>
    </row>
    <row r="464" ht="15.75" customHeight="1">
      <c r="C464" s="1"/>
      <c r="D464" s="1"/>
    </row>
    <row r="465" ht="15.75" customHeight="1">
      <c r="C465" s="1"/>
      <c r="D465" s="1"/>
    </row>
    <row r="466" ht="15.75" customHeight="1">
      <c r="C466" s="1"/>
      <c r="D466" s="1"/>
    </row>
    <row r="467" ht="15.75" customHeight="1">
      <c r="C467" s="1"/>
      <c r="D467" s="1"/>
    </row>
    <row r="468" ht="15.75" customHeight="1">
      <c r="C468" s="1"/>
      <c r="D468" s="1"/>
    </row>
    <row r="469" ht="15.75" customHeight="1">
      <c r="C469" s="1"/>
      <c r="D469" s="1"/>
    </row>
    <row r="470" ht="15.75" customHeight="1">
      <c r="C470" s="1"/>
      <c r="D470" s="1"/>
    </row>
    <row r="471" ht="15.75" customHeight="1">
      <c r="C471" s="1"/>
      <c r="D471" s="1"/>
    </row>
    <row r="472" ht="15.75" customHeight="1">
      <c r="C472" s="1"/>
      <c r="D472" s="1"/>
    </row>
    <row r="473" ht="15.75" customHeight="1">
      <c r="C473" s="1"/>
      <c r="D473" s="1"/>
    </row>
    <row r="474" ht="15.75" customHeight="1">
      <c r="C474" s="1"/>
      <c r="D474" s="1"/>
    </row>
    <row r="475" ht="15.75" customHeight="1">
      <c r="C475" s="1"/>
      <c r="D475" s="1"/>
    </row>
    <row r="476" ht="15.75" customHeight="1">
      <c r="C476" s="1"/>
      <c r="D476" s="1"/>
    </row>
    <row r="477" ht="15.75" customHeight="1">
      <c r="C477" s="1"/>
      <c r="D477" s="1"/>
    </row>
    <row r="478" ht="15.75" customHeight="1">
      <c r="C478" s="1"/>
      <c r="D478" s="1"/>
    </row>
    <row r="479" ht="15.75" customHeight="1">
      <c r="C479" s="1"/>
      <c r="D479" s="1"/>
    </row>
    <row r="480" ht="15.75" customHeight="1">
      <c r="C480" s="1"/>
      <c r="D480" s="1"/>
    </row>
    <row r="481" ht="15.75" customHeight="1">
      <c r="C481" s="1"/>
      <c r="D481" s="1"/>
    </row>
    <row r="482" ht="15.75" customHeight="1">
      <c r="C482" s="1"/>
      <c r="D482" s="1"/>
    </row>
    <row r="483" ht="15.75" customHeight="1">
      <c r="C483" s="1"/>
      <c r="D483" s="1"/>
    </row>
    <row r="484" ht="15.75" customHeight="1">
      <c r="C484" s="1"/>
      <c r="D484" s="1"/>
    </row>
    <row r="485" ht="15.75" customHeight="1">
      <c r="C485" s="1"/>
      <c r="D485" s="1"/>
    </row>
    <row r="486" ht="15.75" customHeight="1">
      <c r="C486" s="1"/>
      <c r="D486" s="1"/>
    </row>
    <row r="487" ht="15.75" customHeight="1">
      <c r="C487" s="1"/>
      <c r="D487" s="1"/>
    </row>
    <row r="488" ht="15.75" customHeight="1">
      <c r="C488" s="1"/>
      <c r="D488" s="1"/>
    </row>
    <row r="489" ht="15.75" customHeight="1">
      <c r="C489" s="1"/>
      <c r="D489" s="1"/>
    </row>
    <row r="490" ht="15.75" customHeight="1">
      <c r="C490" s="1"/>
      <c r="D490" s="1"/>
    </row>
    <row r="491" ht="15.75" customHeight="1">
      <c r="C491" s="1"/>
      <c r="D491" s="1"/>
    </row>
    <row r="492" ht="15.75" customHeight="1">
      <c r="C492" s="1"/>
      <c r="D492" s="1"/>
    </row>
    <row r="493" ht="15.75" customHeight="1">
      <c r="C493" s="1"/>
      <c r="D493" s="1"/>
    </row>
    <row r="494" ht="15.75" customHeight="1">
      <c r="C494" s="1"/>
      <c r="D494" s="1"/>
    </row>
    <row r="495" ht="15.75" customHeight="1">
      <c r="C495" s="1"/>
      <c r="D495" s="1"/>
    </row>
    <row r="496" ht="15.75" customHeight="1">
      <c r="C496" s="1"/>
      <c r="D496" s="1"/>
    </row>
    <row r="497" ht="15.75" customHeight="1">
      <c r="C497" s="1"/>
      <c r="D497" s="1"/>
    </row>
    <row r="498" ht="15.75" customHeight="1">
      <c r="C498" s="1"/>
      <c r="D498" s="1"/>
    </row>
    <row r="499" ht="15.75" customHeight="1">
      <c r="C499" s="1"/>
      <c r="D499" s="1"/>
    </row>
    <row r="500" ht="15.75" customHeight="1">
      <c r="C500" s="1"/>
      <c r="D500" s="1"/>
    </row>
    <row r="501" ht="15.75" customHeight="1">
      <c r="C501" s="1"/>
      <c r="D501" s="1"/>
    </row>
    <row r="502" ht="15.75" customHeight="1">
      <c r="C502" s="1"/>
      <c r="D502" s="1"/>
    </row>
    <row r="503" ht="15.75" customHeight="1">
      <c r="C503" s="1"/>
      <c r="D503" s="1"/>
    </row>
    <row r="504" ht="15.75" customHeight="1">
      <c r="C504" s="1"/>
      <c r="D504" s="1"/>
    </row>
    <row r="505" ht="15.75" customHeight="1">
      <c r="C505" s="1"/>
      <c r="D505" s="1"/>
    </row>
    <row r="506" ht="15.75" customHeight="1">
      <c r="C506" s="1"/>
      <c r="D506" s="1"/>
    </row>
    <row r="507" ht="15.75" customHeight="1">
      <c r="C507" s="1"/>
      <c r="D507" s="1"/>
    </row>
    <row r="508" ht="15.75" customHeight="1">
      <c r="C508" s="1"/>
      <c r="D508" s="1"/>
    </row>
    <row r="509" ht="15.75" customHeight="1">
      <c r="C509" s="1"/>
      <c r="D509" s="1"/>
    </row>
    <row r="510" ht="15.75" customHeight="1">
      <c r="C510" s="1"/>
      <c r="D510" s="1"/>
    </row>
    <row r="511" ht="15.75" customHeight="1">
      <c r="C511" s="1"/>
      <c r="D511" s="1"/>
    </row>
    <row r="512" ht="15.75" customHeight="1">
      <c r="C512" s="1"/>
      <c r="D512" s="1"/>
    </row>
    <row r="513" ht="15.75" customHeight="1">
      <c r="C513" s="1"/>
      <c r="D513" s="1"/>
    </row>
    <row r="514" ht="15.75" customHeight="1">
      <c r="C514" s="1"/>
      <c r="D514" s="1"/>
    </row>
    <row r="515" ht="15.75" customHeight="1">
      <c r="C515" s="1"/>
      <c r="D515" s="1"/>
    </row>
    <row r="516" ht="15.75" customHeight="1">
      <c r="C516" s="1"/>
      <c r="D516" s="1"/>
    </row>
    <row r="517" ht="15.75" customHeight="1">
      <c r="C517" s="1"/>
      <c r="D517" s="1"/>
    </row>
    <row r="518" ht="15.75" customHeight="1">
      <c r="C518" s="1"/>
      <c r="D518" s="1"/>
    </row>
    <row r="519" ht="15.75" customHeight="1">
      <c r="C519" s="1"/>
      <c r="D519" s="1"/>
    </row>
    <row r="520" ht="15.75" customHeight="1">
      <c r="C520" s="1"/>
      <c r="D520" s="1"/>
    </row>
    <row r="521" ht="15.75" customHeight="1">
      <c r="C521" s="1"/>
      <c r="D521" s="1"/>
    </row>
    <row r="522" ht="15.75" customHeight="1">
      <c r="C522" s="1"/>
      <c r="D522" s="1"/>
    </row>
    <row r="523" ht="15.75" customHeight="1">
      <c r="C523" s="1"/>
      <c r="D523" s="1"/>
    </row>
    <row r="524" ht="15.75" customHeight="1">
      <c r="C524" s="1"/>
      <c r="D524" s="1"/>
    </row>
    <row r="525" ht="15.75" customHeight="1">
      <c r="C525" s="1"/>
      <c r="D525" s="1"/>
    </row>
    <row r="526" ht="15.75" customHeight="1">
      <c r="C526" s="1"/>
      <c r="D526" s="1"/>
    </row>
    <row r="527" ht="15.75" customHeight="1">
      <c r="C527" s="1"/>
      <c r="D527" s="1"/>
    </row>
    <row r="528" ht="15.75" customHeight="1">
      <c r="C528" s="1"/>
      <c r="D528" s="1"/>
    </row>
    <row r="529" ht="15.75" customHeight="1">
      <c r="C529" s="1"/>
      <c r="D529" s="1"/>
    </row>
    <row r="530" ht="15.75" customHeight="1">
      <c r="C530" s="1"/>
      <c r="D530" s="1"/>
    </row>
    <row r="531" ht="15.75" customHeight="1">
      <c r="C531" s="1"/>
      <c r="D531" s="1"/>
    </row>
    <row r="532" ht="15.75" customHeight="1">
      <c r="C532" s="1"/>
      <c r="D532" s="1"/>
    </row>
    <row r="533" ht="15.75" customHeight="1">
      <c r="C533" s="1"/>
      <c r="D533" s="1"/>
    </row>
    <row r="534" ht="15.75" customHeight="1">
      <c r="C534" s="1"/>
      <c r="D534" s="1"/>
    </row>
    <row r="535" ht="15.75" customHeight="1">
      <c r="C535" s="1"/>
      <c r="D535" s="1"/>
    </row>
    <row r="536" ht="15.75" customHeight="1">
      <c r="C536" s="1"/>
      <c r="D536" s="1"/>
    </row>
    <row r="537" ht="15.75" customHeight="1">
      <c r="C537" s="1"/>
      <c r="D537" s="1"/>
    </row>
    <row r="538" ht="15.75" customHeight="1">
      <c r="C538" s="1"/>
      <c r="D538" s="1"/>
    </row>
    <row r="539" ht="15.75" customHeight="1">
      <c r="C539" s="1"/>
      <c r="D539" s="1"/>
    </row>
    <row r="540" ht="15.75" customHeight="1">
      <c r="C540" s="1"/>
      <c r="D540" s="1"/>
    </row>
    <row r="541" ht="15.75" customHeight="1">
      <c r="C541" s="1"/>
      <c r="D541" s="1"/>
    </row>
    <row r="542" ht="15.75" customHeight="1">
      <c r="C542" s="1"/>
      <c r="D542" s="1"/>
    </row>
    <row r="543" ht="15.75" customHeight="1">
      <c r="C543" s="1"/>
      <c r="D543" s="1"/>
    </row>
    <row r="544" ht="15.75" customHeight="1">
      <c r="C544" s="1"/>
      <c r="D544" s="1"/>
    </row>
    <row r="545" ht="15.75" customHeight="1">
      <c r="C545" s="1"/>
      <c r="D545" s="1"/>
    </row>
    <row r="546" ht="15.75" customHeight="1">
      <c r="C546" s="1"/>
      <c r="D546" s="1"/>
    </row>
    <row r="547" ht="15.75" customHeight="1">
      <c r="C547" s="1"/>
      <c r="D547" s="1"/>
    </row>
    <row r="548" ht="15.75" customHeight="1">
      <c r="C548" s="1"/>
      <c r="D548" s="1"/>
    </row>
    <row r="549" ht="15.75" customHeight="1">
      <c r="C549" s="1"/>
      <c r="D549" s="1"/>
    </row>
    <row r="550" ht="15.75" customHeight="1">
      <c r="C550" s="1"/>
      <c r="D550" s="1"/>
    </row>
    <row r="551" ht="15.75" customHeight="1">
      <c r="C551" s="1"/>
      <c r="D551" s="1"/>
    </row>
    <row r="552" ht="15.75" customHeight="1">
      <c r="C552" s="1"/>
      <c r="D552" s="1"/>
    </row>
    <row r="553" ht="15.75" customHeight="1">
      <c r="C553" s="1"/>
      <c r="D553" s="1"/>
    </row>
    <row r="554" ht="15.75" customHeight="1">
      <c r="C554" s="1"/>
      <c r="D554" s="1"/>
    </row>
    <row r="555" ht="15.75" customHeight="1">
      <c r="C555" s="1"/>
      <c r="D555" s="1"/>
    </row>
    <row r="556" ht="15.75" customHeight="1">
      <c r="C556" s="1"/>
      <c r="D556" s="1"/>
    </row>
    <row r="557" ht="15.75" customHeight="1">
      <c r="C557" s="1"/>
      <c r="D557" s="1"/>
    </row>
    <row r="558" ht="15.75" customHeight="1">
      <c r="C558" s="1"/>
      <c r="D558" s="1"/>
    </row>
    <row r="559" ht="15.75" customHeight="1">
      <c r="C559" s="1"/>
      <c r="D559" s="1"/>
    </row>
    <row r="560" ht="15.75" customHeight="1">
      <c r="C560" s="1"/>
      <c r="D560" s="1"/>
    </row>
    <row r="561" ht="15.75" customHeight="1">
      <c r="C561" s="1"/>
      <c r="D561" s="1"/>
    </row>
    <row r="562" ht="15.75" customHeight="1">
      <c r="C562" s="1"/>
      <c r="D562" s="1"/>
    </row>
    <row r="563" ht="15.75" customHeight="1">
      <c r="C563" s="1"/>
      <c r="D563" s="1"/>
    </row>
    <row r="564" ht="15.75" customHeight="1">
      <c r="C564" s="1"/>
      <c r="D564" s="1"/>
    </row>
    <row r="565" ht="15.75" customHeight="1">
      <c r="C565" s="1"/>
      <c r="D565" s="1"/>
    </row>
    <row r="566" ht="15.75" customHeight="1">
      <c r="C566" s="1"/>
      <c r="D566" s="1"/>
    </row>
    <row r="567" ht="15.75" customHeight="1">
      <c r="C567" s="1"/>
      <c r="D567" s="1"/>
    </row>
    <row r="568" ht="15.75" customHeight="1">
      <c r="C568" s="1"/>
      <c r="D568" s="1"/>
    </row>
    <row r="569" ht="15.75" customHeight="1">
      <c r="C569" s="1"/>
      <c r="D569" s="1"/>
    </row>
    <row r="570" ht="15.75" customHeight="1">
      <c r="C570" s="1"/>
      <c r="D570" s="1"/>
    </row>
    <row r="571" ht="15.75" customHeight="1">
      <c r="C571" s="1"/>
      <c r="D571" s="1"/>
    </row>
    <row r="572" ht="15.75" customHeight="1">
      <c r="C572" s="1"/>
      <c r="D572" s="1"/>
    </row>
    <row r="573" ht="15.75" customHeight="1">
      <c r="C573" s="1"/>
      <c r="D573" s="1"/>
    </row>
    <row r="574" ht="15.75" customHeight="1">
      <c r="C574" s="1"/>
      <c r="D574" s="1"/>
    </row>
    <row r="575" ht="15.75" customHeight="1">
      <c r="C575" s="1"/>
      <c r="D575" s="1"/>
    </row>
    <row r="576" ht="15.75" customHeight="1">
      <c r="C576" s="1"/>
      <c r="D576" s="1"/>
    </row>
    <row r="577" ht="15.75" customHeight="1">
      <c r="C577" s="1"/>
      <c r="D577" s="1"/>
    </row>
    <row r="578" ht="15.75" customHeight="1">
      <c r="C578" s="1"/>
      <c r="D578" s="1"/>
    </row>
    <row r="579" ht="15.75" customHeight="1">
      <c r="C579" s="1"/>
      <c r="D579" s="1"/>
    </row>
    <row r="580" ht="15.75" customHeight="1">
      <c r="C580" s="1"/>
      <c r="D580" s="1"/>
    </row>
    <row r="581" ht="15.75" customHeight="1">
      <c r="C581" s="1"/>
      <c r="D581" s="1"/>
    </row>
    <row r="582" ht="15.75" customHeight="1">
      <c r="C582" s="1"/>
      <c r="D582" s="1"/>
    </row>
    <row r="583" ht="15.75" customHeight="1">
      <c r="C583" s="1"/>
      <c r="D583" s="1"/>
    </row>
    <row r="584" ht="15.75" customHeight="1">
      <c r="C584" s="1"/>
      <c r="D584" s="1"/>
    </row>
    <row r="585" ht="15.75" customHeight="1">
      <c r="C585" s="1"/>
      <c r="D585" s="1"/>
    </row>
    <row r="586" ht="15.75" customHeight="1">
      <c r="C586" s="1"/>
      <c r="D586" s="1"/>
    </row>
    <row r="587" ht="15.75" customHeight="1">
      <c r="C587" s="1"/>
      <c r="D587" s="1"/>
    </row>
    <row r="588" ht="15.75" customHeight="1">
      <c r="C588" s="1"/>
      <c r="D588" s="1"/>
    </row>
    <row r="589" ht="15.75" customHeight="1">
      <c r="C589" s="1"/>
      <c r="D589" s="1"/>
    </row>
    <row r="590" ht="15.75" customHeight="1">
      <c r="C590" s="1"/>
      <c r="D590" s="1"/>
    </row>
    <row r="591" ht="15.75" customHeight="1">
      <c r="C591" s="1"/>
      <c r="D591" s="1"/>
    </row>
    <row r="592" ht="15.75" customHeight="1">
      <c r="C592" s="1"/>
      <c r="D592" s="1"/>
    </row>
    <row r="593" ht="15.75" customHeight="1">
      <c r="C593" s="1"/>
      <c r="D593" s="1"/>
    </row>
    <row r="594" ht="15.75" customHeight="1">
      <c r="C594" s="1"/>
      <c r="D594" s="1"/>
    </row>
    <row r="595" ht="15.75" customHeight="1">
      <c r="C595" s="1"/>
      <c r="D595" s="1"/>
    </row>
    <row r="596" ht="15.75" customHeight="1">
      <c r="C596" s="1"/>
      <c r="D596" s="1"/>
    </row>
    <row r="597" ht="15.75" customHeight="1">
      <c r="C597" s="1"/>
      <c r="D597" s="1"/>
    </row>
    <row r="598" ht="15.75" customHeight="1">
      <c r="C598" s="1"/>
      <c r="D598" s="1"/>
    </row>
    <row r="599" ht="15.75" customHeight="1">
      <c r="C599" s="1"/>
      <c r="D599" s="1"/>
    </row>
    <row r="600" ht="15.75" customHeight="1">
      <c r="C600" s="1"/>
      <c r="D600" s="1"/>
    </row>
    <row r="601" ht="15.75" customHeight="1">
      <c r="C601" s="1"/>
      <c r="D601" s="1"/>
    </row>
    <row r="602" ht="15.75" customHeight="1">
      <c r="C602" s="1"/>
      <c r="D602" s="1"/>
    </row>
    <row r="603" ht="15.75" customHeight="1">
      <c r="C603" s="1"/>
      <c r="D603" s="1"/>
    </row>
    <row r="604" ht="15.75" customHeight="1">
      <c r="C604" s="1"/>
      <c r="D604" s="1"/>
    </row>
    <row r="605" ht="15.75" customHeight="1">
      <c r="C605" s="1"/>
      <c r="D605" s="1"/>
    </row>
    <row r="606" ht="15.75" customHeight="1">
      <c r="C606" s="1"/>
      <c r="D606" s="1"/>
    </row>
    <row r="607" ht="15.75" customHeight="1">
      <c r="C607" s="1"/>
      <c r="D607" s="1"/>
    </row>
    <row r="608" ht="15.75" customHeight="1">
      <c r="C608" s="1"/>
      <c r="D608" s="1"/>
    </row>
    <row r="609" ht="15.75" customHeight="1">
      <c r="C609" s="1"/>
      <c r="D609" s="1"/>
    </row>
    <row r="610" ht="15.75" customHeight="1">
      <c r="C610" s="1"/>
      <c r="D610" s="1"/>
    </row>
    <row r="611" ht="15.75" customHeight="1">
      <c r="C611" s="1"/>
      <c r="D611" s="1"/>
    </row>
    <row r="612" ht="15.75" customHeight="1">
      <c r="C612" s="1"/>
      <c r="D612" s="1"/>
    </row>
    <row r="613" ht="15.75" customHeight="1">
      <c r="C613" s="1"/>
      <c r="D613" s="1"/>
    </row>
    <row r="614" ht="15.75" customHeight="1">
      <c r="C614" s="1"/>
      <c r="D614" s="1"/>
    </row>
    <row r="615" ht="15.75" customHeight="1">
      <c r="C615" s="1"/>
      <c r="D615" s="1"/>
    </row>
    <row r="616" ht="15.75" customHeight="1">
      <c r="C616" s="1"/>
      <c r="D616" s="1"/>
    </row>
    <row r="617" ht="15.75" customHeight="1">
      <c r="C617" s="1"/>
      <c r="D617" s="1"/>
    </row>
    <row r="618" ht="15.75" customHeight="1">
      <c r="C618" s="1"/>
      <c r="D618" s="1"/>
    </row>
    <row r="619" ht="15.75" customHeight="1">
      <c r="C619" s="1"/>
      <c r="D619" s="1"/>
    </row>
    <row r="620" ht="15.75" customHeight="1">
      <c r="C620" s="1"/>
      <c r="D620" s="1"/>
    </row>
    <row r="621" ht="15.75" customHeight="1">
      <c r="C621" s="1"/>
      <c r="D621" s="1"/>
    </row>
    <row r="622" ht="15.75" customHeight="1">
      <c r="C622" s="1"/>
      <c r="D622" s="1"/>
    </row>
    <row r="623" ht="15.75" customHeight="1">
      <c r="C623" s="1"/>
      <c r="D623" s="1"/>
    </row>
    <row r="624" ht="15.75" customHeight="1">
      <c r="C624" s="1"/>
      <c r="D624" s="1"/>
    </row>
    <row r="625" ht="15.75" customHeight="1">
      <c r="C625" s="1"/>
      <c r="D625" s="1"/>
    </row>
    <row r="626" ht="15.75" customHeight="1">
      <c r="C626" s="1"/>
      <c r="D626" s="1"/>
    </row>
    <row r="627" ht="15.75" customHeight="1">
      <c r="C627" s="1"/>
      <c r="D627" s="1"/>
    </row>
    <row r="628" ht="15.75" customHeight="1">
      <c r="C628" s="1"/>
      <c r="D628" s="1"/>
    </row>
    <row r="629" ht="15.75" customHeight="1">
      <c r="C629" s="1"/>
      <c r="D629" s="1"/>
    </row>
    <row r="630" ht="15.75" customHeight="1">
      <c r="C630" s="1"/>
      <c r="D630" s="1"/>
    </row>
    <row r="631" ht="15.75" customHeight="1">
      <c r="C631" s="1"/>
      <c r="D631" s="1"/>
    </row>
    <row r="632" ht="15.75" customHeight="1">
      <c r="C632" s="1"/>
      <c r="D632" s="1"/>
    </row>
    <row r="633" ht="15.75" customHeight="1">
      <c r="C633" s="1"/>
      <c r="D633" s="1"/>
    </row>
    <row r="634" ht="15.75" customHeight="1">
      <c r="C634" s="1"/>
      <c r="D634" s="1"/>
    </row>
    <row r="635" ht="15.75" customHeight="1">
      <c r="C635" s="1"/>
      <c r="D635" s="1"/>
    </row>
    <row r="636" ht="15.75" customHeight="1">
      <c r="C636" s="1"/>
      <c r="D636" s="1"/>
    </row>
    <row r="637" ht="15.75" customHeight="1">
      <c r="C637" s="1"/>
      <c r="D637" s="1"/>
    </row>
    <row r="638" ht="15.75" customHeight="1">
      <c r="C638" s="1"/>
      <c r="D638" s="1"/>
    </row>
    <row r="639" ht="15.75" customHeight="1">
      <c r="C639" s="1"/>
      <c r="D639" s="1"/>
    </row>
    <row r="640" ht="15.75" customHeight="1">
      <c r="C640" s="1"/>
      <c r="D640" s="1"/>
    </row>
    <row r="641" ht="15.75" customHeight="1">
      <c r="C641" s="1"/>
      <c r="D641" s="1"/>
    </row>
    <row r="642" ht="15.75" customHeight="1">
      <c r="C642" s="1"/>
      <c r="D642" s="1"/>
    </row>
    <row r="643" ht="15.75" customHeight="1">
      <c r="C643" s="1"/>
      <c r="D643" s="1"/>
    </row>
    <row r="644" ht="15.75" customHeight="1">
      <c r="C644" s="1"/>
      <c r="D644" s="1"/>
    </row>
    <row r="645" ht="15.75" customHeight="1">
      <c r="C645" s="1"/>
      <c r="D645" s="1"/>
    </row>
    <row r="646" ht="15.75" customHeight="1">
      <c r="C646" s="1"/>
      <c r="D646" s="1"/>
    </row>
    <row r="647" ht="15.75" customHeight="1">
      <c r="C647" s="1"/>
      <c r="D647" s="1"/>
    </row>
    <row r="648" ht="15.75" customHeight="1">
      <c r="C648" s="1"/>
      <c r="D648" s="1"/>
    </row>
    <row r="649" ht="15.75" customHeight="1">
      <c r="C649" s="1"/>
      <c r="D649" s="1"/>
    </row>
    <row r="650" ht="15.75" customHeight="1">
      <c r="C650" s="1"/>
      <c r="D650" s="1"/>
    </row>
    <row r="651" ht="15.75" customHeight="1">
      <c r="C651" s="1"/>
      <c r="D651" s="1"/>
    </row>
    <row r="652" ht="15.75" customHeight="1">
      <c r="C652" s="1"/>
      <c r="D652" s="1"/>
    </row>
    <row r="653" ht="15.75" customHeight="1">
      <c r="C653" s="1"/>
      <c r="D653" s="1"/>
    </row>
    <row r="654" ht="15.75" customHeight="1">
      <c r="C654" s="1"/>
      <c r="D654" s="1"/>
    </row>
    <row r="655" ht="15.75" customHeight="1">
      <c r="C655" s="1"/>
      <c r="D655" s="1"/>
    </row>
    <row r="656" ht="15.75" customHeight="1">
      <c r="C656" s="1"/>
      <c r="D656" s="1"/>
    </row>
    <row r="657" ht="15.75" customHeight="1">
      <c r="C657" s="1"/>
      <c r="D657" s="1"/>
    </row>
    <row r="658" ht="15.75" customHeight="1">
      <c r="C658" s="1"/>
      <c r="D658" s="1"/>
    </row>
    <row r="659" ht="15.75" customHeight="1">
      <c r="C659" s="1"/>
      <c r="D659" s="1"/>
    </row>
    <row r="660" ht="15.75" customHeight="1">
      <c r="C660" s="1"/>
      <c r="D660" s="1"/>
    </row>
    <row r="661" ht="15.75" customHeight="1">
      <c r="C661" s="1"/>
      <c r="D661" s="1"/>
    </row>
    <row r="662" ht="15.75" customHeight="1">
      <c r="C662" s="1"/>
      <c r="D662" s="1"/>
    </row>
    <row r="663" ht="15.75" customHeight="1">
      <c r="C663" s="1"/>
      <c r="D663" s="1"/>
    </row>
    <row r="664" ht="15.75" customHeight="1">
      <c r="C664" s="1"/>
      <c r="D664" s="1"/>
    </row>
    <row r="665" ht="15.75" customHeight="1">
      <c r="C665" s="1"/>
      <c r="D665" s="1"/>
    </row>
    <row r="666" ht="15.75" customHeight="1">
      <c r="C666" s="1"/>
      <c r="D666" s="1"/>
    </row>
    <row r="667" ht="15.75" customHeight="1">
      <c r="C667" s="1"/>
      <c r="D667" s="1"/>
    </row>
    <row r="668" ht="15.75" customHeight="1">
      <c r="C668" s="1"/>
      <c r="D668" s="1"/>
    </row>
    <row r="669" ht="15.75" customHeight="1">
      <c r="C669" s="1"/>
      <c r="D669" s="1"/>
    </row>
    <row r="670" ht="15.75" customHeight="1">
      <c r="C670" s="1"/>
      <c r="D670" s="1"/>
    </row>
    <row r="671" ht="15.75" customHeight="1">
      <c r="C671" s="1"/>
      <c r="D671" s="1"/>
    </row>
    <row r="672" ht="15.75" customHeight="1">
      <c r="C672" s="1"/>
      <c r="D672" s="1"/>
    </row>
    <row r="673" ht="15.75" customHeight="1">
      <c r="C673" s="1"/>
      <c r="D673" s="1"/>
    </row>
    <row r="674" ht="15.75" customHeight="1">
      <c r="C674" s="1"/>
      <c r="D674" s="1"/>
    </row>
    <row r="675" ht="15.75" customHeight="1">
      <c r="C675" s="1"/>
      <c r="D675" s="1"/>
    </row>
    <row r="676" ht="15.75" customHeight="1">
      <c r="C676" s="1"/>
      <c r="D676" s="1"/>
    </row>
    <row r="677" ht="15.75" customHeight="1">
      <c r="C677" s="1"/>
      <c r="D677" s="1"/>
    </row>
    <row r="678" ht="15.75" customHeight="1">
      <c r="C678" s="1"/>
      <c r="D678" s="1"/>
    </row>
    <row r="679" ht="15.75" customHeight="1">
      <c r="C679" s="1"/>
      <c r="D679" s="1"/>
    </row>
    <row r="680" ht="15.75" customHeight="1">
      <c r="C680" s="1"/>
      <c r="D680" s="1"/>
    </row>
    <row r="681" ht="15.75" customHeight="1">
      <c r="C681" s="1"/>
      <c r="D681" s="1"/>
    </row>
    <row r="682" ht="15.75" customHeight="1">
      <c r="C682" s="1"/>
      <c r="D682" s="1"/>
    </row>
    <row r="683" ht="15.75" customHeight="1">
      <c r="C683" s="1"/>
      <c r="D683" s="1"/>
    </row>
    <row r="684" ht="15.75" customHeight="1">
      <c r="C684" s="1"/>
      <c r="D684" s="1"/>
    </row>
    <row r="685" ht="15.75" customHeight="1">
      <c r="C685" s="1"/>
      <c r="D685" s="1"/>
    </row>
    <row r="686" ht="15.75" customHeight="1">
      <c r="C686" s="1"/>
      <c r="D686" s="1"/>
    </row>
    <row r="687" ht="15.75" customHeight="1">
      <c r="C687" s="1"/>
      <c r="D687" s="1"/>
    </row>
    <row r="688" ht="15.75" customHeight="1">
      <c r="C688" s="1"/>
      <c r="D688" s="1"/>
    </row>
    <row r="689" ht="15.75" customHeight="1">
      <c r="C689" s="1"/>
      <c r="D689" s="1"/>
    </row>
    <row r="690" ht="15.75" customHeight="1">
      <c r="C690" s="1"/>
      <c r="D690" s="1"/>
    </row>
    <row r="691" ht="15.75" customHeight="1">
      <c r="C691" s="1"/>
      <c r="D691" s="1"/>
    </row>
    <row r="692" ht="15.75" customHeight="1">
      <c r="C692" s="1"/>
      <c r="D692" s="1"/>
    </row>
    <row r="693" ht="15.75" customHeight="1">
      <c r="C693" s="1"/>
      <c r="D693" s="1"/>
    </row>
    <row r="694" ht="15.75" customHeight="1">
      <c r="C694" s="1"/>
      <c r="D694" s="1"/>
    </row>
    <row r="695" ht="15.75" customHeight="1">
      <c r="C695" s="1"/>
      <c r="D695" s="1"/>
    </row>
    <row r="696" ht="15.75" customHeight="1">
      <c r="C696" s="1"/>
      <c r="D696" s="1"/>
    </row>
    <row r="697" ht="15.75" customHeight="1">
      <c r="C697" s="1"/>
      <c r="D697" s="1"/>
    </row>
    <row r="698" ht="15.75" customHeight="1">
      <c r="C698" s="1"/>
      <c r="D698" s="1"/>
    </row>
    <row r="699" ht="15.75" customHeight="1">
      <c r="C699" s="1"/>
      <c r="D699" s="1"/>
    </row>
    <row r="700" ht="15.75" customHeight="1">
      <c r="C700" s="1"/>
      <c r="D700" s="1"/>
    </row>
    <row r="701" ht="15.75" customHeight="1">
      <c r="C701" s="1"/>
      <c r="D701" s="1"/>
    </row>
    <row r="702" ht="15.75" customHeight="1">
      <c r="C702" s="1"/>
      <c r="D702" s="1"/>
    </row>
    <row r="703" ht="15.75" customHeight="1">
      <c r="C703" s="1"/>
      <c r="D703" s="1"/>
    </row>
    <row r="704" ht="15.75" customHeight="1">
      <c r="C704" s="1"/>
      <c r="D704" s="1"/>
    </row>
    <row r="705" ht="15.75" customHeight="1">
      <c r="C705" s="1"/>
      <c r="D705" s="1"/>
    </row>
    <row r="706" ht="15.75" customHeight="1">
      <c r="C706" s="1"/>
      <c r="D706" s="1"/>
    </row>
    <row r="707" ht="15.75" customHeight="1">
      <c r="C707" s="1"/>
      <c r="D707" s="1"/>
    </row>
    <row r="708" ht="15.75" customHeight="1">
      <c r="C708" s="1"/>
      <c r="D708" s="1"/>
    </row>
    <row r="709" ht="15.75" customHeight="1">
      <c r="C709" s="1"/>
      <c r="D709" s="1"/>
    </row>
    <row r="710" ht="15.75" customHeight="1">
      <c r="C710" s="1"/>
      <c r="D710" s="1"/>
    </row>
    <row r="711" ht="15.75" customHeight="1">
      <c r="C711" s="1"/>
      <c r="D711" s="1"/>
    </row>
    <row r="712" ht="15.75" customHeight="1">
      <c r="C712" s="1"/>
      <c r="D712" s="1"/>
    </row>
    <row r="713" ht="15.75" customHeight="1">
      <c r="C713" s="1"/>
      <c r="D713" s="1"/>
    </row>
    <row r="714" ht="15.75" customHeight="1">
      <c r="C714" s="1"/>
      <c r="D714" s="1"/>
    </row>
    <row r="715" ht="15.75" customHeight="1">
      <c r="C715" s="1"/>
      <c r="D715" s="1"/>
    </row>
    <row r="716" ht="15.75" customHeight="1">
      <c r="C716" s="1"/>
      <c r="D716" s="1"/>
    </row>
    <row r="717" ht="15.75" customHeight="1">
      <c r="C717" s="1"/>
      <c r="D717" s="1"/>
    </row>
    <row r="718" ht="15.75" customHeight="1">
      <c r="C718" s="1"/>
      <c r="D718" s="1"/>
    </row>
    <row r="719" ht="15.75" customHeight="1">
      <c r="C719" s="1"/>
      <c r="D719" s="1"/>
    </row>
    <row r="720" ht="15.75" customHeight="1">
      <c r="C720" s="1"/>
      <c r="D720" s="1"/>
    </row>
    <row r="721" ht="15.75" customHeight="1">
      <c r="C721" s="1"/>
      <c r="D721" s="1"/>
    </row>
    <row r="722" ht="15.75" customHeight="1">
      <c r="C722" s="1"/>
      <c r="D722" s="1"/>
    </row>
    <row r="723" ht="15.75" customHeight="1">
      <c r="C723" s="1"/>
      <c r="D723" s="1"/>
    </row>
    <row r="724" ht="15.75" customHeight="1">
      <c r="C724" s="1"/>
      <c r="D724" s="1"/>
    </row>
    <row r="725" ht="15.75" customHeight="1">
      <c r="C725" s="1"/>
      <c r="D725" s="1"/>
    </row>
    <row r="726" ht="15.75" customHeight="1">
      <c r="C726" s="1"/>
      <c r="D726" s="1"/>
    </row>
    <row r="727" ht="15.75" customHeight="1">
      <c r="C727" s="1"/>
      <c r="D727" s="1"/>
    </row>
    <row r="728" ht="15.75" customHeight="1">
      <c r="C728" s="1"/>
      <c r="D728" s="1"/>
    </row>
    <row r="729" ht="15.75" customHeight="1">
      <c r="C729" s="1"/>
      <c r="D729" s="1"/>
    </row>
    <row r="730" ht="15.75" customHeight="1">
      <c r="C730" s="1"/>
      <c r="D730" s="1"/>
    </row>
    <row r="731" ht="15.75" customHeight="1">
      <c r="C731" s="1"/>
      <c r="D731" s="1"/>
    </row>
    <row r="732" ht="15.75" customHeight="1">
      <c r="C732" s="1"/>
      <c r="D732" s="1"/>
    </row>
    <row r="733" ht="15.75" customHeight="1">
      <c r="C733" s="1"/>
      <c r="D733" s="1"/>
    </row>
    <row r="734" ht="15.75" customHeight="1">
      <c r="C734" s="1"/>
      <c r="D734" s="1"/>
    </row>
    <row r="735" ht="15.75" customHeight="1">
      <c r="C735" s="1"/>
      <c r="D735" s="1"/>
    </row>
    <row r="736" ht="15.75" customHeight="1">
      <c r="C736" s="1"/>
      <c r="D736" s="1"/>
    </row>
    <row r="737" ht="15.75" customHeight="1">
      <c r="C737" s="1"/>
      <c r="D737" s="1"/>
    </row>
    <row r="738" ht="15.75" customHeight="1">
      <c r="C738" s="1"/>
      <c r="D738" s="1"/>
    </row>
    <row r="739" ht="15.75" customHeight="1">
      <c r="C739" s="1"/>
      <c r="D739" s="1"/>
    </row>
    <row r="740" ht="15.75" customHeight="1">
      <c r="C740" s="1"/>
      <c r="D740" s="1"/>
    </row>
    <row r="741" ht="15.75" customHeight="1">
      <c r="C741" s="1"/>
      <c r="D741" s="1"/>
    </row>
    <row r="742" ht="15.75" customHeight="1">
      <c r="C742" s="1"/>
      <c r="D742" s="1"/>
    </row>
    <row r="743" ht="15.75" customHeight="1">
      <c r="C743" s="1"/>
      <c r="D743" s="1"/>
    </row>
    <row r="744" ht="15.75" customHeight="1">
      <c r="C744" s="1"/>
      <c r="D744" s="1"/>
    </row>
    <row r="745" ht="15.75" customHeight="1">
      <c r="C745" s="1"/>
      <c r="D745" s="1"/>
    </row>
    <row r="746" ht="15.75" customHeight="1">
      <c r="C746" s="1"/>
      <c r="D746" s="1"/>
    </row>
    <row r="747" ht="15.75" customHeight="1">
      <c r="C747" s="1"/>
      <c r="D747" s="1"/>
    </row>
    <row r="748" ht="15.75" customHeight="1">
      <c r="C748" s="1"/>
      <c r="D748" s="1"/>
    </row>
    <row r="749" ht="15.75" customHeight="1">
      <c r="C749" s="1"/>
      <c r="D749" s="1"/>
    </row>
    <row r="750" ht="15.75" customHeight="1">
      <c r="C750" s="1"/>
      <c r="D750" s="1"/>
    </row>
    <row r="751" ht="15.75" customHeight="1">
      <c r="C751" s="1"/>
      <c r="D751" s="1"/>
    </row>
    <row r="752" ht="15.75" customHeight="1">
      <c r="C752" s="1"/>
      <c r="D752" s="1"/>
    </row>
    <row r="753" ht="15.75" customHeight="1">
      <c r="C753" s="1"/>
      <c r="D753" s="1"/>
    </row>
    <row r="754" ht="15.75" customHeight="1">
      <c r="C754" s="1"/>
      <c r="D754" s="1"/>
    </row>
    <row r="755" ht="15.75" customHeight="1">
      <c r="C755" s="1"/>
      <c r="D755" s="1"/>
    </row>
    <row r="756" ht="15.75" customHeight="1">
      <c r="C756" s="1"/>
      <c r="D756" s="1"/>
    </row>
    <row r="757" ht="15.75" customHeight="1">
      <c r="C757" s="1"/>
      <c r="D757" s="1"/>
    </row>
    <row r="758" ht="15.75" customHeight="1">
      <c r="C758" s="1"/>
      <c r="D758" s="1"/>
    </row>
    <row r="759" ht="15.75" customHeight="1">
      <c r="C759" s="1"/>
      <c r="D759" s="1"/>
    </row>
    <row r="760" ht="15.75" customHeight="1">
      <c r="C760" s="1"/>
      <c r="D760" s="1"/>
    </row>
    <row r="761" ht="15.75" customHeight="1">
      <c r="C761" s="1"/>
      <c r="D761" s="1"/>
    </row>
    <row r="762" ht="15.75" customHeight="1">
      <c r="C762" s="1"/>
      <c r="D762" s="1"/>
    </row>
    <row r="763" ht="15.75" customHeight="1">
      <c r="C763" s="1"/>
      <c r="D763" s="1"/>
    </row>
    <row r="764" ht="15.75" customHeight="1">
      <c r="C764" s="1"/>
      <c r="D764" s="1"/>
    </row>
    <row r="765" ht="15.75" customHeight="1">
      <c r="C765" s="1"/>
      <c r="D765" s="1"/>
    </row>
    <row r="766" ht="15.75" customHeight="1">
      <c r="C766" s="1"/>
      <c r="D766" s="1"/>
    </row>
    <row r="767" ht="15.75" customHeight="1">
      <c r="C767" s="1"/>
      <c r="D767" s="1"/>
    </row>
    <row r="768" ht="15.75" customHeight="1">
      <c r="C768" s="1"/>
      <c r="D768" s="1"/>
    </row>
    <row r="769" ht="15.75" customHeight="1">
      <c r="C769" s="1"/>
      <c r="D769" s="1"/>
    </row>
    <row r="770" ht="15.75" customHeight="1">
      <c r="C770" s="1"/>
      <c r="D770" s="1"/>
    </row>
    <row r="771" ht="15.75" customHeight="1">
      <c r="C771" s="1"/>
      <c r="D771" s="1"/>
    </row>
    <row r="772" ht="15.75" customHeight="1">
      <c r="C772" s="1"/>
      <c r="D772" s="1"/>
    </row>
    <row r="773" ht="15.75" customHeight="1">
      <c r="C773" s="1"/>
      <c r="D773" s="1"/>
    </row>
    <row r="774" ht="15.75" customHeight="1">
      <c r="C774" s="1"/>
      <c r="D774" s="1"/>
    </row>
    <row r="775" ht="15.75" customHeight="1">
      <c r="C775" s="1"/>
      <c r="D775" s="1"/>
    </row>
    <row r="776" ht="15.75" customHeight="1">
      <c r="C776" s="1"/>
      <c r="D776" s="1"/>
    </row>
    <row r="777" ht="15.75" customHeight="1">
      <c r="C777" s="1"/>
      <c r="D777" s="1"/>
    </row>
    <row r="778" ht="15.75" customHeight="1">
      <c r="C778" s="1"/>
      <c r="D778" s="1"/>
    </row>
    <row r="779" ht="15.75" customHeight="1">
      <c r="C779" s="1"/>
      <c r="D779" s="1"/>
    </row>
    <row r="780" ht="15.75" customHeight="1">
      <c r="C780" s="1"/>
      <c r="D780" s="1"/>
    </row>
    <row r="781" ht="15.75" customHeight="1">
      <c r="C781" s="1"/>
      <c r="D781" s="1"/>
    </row>
    <row r="782" ht="15.75" customHeight="1">
      <c r="C782" s="1"/>
      <c r="D782" s="1"/>
    </row>
    <row r="783" ht="15.75" customHeight="1">
      <c r="C783" s="1"/>
      <c r="D783" s="1"/>
    </row>
    <row r="784" ht="15.75" customHeight="1">
      <c r="C784" s="1"/>
      <c r="D784" s="1"/>
    </row>
    <row r="785" ht="15.75" customHeight="1">
      <c r="C785" s="1"/>
      <c r="D785" s="1"/>
    </row>
    <row r="786" ht="15.75" customHeight="1">
      <c r="C786" s="1"/>
      <c r="D786" s="1"/>
    </row>
    <row r="787" ht="15.75" customHeight="1">
      <c r="C787" s="1"/>
      <c r="D787" s="1"/>
    </row>
    <row r="788" ht="15.75" customHeight="1">
      <c r="C788" s="1"/>
      <c r="D788" s="1"/>
    </row>
    <row r="789" ht="15.75" customHeight="1">
      <c r="C789" s="1"/>
      <c r="D789" s="1"/>
    </row>
    <row r="790" ht="15.75" customHeight="1">
      <c r="C790" s="1"/>
      <c r="D790" s="1"/>
    </row>
    <row r="791" ht="15.75" customHeight="1">
      <c r="C791" s="1"/>
      <c r="D791" s="1"/>
    </row>
    <row r="792" ht="15.75" customHeight="1">
      <c r="C792" s="1"/>
      <c r="D792" s="1"/>
    </row>
    <row r="793" ht="15.75" customHeight="1">
      <c r="C793" s="1"/>
      <c r="D793" s="1"/>
    </row>
    <row r="794" ht="15.75" customHeight="1">
      <c r="C794" s="1"/>
      <c r="D794" s="1"/>
    </row>
    <row r="795" ht="15.75" customHeight="1">
      <c r="C795" s="1"/>
      <c r="D795" s="1"/>
    </row>
    <row r="796" ht="15.75" customHeight="1">
      <c r="C796" s="1"/>
      <c r="D796" s="1"/>
    </row>
    <row r="797" ht="15.75" customHeight="1">
      <c r="C797" s="1"/>
      <c r="D797" s="1"/>
    </row>
    <row r="798" ht="15.75" customHeight="1">
      <c r="C798" s="1"/>
      <c r="D798" s="1"/>
    </row>
    <row r="799" ht="15.75" customHeight="1">
      <c r="C799" s="1"/>
      <c r="D799" s="1"/>
    </row>
    <row r="800" ht="15.75" customHeight="1">
      <c r="C800" s="1"/>
      <c r="D800" s="1"/>
    </row>
    <row r="801" ht="15.75" customHeight="1">
      <c r="C801" s="1"/>
      <c r="D801" s="1"/>
    </row>
    <row r="802" ht="15.75" customHeight="1">
      <c r="C802" s="1"/>
      <c r="D802" s="1"/>
    </row>
    <row r="803" ht="15.75" customHeight="1">
      <c r="C803" s="1"/>
      <c r="D803" s="1"/>
    </row>
    <row r="804" ht="15.75" customHeight="1">
      <c r="C804" s="1"/>
      <c r="D804" s="1"/>
    </row>
    <row r="805" ht="15.75" customHeight="1">
      <c r="C805" s="1"/>
      <c r="D805" s="1"/>
    </row>
    <row r="806" ht="15.75" customHeight="1">
      <c r="C806" s="1"/>
      <c r="D806" s="1"/>
    </row>
    <row r="807" ht="15.75" customHeight="1">
      <c r="C807" s="1"/>
      <c r="D807" s="1"/>
    </row>
    <row r="808" ht="15.75" customHeight="1">
      <c r="C808" s="1"/>
      <c r="D808" s="1"/>
    </row>
    <row r="809" ht="15.75" customHeight="1">
      <c r="C809" s="1"/>
      <c r="D809" s="1"/>
    </row>
    <row r="810" ht="15.75" customHeight="1">
      <c r="C810" s="1"/>
      <c r="D810" s="1"/>
    </row>
    <row r="811" ht="15.75" customHeight="1">
      <c r="C811" s="1"/>
      <c r="D811" s="1"/>
    </row>
    <row r="812" ht="15.75" customHeight="1">
      <c r="C812" s="1"/>
      <c r="D812" s="1"/>
    </row>
    <row r="813" ht="15.75" customHeight="1">
      <c r="C813" s="1"/>
      <c r="D813" s="1"/>
    </row>
    <row r="814" ht="15.75" customHeight="1">
      <c r="C814" s="1"/>
      <c r="D814" s="1"/>
    </row>
    <row r="815" ht="15.75" customHeight="1">
      <c r="C815" s="1"/>
      <c r="D815" s="1"/>
    </row>
    <row r="816" ht="15.75" customHeight="1">
      <c r="C816" s="1"/>
      <c r="D816" s="1"/>
    </row>
    <row r="817" ht="15.75" customHeight="1">
      <c r="C817" s="1"/>
      <c r="D817" s="1"/>
    </row>
    <row r="818" ht="15.75" customHeight="1">
      <c r="C818" s="1"/>
      <c r="D818" s="1"/>
    </row>
    <row r="819" ht="15.75" customHeight="1">
      <c r="C819" s="1"/>
      <c r="D819" s="1"/>
    </row>
    <row r="820" ht="15.75" customHeight="1">
      <c r="C820" s="1"/>
      <c r="D820" s="1"/>
    </row>
    <row r="821" ht="15.75" customHeight="1">
      <c r="C821" s="1"/>
      <c r="D821" s="1"/>
    </row>
    <row r="822" ht="15.75" customHeight="1">
      <c r="C822" s="1"/>
      <c r="D822" s="1"/>
    </row>
    <row r="823" ht="15.75" customHeight="1">
      <c r="C823" s="1"/>
      <c r="D823" s="1"/>
    </row>
    <row r="824" ht="15.75" customHeight="1">
      <c r="C824" s="1"/>
      <c r="D824" s="1"/>
    </row>
    <row r="825" ht="15.75" customHeight="1">
      <c r="C825" s="1"/>
      <c r="D825" s="1"/>
    </row>
    <row r="826" ht="15.75" customHeight="1">
      <c r="C826" s="1"/>
      <c r="D826" s="1"/>
    </row>
    <row r="827" ht="15.75" customHeight="1">
      <c r="C827" s="1"/>
      <c r="D827" s="1"/>
    </row>
    <row r="828" ht="15.75" customHeight="1">
      <c r="C828" s="1"/>
      <c r="D828" s="1"/>
    </row>
    <row r="829" ht="15.75" customHeight="1">
      <c r="C829" s="1"/>
      <c r="D829" s="1"/>
    </row>
    <row r="830" ht="15.75" customHeight="1">
      <c r="C830" s="1"/>
      <c r="D830" s="1"/>
    </row>
    <row r="831" ht="15.75" customHeight="1">
      <c r="C831" s="1"/>
      <c r="D831" s="1"/>
    </row>
    <row r="832" ht="15.75" customHeight="1">
      <c r="C832" s="1"/>
      <c r="D832" s="1"/>
    </row>
    <row r="833" ht="15.75" customHeight="1">
      <c r="C833" s="1"/>
      <c r="D833" s="1"/>
    </row>
    <row r="834" ht="15.75" customHeight="1">
      <c r="C834" s="1"/>
      <c r="D834" s="1"/>
    </row>
    <row r="835" ht="15.75" customHeight="1">
      <c r="C835" s="1"/>
      <c r="D835" s="1"/>
    </row>
    <row r="836" ht="15.75" customHeight="1">
      <c r="C836" s="1"/>
      <c r="D836" s="1"/>
    </row>
    <row r="837" ht="15.75" customHeight="1">
      <c r="C837" s="1"/>
      <c r="D837" s="1"/>
    </row>
    <row r="838" ht="15.75" customHeight="1">
      <c r="C838" s="1"/>
      <c r="D838" s="1"/>
    </row>
    <row r="839" ht="15.75" customHeight="1">
      <c r="C839" s="1"/>
      <c r="D839" s="1"/>
    </row>
    <row r="840" ht="15.75" customHeight="1">
      <c r="C840" s="1"/>
      <c r="D840" s="1"/>
    </row>
    <row r="841" ht="15.75" customHeight="1">
      <c r="C841" s="1"/>
      <c r="D841" s="1"/>
    </row>
    <row r="842" ht="15.75" customHeight="1">
      <c r="C842" s="1"/>
      <c r="D842" s="1"/>
    </row>
    <row r="843" ht="15.75" customHeight="1">
      <c r="C843" s="1"/>
      <c r="D843" s="1"/>
    </row>
    <row r="844" ht="15.75" customHeight="1">
      <c r="C844" s="1"/>
      <c r="D844" s="1"/>
    </row>
    <row r="845" ht="15.75" customHeight="1">
      <c r="C845" s="1"/>
      <c r="D845" s="1"/>
    </row>
    <row r="846" ht="15.75" customHeight="1">
      <c r="C846" s="1"/>
      <c r="D846" s="1"/>
    </row>
    <row r="847" ht="15.75" customHeight="1">
      <c r="C847" s="1"/>
      <c r="D847" s="1"/>
    </row>
    <row r="848" ht="15.75" customHeight="1">
      <c r="C848" s="1"/>
      <c r="D848" s="1"/>
    </row>
    <row r="849" ht="15.75" customHeight="1">
      <c r="C849" s="1"/>
      <c r="D849" s="1"/>
    </row>
    <row r="850" ht="15.75" customHeight="1">
      <c r="C850" s="1"/>
      <c r="D850" s="1"/>
    </row>
    <row r="851" ht="15.75" customHeight="1">
      <c r="C851" s="1"/>
      <c r="D851" s="1"/>
    </row>
    <row r="852" ht="15.75" customHeight="1">
      <c r="C852" s="1"/>
      <c r="D852" s="1"/>
    </row>
    <row r="853" ht="15.75" customHeight="1">
      <c r="C853" s="1"/>
      <c r="D853" s="1"/>
    </row>
    <row r="854" ht="15.75" customHeight="1">
      <c r="C854" s="1"/>
      <c r="D854" s="1"/>
    </row>
    <row r="855" ht="15.75" customHeight="1">
      <c r="C855" s="1"/>
      <c r="D855" s="1"/>
    </row>
    <row r="856" ht="15.75" customHeight="1">
      <c r="C856" s="1"/>
      <c r="D856" s="1"/>
    </row>
    <row r="857" ht="15.75" customHeight="1">
      <c r="C857" s="1"/>
      <c r="D857" s="1"/>
    </row>
    <row r="858" ht="15.75" customHeight="1">
      <c r="C858" s="1"/>
      <c r="D858" s="1"/>
    </row>
    <row r="859" ht="15.75" customHeight="1">
      <c r="C859" s="1"/>
      <c r="D859" s="1"/>
    </row>
    <row r="860" ht="15.75" customHeight="1">
      <c r="C860" s="1"/>
      <c r="D860" s="1"/>
    </row>
    <row r="861" ht="15.75" customHeight="1">
      <c r="C861" s="1"/>
      <c r="D861" s="1"/>
    </row>
    <row r="862" ht="15.75" customHeight="1">
      <c r="C862" s="1"/>
      <c r="D862" s="1"/>
    </row>
    <row r="863" ht="15.75" customHeight="1">
      <c r="C863" s="1"/>
      <c r="D863" s="1"/>
    </row>
    <row r="864" ht="15.75" customHeight="1">
      <c r="C864" s="1"/>
      <c r="D864" s="1"/>
    </row>
    <row r="865" ht="15.75" customHeight="1">
      <c r="C865" s="1"/>
      <c r="D865" s="1"/>
    </row>
    <row r="866" ht="15.75" customHeight="1">
      <c r="C866" s="1"/>
      <c r="D866" s="1"/>
    </row>
    <row r="867" ht="15.75" customHeight="1">
      <c r="C867" s="1"/>
      <c r="D867" s="1"/>
    </row>
    <row r="868" ht="15.75" customHeight="1">
      <c r="C868" s="1"/>
      <c r="D868" s="1"/>
    </row>
    <row r="869" ht="15.75" customHeight="1">
      <c r="C869" s="1"/>
      <c r="D869" s="1"/>
    </row>
    <row r="870" ht="15.75" customHeight="1">
      <c r="C870" s="1"/>
      <c r="D870" s="1"/>
    </row>
    <row r="871" ht="15.75" customHeight="1">
      <c r="C871" s="1"/>
      <c r="D871" s="1"/>
    </row>
    <row r="872" ht="15.75" customHeight="1">
      <c r="C872" s="1"/>
      <c r="D872" s="1"/>
    </row>
    <row r="873" ht="15.75" customHeight="1">
      <c r="C873" s="1"/>
      <c r="D873" s="1"/>
    </row>
    <row r="874" ht="15.75" customHeight="1">
      <c r="C874" s="1"/>
      <c r="D874" s="1"/>
    </row>
    <row r="875" ht="15.75" customHeight="1">
      <c r="C875" s="1"/>
      <c r="D875" s="1"/>
    </row>
    <row r="876" ht="15.75" customHeight="1">
      <c r="C876" s="1"/>
      <c r="D876" s="1"/>
    </row>
    <row r="877" ht="15.75" customHeight="1">
      <c r="C877" s="1"/>
      <c r="D877" s="1"/>
    </row>
    <row r="878" ht="15.75" customHeight="1">
      <c r="C878" s="1"/>
      <c r="D878" s="1"/>
    </row>
    <row r="879" ht="15.75" customHeight="1">
      <c r="C879" s="1"/>
      <c r="D879" s="1"/>
    </row>
    <row r="880" ht="15.75" customHeight="1">
      <c r="C880" s="1"/>
      <c r="D880" s="1"/>
    </row>
    <row r="881" ht="15.75" customHeight="1">
      <c r="C881" s="1"/>
      <c r="D881" s="1"/>
    </row>
    <row r="882" ht="15.75" customHeight="1">
      <c r="C882" s="1"/>
      <c r="D882" s="1"/>
    </row>
    <row r="883" ht="15.75" customHeight="1">
      <c r="C883" s="1"/>
      <c r="D883" s="1"/>
    </row>
    <row r="884" ht="15.75" customHeight="1">
      <c r="C884" s="1"/>
      <c r="D884" s="1"/>
    </row>
    <row r="885" ht="15.75" customHeight="1">
      <c r="C885" s="1"/>
      <c r="D885" s="1"/>
    </row>
    <row r="886" ht="15.75" customHeight="1">
      <c r="C886" s="1"/>
      <c r="D886" s="1"/>
    </row>
    <row r="887" ht="15.75" customHeight="1">
      <c r="C887" s="1"/>
      <c r="D887" s="1"/>
    </row>
    <row r="888" ht="15.75" customHeight="1">
      <c r="C888" s="1"/>
      <c r="D888" s="1"/>
    </row>
    <row r="889" ht="15.75" customHeight="1">
      <c r="C889" s="1"/>
      <c r="D889" s="1"/>
    </row>
    <row r="890" ht="15.75" customHeight="1">
      <c r="C890" s="1"/>
      <c r="D890" s="1"/>
    </row>
    <row r="891" ht="15.75" customHeight="1">
      <c r="C891" s="1"/>
      <c r="D891" s="1"/>
    </row>
    <row r="892" ht="15.75" customHeight="1">
      <c r="C892" s="1"/>
      <c r="D892" s="1"/>
    </row>
    <row r="893" ht="15.75" customHeight="1">
      <c r="C893" s="1"/>
      <c r="D893" s="1"/>
    </row>
    <row r="894" ht="15.75" customHeight="1">
      <c r="C894" s="1"/>
      <c r="D894" s="1"/>
    </row>
    <row r="895" ht="15.75" customHeight="1">
      <c r="C895" s="1"/>
      <c r="D895" s="1"/>
    </row>
    <row r="896" ht="15.75" customHeight="1">
      <c r="C896" s="1"/>
      <c r="D896" s="1"/>
    </row>
    <row r="897" ht="15.75" customHeight="1">
      <c r="C897" s="1"/>
      <c r="D897" s="1"/>
    </row>
    <row r="898" ht="15.75" customHeight="1">
      <c r="C898" s="1"/>
      <c r="D898" s="1"/>
    </row>
    <row r="899" ht="15.75" customHeight="1">
      <c r="C899" s="1"/>
      <c r="D899" s="1"/>
    </row>
    <row r="900" ht="15.75" customHeight="1">
      <c r="C900" s="1"/>
      <c r="D900" s="1"/>
    </row>
    <row r="901" ht="15.75" customHeight="1">
      <c r="C901" s="1"/>
      <c r="D901" s="1"/>
    </row>
    <row r="902" ht="15.75" customHeight="1">
      <c r="C902" s="1"/>
      <c r="D902" s="1"/>
    </row>
    <row r="903" ht="15.75" customHeight="1">
      <c r="C903" s="1"/>
      <c r="D903" s="1"/>
    </row>
    <row r="904" ht="15.75" customHeight="1">
      <c r="C904" s="1"/>
      <c r="D904" s="1"/>
    </row>
    <row r="905" ht="15.75" customHeight="1">
      <c r="C905" s="1"/>
      <c r="D905" s="1"/>
    </row>
    <row r="906" ht="15.75" customHeight="1">
      <c r="C906" s="1"/>
      <c r="D906" s="1"/>
    </row>
    <row r="907" ht="15.75" customHeight="1">
      <c r="C907" s="1"/>
      <c r="D907" s="1"/>
    </row>
    <row r="908" ht="15.75" customHeight="1">
      <c r="C908" s="1"/>
      <c r="D908" s="1"/>
    </row>
    <row r="909" ht="15.75" customHeight="1">
      <c r="C909" s="1"/>
      <c r="D909" s="1"/>
    </row>
    <row r="910" ht="15.75" customHeight="1">
      <c r="C910" s="1"/>
      <c r="D910" s="1"/>
    </row>
    <row r="911" ht="15.75" customHeight="1">
      <c r="C911" s="1"/>
      <c r="D911" s="1"/>
    </row>
    <row r="912" ht="15.75" customHeight="1">
      <c r="C912" s="1"/>
      <c r="D912" s="1"/>
    </row>
    <row r="913" ht="15.75" customHeight="1">
      <c r="C913" s="1"/>
      <c r="D913" s="1"/>
    </row>
    <row r="914" ht="15.75" customHeight="1">
      <c r="C914" s="1"/>
      <c r="D914" s="1"/>
    </row>
    <row r="915" ht="15.75" customHeight="1">
      <c r="C915" s="1"/>
      <c r="D915" s="1"/>
    </row>
    <row r="916" ht="15.75" customHeight="1">
      <c r="C916" s="1"/>
      <c r="D916" s="1"/>
    </row>
    <row r="917" ht="15.75" customHeight="1">
      <c r="C917" s="1"/>
      <c r="D917" s="1"/>
    </row>
    <row r="918" ht="15.75" customHeight="1">
      <c r="C918" s="1"/>
      <c r="D918" s="1"/>
    </row>
    <row r="919" ht="15.75" customHeight="1">
      <c r="C919" s="1"/>
      <c r="D919" s="1"/>
    </row>
    <row r="920" ht="15.75" customHeight="1">
      <c r="C920" s="1"/>
      <c r="D920" s="1"/>
    </row>
    <row r="921" ht="15.75" customHeight="1">
      <c r="C921" s="1"/>
      <c r="D921" s="1"/>
    </row>
    <row r="922" ht="15.75" customHeight="1">
      <c r="C922" s="1"/>
      <c r="D922" s="1"/>
    </row>
    <row r="923" ht="15.75" customHeight="1">
      <c r="C923" s="1"/>
      <c r="D923" s="1"/>
    </row>
    <row r="924" ht="15.75" customHeight="1">
      <c r="C924" s="1"/>
      <c r="D924" s="1"/>
    </row>
    <row r="925" ht="15.75" customHeight="1">
      <c r="C925" s="1"/>
      <c r="D925" s="1"/>
    </row>
    <row r="926" ht="15.75" customHeight="1">
      <c r="C926" s="1"/>
      <c r="D926" s="1"/>
    </row>
    <row r="927" ht="15.75" customHeight="1">
      <c r="C927" s="1"/>
      <c r="D927" s="1"/>
    </row>
    <row r="928" ht="15.75" customHeight="1">
      <c r="C928" s="1"/>
      <c r="D928" s="1"/>
    </row>
    <row r="929" ht="15.75" customHeight="1">
      <c r="C929" s="1"/>
      <c r="D929" s="1"/>
    </row>
    <row r="930" ht="15.75" customHeight="1">
      <c r="C930" s="1"/>
      <c r="D930" s="1"/>
    </row>
    <row r="931" ht="15.75" customHeight="1">
      <c r="C931" s="1"/>
      <c r="D931" s="1"/>
    </row>
    <row r="932" ht="15.75" customHeight="1">
      <c r="C932" s="1"/>
      <c r="D932" s="1"/>
    </row>
    <row r="933" ht="15.75" customHeight="1">
      <c r="C933" s="1"/>
      <c r="D933" s="1"/>
    </row>
    <row r="934" ht="15.75" customHeight="1">
      <c r="C934" s="1"/>
      <c r="D934" s="1"/>
    </row>
    <row r="935" ht="15.75" customHeight="1">
      <c r="C935" s="1"/>
      <c r="D935" s="1"/>
    </row>
    <row r="936" ht="15.75" customHeight="1">
      <c r="C936" s="1"/>
      <c r="D936" s="1"/>
    </row>
    <row r="937" ht="15.75" customHeight="1">
      <c r="C937" s="1"/>
      <c r="D937" s="1"/>
    </row>
    <row r="938" ht="15.75" customHeight="1">
      <c r="C938" s="1"/>
      <c r="D938" s="1"/>
    </row>
    <row r="939" ht="15.75" customHeight="1">
      <c r="C939" s="1"/>
      <c r="D939" s="1"/>
    </row>
    <row r="940" ht="15.75" customHeight="1">
      <c r="C940" s="1"/>
      <c r="D940" s="1"/>
    </row>
    <row r="941" ht="15.75" customHeight="1">
      <c r="C941" s="1"/>
      <c r="D941" s="1"/>
    </row>
    <row r="942" ht="15.75" customHeight="1">
      <c r="C942" s="1"/>
      <c r="D942" s="1"/>
    </row>
    <row r="943" ht="15.75" customHeight="1">
      <c r="C943" s="1"/>
      <c r="D943" s="1"/>
    </row>
    <row r="944" ht="15.75" customHeight="1">
      <c r="C944" s="1"/>
      <c r="D944" s="1"/>
    </row>
    <row r="945" ht="15.75" customHeight="1">
      <c r="C945" s="1"/>
      <c r="D945" s="1"/>
    </row>
    <row r="946" ht="15.75" customHeight="1">
      <c r="C946" s="1"/>
      <c r="D946" s="1"/>
    </row>
    <row r="947" ht="15.75" customHeight="1">
      <c r="C947" s="1"/>
      <c r="D947" s="1"/>
    </row>
    <row r="948" ht="15.75" customHeight="1">
      <c r="C948" s="1"/>
      <c r="D948" s="1"/>
    </row>
    <row r="949" ht="15.75" customHeight="1">
      <c r="C949" s="1"/>
      <c r="D949" s="1"/>
    </row>
    <row r="950" ht="15.75" customHeight="1">
      <c r="C950" s="1"/>
      <c r="D950" s="1"/>
    </row>
    <row r="951" ht="15.75" customHeight="1">
      <c r="C951" s="1"/>
      <c r="D951" s="1"/>
    </row>
    <row r="952" ht="15.75" customHeight="1">
      <c r="C952" s="1"/>
      <c r="D952" s="1"/>
    </row>
    <row r="953" ht="15.75" customHeight="1">
      <c r="C953" s="1"/>
      <c r="D953" s="1"/>
    </row>
    <row r="954" ht="15.75" customHeight="1">
      <c r="C954" s="1"/>
      <c r="D954" s="1"/>
    </row>
    <row r="955" ht="15.75" customHeight="1">
      <c r="C955" s="1"/>
      <c r="D955" s="1"/>
    </row>
    <row r="956" ht="15.75" customHeight="1">
      <c r="C956" s="1"/>
      <c r="D956" s="1"/>
    </row>
    <row r="957" ht="15.75" customHeight="1">
      <c r="C957" s="1"/>
      <c r="D957" s="1"/>
    </row>
    <row r="958" ht="15.75" customHeight="1">
      <c r="C958" s="1"/>
      <c r="D958" s="1"/>
    </row>
    <row r="959" ht="15.75" customHeight="1">
      <c r="C959" s="1"/>
      <c r="D959" s="1"/>
    </row>
    <row r="960" ht="15.75" customHeight="1">
      <c r="C960" s="1"/>
      <c r="D960" s="1"/>
    </row>
    <row r="961" ht="15.75" customHeight="1">
      <c r="C961" s="1"/>
      <c r="D961" s="1"/>
    </row>
    <row r="962" ht="15.75" customHeight="1">
      <c r="C962" s="1"/>
      <c r="D962" s="1"/>
    </row>
    <row r="963" ht="15.75" customHeight="1">
      <c r="C963" s="1"/>
      <c r="D963" s="1"/>
    </row>
    <row r="964" ht="15.75" customHeight="1">
      <c r="C964" s="1"/>
      <c r="D964" s="1"/>
    </row>
    <row r="965" ht="15.75" customHeight="1">
      <c r="C965" s="1"/>
      <c r="D965" s="1"/>
    </row>
    <row r="966" ht="15.75" customHeight="1">
      <c r="C966" s="1"/>
      <c r="D966" s="1"/>
    </row>
    <row r="967" ht="15.75" customHeight="1">
      <c r="C967" s="1"/>
      <c r="D967" s="1"/>
    </row>
    <row r="968" ht="15.75" customHeight="1">
      <c r="C968" s="1"/>
      <c r="D968" s="1"/>
    </row>
    <row r="969" ht="15.75" customHeight="1">
      <c r="C969" s="1"/>
      <c r="D969" s="1"/>
    </row>
    <row r="970" ht="15.75" customHeight="1">
      <c r="C970" s="1"/>
      <c r="D970" s="1"/>
    </row>
    <row r="971" ht="15.75" customHeight="1">
      <c r="C971" s="1"/>
      <c r="D971" s="1"/>
    </row>
    <row r="972" ht="15.75" customHeight="1">
      <c r="C972" s="1"/>
      <c r="D972" s="1"/>
    </row>
    <row r="973" ht="15.75" customHeight="1">
      <c r="C973" s="1"/>
      <c r="D973" s="1"/>
    </row>
    <row r="974" ht="15.75" customHeight="1">
      <c r="C974" s="1"/>
      <c r="D974" s="1"/>
    </row>
    <row r="975" ht="15.75" customHeight="1">
      <c r="C975" s="1"/>
      <c r="D975" s="1"/>
    </row>
    <row r="976" ht="15.75" customHeight="1">
      <c r="C976" s="1"/>
      <c r="D976" s="1"/>
    </row>
    <row r="977" ht="15.75" customHeight="1">
      <c r="C977" s="1"/>
      <c r="D977" s="1"/>
    </row>
    <row r="978" ht="15.75" customHeight="1">
      <c r="C978" s="1"/>
      <c r="D978" s="1"/>
    </row>
    <row r="979" ht="15.75" customHeight="1">
      <c r="C979" s="1"/>
      <c r="D979" s="1"/>
    </row>
    <row r="980" ht="15.75" customHeight="1">
      <c r="C980" s="1"/>
      <c r="D980" s="1"/>
    </row>
    <row r="981" ht="15.75" customHeight="1">
      <c r="C981" s="1"/>
      <c r="D981" s="1"/>
    </row>
    <row r="982" ht="15.75" customHeight="1">
      <c r="C982" s="1"/>
      <c r="D982" s="1"/>
    </row>
    <row r="983" ht="15.75" customHeight="1">
      <c r="C983" s="1"/>
      <c r="D983" s="1"/>
    </row>
    <row r="984" ht="15.75" customHeight="1">
      <c r="C984" s="1"/>
      <c r="D984" s="1"/>
    </row>
    <row r="985" ht="15.75" customHeight="1">
      <c r="C985" s="1"/>
      <c r="D985" s="1"/>
    </row>
    <row r="986" ht="15.75" customHeight="1">
      <c r="C986" s="1"/>
      <c r="D986" s="1"/>
    </row>
    <row r="987" ht="15.75" customHeight="1">
      <c r="C987" s="1"/>
      <c r="D987" s="1"/>
    </row>
    <row r="988" ht="15.75" customHeight="1">
      <c r="C988" s="1"/>
      <c r="D988" s="1"/>
    </row>
    <row r="989" ht="15.75" customHeight="1">
      <c r="C989" s="1"/>
      <c r="D989" s="1"/>
    </row>
    <row r="990" ht="15.75" customHeight="1">
      <c r="C990" s="1"/>
      <c r="D990" s="1"/>
    </row>
    <row r="991" ht="15.75" customHeight="1">
      <c r="C991" s="1"/>
      <c r="D991" s="1"/>
    </row>
    <row r="992" ht="15.75" customHeight="1">
      <c r="C992" s="1"/>
      <c r="D992" s="1"/>
    </row>
    <row r="993" ht="15.75" customHeight="1">
      <c r="C993" s="1"/>
      <c r="D993" s="1"/>
    </row>
    <row r="994" ht="15.75" customHeight="1">
      <c r="C994" s="1"/>
      <c r="D994" s="1"/>
    </row>
    <row r="995" ht="15.75" customHeight="1">
      <c r="C995" s="1"/>
      <c r="D995" s="1"/>
    </row>
    <row r="996" ht="15.75" customHeight="1">
      <c r="C996" s="1"/>
      <c r="D996" s="1"/>
    </row>
    <row r="997" ht="15.75" customHeight="1">
      <c r="C997" s="1"/>
      <c r="D997" s="1"/>
    </row>
  </sheetData>
  <mergeCells count="12">
    <mergeCell ref="E62:E63"/>
    <mergeCell ref="E78:E79"/>
    <mergeCell ref="E95:E96"/>
    <mergeCell ref="F112:G112"/>
    <mergeCell ref="F113:G113"/>
    <mergeCell ref="E13:E14"/>
    <mergeCell ref="H13:I13"/>
    <mergeCell ref="H29:I29"/>
    <mergeCell ref="E30:E31"/>
    <mergeCell ref="H46:I46"/>
    <mergeCell ref="E47:E48"/>
    <mergeCell ref="H61:I6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4" width="11.29"/>
    <col customWidth="1" min="5" max="5" width="40.57"/>
    <col customWidth="1" min="6" max="6" width="10.86"/>
    <col customWidth="1" min="7" max="8" width="8.71"/>
    <col customWidth="1" min="9" max="9" width="9.71"/>
    <col customWidth="1" min="10" max="10" width="12.71"/>
    <col customWidth="1" min="11" max="12" width="8.71"/>
    <col customWidth="1" min="13" max="13" width="11.71"/>
    <col customWidth="1" min="14" max="26" width="8.71"/>
  </cols>
  <sheetData>
    <row r="1">
      <c r="C1" s="1"/>
      <c r="D1" s="1"/>
    </row>
    <row r="2">
      <c r="C2" s="1"/>
      <c r="D2" s="1"/>
    </row>
    <row r="3">
      <c r="C3" s="2" t="s">
        <v>0</v>
      </c>
      <c r="D3" s="2" t="s">
        <v>1</v>
      </c>
      <c r="E3" s="3" t="s">
        <v>62</v>
      </c>
      <c r="F3" s="3" t="s">
        <v>3</v>
      </c>
      <c r="G3" s="3" t="s">
        <v>4</v>
      </c>
      <c r="H3" s="3" t="s">
        <v>5</v>
      </c>
      <c r="I3" s="3"/>
      <c r="J3" s="3"/>
      <c r="K3" s="3" t="s">
        <v>14</v>
      </c>
      <c r="L3" s="3" t="s">
        <v>15</v>
      </c>
      <c r="M3" s="3" t="s">
        <v>16</v>
      </c>
    </row>
    <row r="4">
      <c r="C4" s="5">
        <v>45916.0</v>
      </c>
      <c r="D4" s="5">
        <v>45967.0</v>
      </c>
      <c r="E4" s="9" t="s">
        <v>63</v>
      </c>
      <c r="F4" s="7">
        <v>3214.7</v>
      </c>
      <c r="G4" s="7">
        <v>3224.0</v>
      </c>
      <c r="H4" s="7">
        <f t="shared" ref="H4:H9" si="1">G4-F4</f>
        <v>9.3</v>
      </c>
      <c r="I4" s="37">
        <v>400.0</v>
      </c>
      <c r="J4" s="8">
        <f t="shared" ref="J4:J9" si="2">H4*I4</f>
        <v>3720</v>
      </c>
      <c r="K4" s="7">
        <v>1488.0</v>
      </c>
      <c r="L4" s="7"/>
      <c r="M4" s="14">
        <f>K4*L4</f>
        <v>0</v>
      </c>
    </row>
    <row r="5">
      <c r="C5" s="5">
        <v>45931.0</v>
      </c>
      <c r="D5" s="5">
        <v>45961.0</v>
      </c>
      <c r="E5" s="9" t="s">
        <v>63</v>
      </c>
      <c r="F5" s="7">
        <v>3327.0</v>
      </c>
      <c r="G5" s="7">
        <v>3581.0</v>
      </c>
      <c r="H5" s="7">
        <f t="shared" si="1"/>
        <v>254</v>
      </c>
      <c r="I5" s="37">
        <v>400.0</v>
      </c>
      <c r="J5" s="8">
        <f t="shared" si="2"/>
        <v>101600</v>
      </c>
      <c r="K5" s="7">
        <v>3067.0</v>
      </c>
      <c r="L5" s="7"/>
      <c r="M5" s="14"/>
    </row>
    <row r="6">
      <c r="C6" s="5">
        <v>45965.0</v>
      </c>
      <c r="D6" s="5">
        <v>45967.0</v>
      </c>
      <c r="E6" s="9" t="s">
        <v>63</v>
      </c>
      <c r="F6" s="7">
        <v>3581.0</v>
      </c>
      <c r="G6" s="7">
        <v>3607.4</v>
      </c>
      <c r="H6" s="7">
        <f t="shared" si="1"/>
        <v>26.4</v>
      </c>
      <c r="I6" s="37">
        <v>400.0</v>
      </c>
      <c r="J6" s="8">
        <f t="shared" si="2"/>
        <v>10560</v>
      </c>
      <c r="K6" s="7">
        <v>269.0</v>
      </c>
      <c r="L6" s="7"/>
      <c r="M6" s="14"/>
    </row>
    <row r="7">
      <c r="C7" s="5"/>
      <c r="D7" s="5"/>
      <c r="E7" s="9" t="s">
        <v>64</v>
      </c>
      <c r="F7" s="7">
        <v>0.0</v>
      </c>
      <c r="G7" s="7"/>
      <c r="H7" s="7">
        <f t="shared" si="1"/>
        <v>0</v>
      </c>
      <c r="I7" s="37"/>
      <c r="J7" s="8">
        <f t="shared" si="2"/>
        <v>0</v>
      </c>
      <c r="K7" s="7"/>
      <c r="L7" s="7"/>
      <c r="M7" s="14"/>
    </row>
    <row r="8">
      <c r="C8" s="5"/>
      <c r="D8" s="5"/>
      <c r="E8" s="9"/>
      <c r="F8" s="7">
        <v>0.0</v>
      </c>
      <c r="G8" s="7"/>
      <c r="H8" s="7">
        <f t="shared" si="1"/>
        <v>0</v>
      </c>
      <c r="I8" s="37"/>
      <c r="J8" s="8">
        <f t="shared" si="2"/>
        <v>0</v>
      </c>
      <c r="K8" s="7"/>
      <c r="L8" s="7"/>
      <c r="M8" s="14"/>
    </row>
    <row r="9">
      <c r="C9" s="5"/>
      <c r="D9" s="5"/>
      <c r="E9" s="9"/>
      <c r="F9" s="7">
        <v>0.0</v>
      </c>
      <c r="G9" s="7"/>
      <c r="H9" s="7">
        <f t="shared" si="1"/>
        <v>0</v>
      </c>
      <c r="I9" s="37"/>
      <c r="J9" s="8">
        <f t="shared" si="2"/>
        <v>0</v>
      </c>
      <c r="K9" s="7"/>
      <c r="L9" s="7"/>
      <c r="M9" s="14"/>
    </row>
    <row r="10">
      <c r="C10" s="1"/>
      <c r="D10" s="1"/>
      <c r="I10" s="15" t="s">
        <v>11</v>
      </c>
      <c r="J10" s="11">
        <f>SUM(J4:J9)</f>
        <v>115880</v>
      </c>
      <c r="M10" s="16">
        <f>SUM(M4:M9)</f>
        <v>0</v>
      </c>
    </row>
    <row r="11">
      <c r="C11" s="1"/>
      <c r="D11" s="1"/>
    </row>
    <row r="12">
      <c r="C12" s="1"/>
      <c r="D12" s="1"/>
      <c r="H12" s="17" t="s">
        <v>18</v>
      </c>
      <c r="I12" s="18"/>
      <c r="J12" s="19">
        <f>J10-M10</f>
        <v>115880</v>
      </c>
    </row>
    <row r="13">
      <c r="C13" s="1"/>
      <c r="D13" s="1"/>
    </row>
    <row r="14">
      <c r="C14" s="1"/>
      <c r="D14" s="1"/>
      <c r="E14" s="12" t="s">
        <v>12</v>
      </c>
    </row>
    <row r="15">
      <c r="C15" s="1"/>
      <c r="D15" s="1"/>
      <c r="E15" s="13"/>
    </row>
    <row r="16">
      <c r="C16" s="1"/>
      <c r="D16" s="1"/>
    </row>
    <row r="17">
      <c r="C17" s="1"/>
      <c r="D17" s="1"/>
    </row>
    <row r="18">
      <c r="C18" s="1"/>
      <c r="D18" s="1"/>
    </row>
    <row r="19">
      <c r="A19" s="26" t="s">
        <v>27</v>
      </c>
      <c r="C19" s="1"/>
      <c r="D19" s="1"/>
    </row>
    <row r="20">
      <c r="C20" s="1"/>
      <c r="D20" s="1"/>
    </row>
    <row r="21" ht="15.75" customHeight="1">
      <c r="C21" s="2" t="s">
        <v>0</v>
      </c>
      <c r="D21" s="2" t="s">
        <v>1</v>
      </c>
      <c r="E21" s="38" t="s">
        <v>65</v>
      </c>
      <c r="F21" s="3" t="s">
        <v>3</v>
      </c>
      <c r="G21" s="3" t="s">
        <v>4</v>
      </c>
      <c r="H21" s="3" t="s">
        <v>5</v>
      </c>
      <c r="I21" s="3"/>
      <c r="J21" s="3"/>
      <c r="K21" s="3" t="s">
        <v>14</v>
      </c>
      <c r="L21" s="3" t="s">
        <v>15</v>
      </c>
      <c r="M21" s="3" t="s">
        <v>16</v>
      </c>
    </row>
    <row r="22" ht="15.75" customHeight="1">
      <c r="C22" s="54">
        <v>45999.0</v>
      </c>
      <c r="D22" s="22">
        <v>46022.0</v>
      </c>
      <c r="E22" s="6" t="s">
        <v>66</v>
      </c>
      <c r="F22" s="23">
        <v>3812.0</v>
      </c>
      <c r="G22" s="23">
        <v>3957.0</v>
      </c>
      <c r="H22" s="7">
        <f>G22-F22</f>
        <v>145</v>
      </c>
      <c r="I22" s="21">
        <v>400.0</v>
      </c>
      <c r="J22" s="8">
        <f>I22*H22</f>
        <v>58000</v>
      </c>
      <c r="K22" s="23">
        <v>1782.0</v>
      </c>
      <c r="L22" s="7"/>
      <c r="M22" s="14">
        <f t="shared" ref="M22:M24" si="3">K22*L22</f>
        <v>0</v>
      </c>
    </row>
    <row r="23" ht="15.75" customHeight="1">
      <c r="C23" s="22">
        <v>46002.0</v>
      </c>
      <c r="D23" s="22">
        <v>46009.0</v>
      </c>
      <c r="E23" s="6" t="s">
        <v>67</v>
      </c>
      <c r="F23" s="7">
        <v>0.0</v>
      </c>
      <c r="G23" s="7"/>
      <c r="H23" s="23">
        <v>37.19</v>
      </c>
      <c r="I23" s="34">
        <v>187.5</v>
      </c>
      <c r="J23" s="8">
        <f t="shared" ref="J23:J27" si="4">H23*I23</f>
        <v>6973.125</v>
      </c>
      <c r="K23" s="23">
        <v>70.0</v>
      </c>
      <c r="L23" s="7"/>
      <c r="M23" s="14">
        <f t="shared" si="3"/>
        <v>0</v>
      </c>
    </row>
    <row r="24" ht="15.75" customHeight="1">
      <c r="C24" s="22">
        <v>45992.0</v>
      </c>
      <c r="D24" s="55">
        <v>46021.0</v>
      </c>
      <c r="E24" s="6" t="s">
        <v>68</v>
      </c>
      <c r="F24" s="23">
        <v>1043.0</v>
      </c>
      <c r="G24" s="23">
        <v>1170.0</v>
      </c>
      <c r="H24" s="7">
        <f t="shared" ref="H24:H27" si="5">G24-F24</f>
        <v>127</v>
      </c>
      <c r="I24" s="24">
        <v>400.0</v>
      </c>
      <c r="J24" s="8">
        <f t="shared" si="4"/>
        <v>50800</v>
      </c>
      <c r="K24" s="23">
        <v>1895.0</v>
      </c>
      <c r="L24" s="23">
        <v>5.5</v>
      </c>
      <c r="M24" s="14">
        <f t="shared" si="3"/>
        <v>10422.5</v>
      </c>
    </row>
    <row r="25" ht="15.75" customHeight="1">
      <c r="C25" s="5"/>
      <c r="D25" s="5"/>
      <c r="E25" s="9"/>
      <c r="F25" s="7">
        <v>0.0</v>
      </c>
      <c r="G25" s="7"/>
      <c r="H25" s="7">
        <f t="shared" si="5"/>
        <v>0</v>
      </c>
      <c r="I25" s="7"/>
      <c r="J25" s="8">
        <f t="shared" si="4"/>
        <v>0</v>
      </c>
      <c r="K25" s="7"/>
      <c r="L25" s="7"/>
      <c r="M25" s="14"/>
    </row>
    <row r="26" ht="15.75" customHeight="1">
      <c r="C26" s="5"/>
      <c r="D26" s="5"/>
      <c r="E26" s="9"/>
      <c r="F26" s="7">
        <v>0.0</v>
      </c>
      <c r="G26" s="7"/>
      <c r="H26" s="7">
        <f t="shared" si="5"/>
        <v>0</v>
      </c>
      <c r="I26" s="7"/>
      <c r="J26" s="8">
        <f t="shared" si="4"/>
        <v>0</v>
      </c>
      <c r="K26" s="7"/>
      <c r="L26" s="7"/>
      <c r="M26" s="14"/>
    </row>
    <row r="27" ht="15.75" customHeight="1">
      <c r="C27" s="5"/>
      <c r="D27" s="5"/>
      <c r="E27" s="9"/>
      <c r="F27" s="7">
        <v>0.0</v>
      </c>
      <c r="G27" s="7"/>
      <c r="H27" s="7">
        <f t="shared" si="5"/>
        <v>0</v>
      </c>
      <c r="I27" s="7"/>
      <c r="J27" s="8">
        <f t="shared" si="4"/>
        <v>0</v>
      </c>
      <c r="K27" s="7"/>
      <c r="L27" s="7"/>
      <c r="M27" s="14"/>
    </row>
    <row r="28" ht="15.75" customHeight="1">
      <c r="C28" s="1"/>
      <c r="D28" s="1"/>
      <c r="I28" s="15" t="s">
        <v>11</v>
      </c>
      <c r="J28" s="11">
        <f>SUM(J22:J27)</f>
        <v>115773.125</v>
      </c>
      <c r="M28" s="16">
        <f>SUM(M22:M27)</f>
        <v>10422.5</v>
      </c>
    </row>
    <row r="29" ht="15.75" customHeight="1">
      <c r="C29" s="1"/>
      <c r="D29" s="1"/>
    </row>
    <row r="30" ht="15.75" customHeight="1">
      <c r="C30" s="1"/>
      <c r="D30" s="1"/>
      <c r="H30" s="17" t="s">
        <v>18</v>
      </c>
      <c r="I30" s="18"/>
      <c r="J30" s="19">
        <f>J28-M28</f>
        <v>105350.625</v>
      </c>
    </row>
    <row r="31" ht="15.75" customHeight="1">
      <c r="C31" s="1"/>
      <c r="D31" s="1"/>
    </row>
    <row r="32" ht="15.75" customHeight="1">
      <c r="C32" s="1"/>
      <c r="D32" s="1"/>
      <c r="E32" s="12" t="s">
        <v>12</v>
      </c>
    </row>
    <row r="33" ht="15.75" customHeight="1">
      <c r="C33" s="1"/>
      <c r="D33" s="1"/>
      <c r="E33" s="13"/>
    </row>
    <row r="34" ht="15.75" customHeight="1">
      <c r="C34" s="1"/>
      <c r="D34" s="1"/>
    </row>
    <row r="35" ht="15.75" customHeight="1">
      <c r="C35" s="1"/>
      <c r="D35" s="1"/>
    </row>
    <row r="36" ht="15.75" customHeight="1">
      <c r="C36" s="1"/>
      <c r="D36" s="1"/>
    </row>
    <row r="37" ht="15.75" customHeight="1">
      <c r="C37" s="2" t="s">
        <v>0</v>
      </c>
      <c r="D37" s="2" t="s">
        <v>1</v>
      </c>
      <c r="E37" s="3" t="s">
        <v>2</v>
      </c>
      <c r="F37" s="3" t="s">
        <v>3</v>
      </c>
      <c r="G37" s="3" t="s">
        <v>4</v>
      </c>
      <c r="H37" s="3" t="s">
        <v>5</v>
      </c>
      <c r="I37" s="3"/>
      <c r="J37" s="3"/>
      <c r="K37" s="3" t="s">
        <v>14</v>
      </c>
      <c r="L37" s="3" t="s">
        <v>15</v>
      </c>
      <c r="M37" s="3" t="s">
        <v>16</v>
      </c>
    </row>
    <row r="38" ht="15.75" customHeight="1">
      <c r="C38" s="22">
        <v>45958.0</v>
      </c>
      <c r="D38" s="22">
        <v>45989.0</v>
      </c>
      <c r="E38" s="6" t="s">
        <v>69</v>
      </c>
      <c r="F38" s="23">
        <v>8471.3</v>
      </c>
      <c r="G38" s="23">
        <v>8538.5</v>
      </c>
      <c r="H38" s="7">
        <f t="shared" ref="H38:H43" si="6">G38-F38</f>
        <v>67.2</v>
      </c>
      <c r="I38" s="8"/>
      <c r="J38" s="8">
        <f t="shared" ref="J38:J43" si="7">H38*I38</f>
        <v>0</v>
      </c>
      <c r="K38" s="7"/>
      <c r="L38" s="7"/>
      <c r="M38" s="14">
        <f>K38*L38</f>
        <v>0</v>
      </c>
    </row>
    <row r="39" ht="15.75" customHeight="1">
      <c r="C39" s="5"/>
      <c r="D39" s="5"/>
      <c r="E39" s="6" t="s">
        <v>70</v>
      </c>
      <c r="F39" s="7">
        <v>0.0</v>
      </c>
      <c r="G39" s="7"/>
      <c r="H39" s="7">
        <f t="shared" si="6"/>
        <v>0</v>
      </c>
      <c r="I39" s="7"/>
      <c r="J39" s="8">
        <f t="shared" si="7"/>
        <v>0</v>
      </c>
      <c r="K39" s="7"/>
      <c r="L39" s="7"/>
      <c r="M39" s="14"/>
    </row>
    <row r="40" ht="15.75" customHeight="1">
      <c r="C40" s="5"/>
      <c r="D40" s="5"/>
      <c r="E40" s="9"/>
      <c r="F40" s="7">
        <v>0.0</v>
      </c>
      <c r="G40" s="7"/>
      <c r="H40" s="7">
        <f t="shared" si="6"/>
        <v>0</v>
      </c>
      <c r="I40" s="7"/>
      <c r="J40" s="8">
        <f t="shared" si="7"/>
        <v>0</v>
      </c>
      <c r="K40" s="7"/>
      <c r="L40" s="7"/>
      <c r="M40" s="14"/>
    </row>
    <row r="41" ht="15.75" customHeight="1">
      <c r="C41" s="5"/>
      <c r="D41" s="5"/>
      <c r="E41" s="6" t="s">
        <v>71</v>
      </c>
      <c r="F41" s="7">
        <v>0.0</v>
      </c>
      <c r="G41" s="7"/>
      <c r="H41" s="7">
        <f t="shared" si="6"/>
        <v>0</v>
      </c>
      <c r="I41" s="7"/>
      <c r="J41" s="8">
        <f t="shared" si="7"/>
        <v>0</v>
      </c>
      <c r="K41" s="7"/>
      <c r="L41" s="7"/>
      <c r="M41" s="14"/>
    </row>
    <row r="42" ht="15.75" customHeight="1">
      <c r="C42" s="5"/>
      <c r="D42" s="5"/>
      <c r="E42" s="9"/>
      <c r="F42" s="7">
        <v>0.0</v>
      </c>
      <c r="G42" s="7"/>
      <c r="H42" s="7">
        <f t="shared" si="6"/>
        <v>0</v>
      </c>
      <c r="I42" s="7"/>
      <c r="J42" s="8">
        <f t="shared" si="7"/>
        <v>0</v>
      </c>
      <c r="K42" s="7"/>
      <c r="L42" s="7"/>
      <c r="M42" s="14"/>
    </row>
    <row r="43" ht="15.75" customHeight="1">
      <c r="C43" s="5"/>
      <c r="D43" s="5"/>
      <c r="E43" s="9"/>
      <c r="F43" s="7">
        <v>0.0</v>
      </c>
      <c r="G43" s="7"/>
      <c r="H43" s="7">
        <f t="shared" si="6"/>
        <v>0</v>
      </c>
      <c r="I43" s="7"/>
      <c r="J43" s="8">
        <f t="shared" si="7"/>
        <v>0</v>
      </c>
      <c r="K43" s="7"/>
      <c r="L43" s="7"/>
      <c r="M43" s="14"/>
    </row>
    <row r="44" ht="15.75" customHeight="1">
      <c r="C44" s="1"/>
      <c r="D44" s="1"/>
      <c r="I44" s="15" t="s">
        <v>11</v>
      </c>
      <c r="J44" s="11">
        <f>SUM(J38:J43)</f>
        <v>0</v>
      </c>
      <c r="M44" s="16">
        <f>SUM(M38:M43)</f>
        <v>0</v>
      </c>
    </row>
    <row r="45" ht="15.75" customHeight="1">
      <c r="C45" s="1"/>
      <c r="D45" s="1"/>
    </row>
    <row r="46" ht="15.75" customHeight="1">
      <c r="C46" s="1"/>
      <c r="D46" s="1"/>
      <c r="H46" s="17" t="s">
        <v>18</v>
      </c>
      <c r="I46" s="18"/>
      <c r="J46" s="19">
        <f>J44-M44</f>
        <v>0</v>
      </c>
    </row>
    <row r="47" ht="15.75" customHeight="1">
      <c r="C47" s="1"/>
      <c r="D47" s="1"/>
    </row>
    <row r="48" ht="15.75" customHeight="1">
      <c r="C48" s="1"/>
      <c r="D48" s="1"/>
    </row>
    <row r="49" ht="15.75" customHeight="1">
      <c r="C49" s="1"/>
      <c r="D49" s="1"/>
    </row>
    <row r="50" ht="15.75" customHeight="1">
      <c r="C50" s="1"/>
      <c r="D50" s="1"/>
    </row>
    <row r="51" ht="15.75" customHeight="1">
      <c r="C51" s="2" t="s">
        <v>0</v>
      </c>
      <c r="D51" s="2" t="s">
        <v>1</v>
      </c>
      <c r="E51" s="3" t="s">
        <v>2</v>
      </c>
      <c r="F51" s="3" t="s">
        <v>3</v>
      </c>
      <c r="G51" s="3" t="s">
        <v>4</v>
      </c>
      <c r="H51" s="3" t="s">
        <v>5</v>
      </c>
      <c r="I51" s="3"/>
      <c r="J51" s="3"/>
      <c r="K51" s="3" t="s">
        <v>14</v>
      </c>
      <c r="L51" s="3" t="s">
        <v>15</v>
      </c>
      <c r="M51" s="3" t="s">
        <v>16</v>
      </c>
    </row>
    <row r="52" ht="15.75" customHeight="1">
      <c r="C52" s="22">
        <v>46024.0</v>
      </c>
      <c r="D52" s="22">
        <v>46041.0</v>
      </c>
      <c r="E52" s="6" t="s">
        <v>72</v>
      </c>
      <c r="F52" s="23">
        <v>1170.0</v>
      </c>
      <c r="G52" s="23">
        <v>1267.2</v>
      </c>
      <c r="H52" s="7">
        <f t="shared" ref="H52:H57" si="8">G52-F52</f>
        <v>97.2</v>
      </c>
      <c r="I52" s="21">
        <v>410.0</v>
      </c>
      <c r="J52" s="8">
        <f t="shared" ref="J52:J57" si="9">H52*I52</f>
        <v>39852</v>
      </c>
      <c r="K52" s="23">
        <v>1297.0</v>
      </c>
      <c r="L52" s="7"/>
      <c r="M52" s="14">
        <f>K52*L52</f>
        <v>0</v>
      </c>
    </row>
    <row r="53" ht="15.75" customHeight="1">
      <c r="C53" s="22">
        <v>46042.0</v>
      </c>
      <c r="D53" s="22">
        <v>46052.0</v>
      </c>
      <c r="E53" s="6" t="s">
        <v>73</v>
      </c>
      <c r="F53" s="23">
        <v>1267.2</v>
      </c>
      <c r="G53" s="23">
        <v>1332.6</v>
      </c>
      <c r="H53" s="7">
        <f t="shared" si="8"/>
        <v>65.4</v>
      </c>
      <c r="I53" s="21">
        <v>410.0</v>
      </c>
      <c r="J53" s="8">
        <f t="shared" si="9"/>
        <v>26814</v>
      </c>
      <c r="K53" s="23">
        <v>580.0</v>
      </c>
      <c r="L53" s="7"/>
      <c r="M53" s="14"/>
    </row>
    <row r="54" ht="15.75" customHeight="1">
      <c r="C54" s="22">
        <v>46025.0</v>
      </c>
      <c r="D54" s="22">
        <v>46029.0</v>
      </c>
      <c r="E54" s="6" t="s">
        <v>74</v>
      </c>
      <c r="F54" s="23">
        <v>3957.0</v>
      </c>
      <c r="G54" s="23">
        <v>3991.6</v>
      </c>
      <c r="H54" s="7">
        <f t="shared" si="8"/>
        <v>34.6</v>
      </c>
      <c r="I54" s="21">
        <v>410.0</v>
      </c>
      <c r="J54" s="8">
        <f t="shared" si="9"/>
        <v>14186</v>
      </c>
      <c r="K54" s="23">
        <v>500.0</v>
      </c>
      <c r="L54" s="7"/>
      <c r="M54" s="14">
        <f>K54*L54</f>
        <v>0</v>
      </c>
    </row>
    <row r="55" ht="15.75" customHeight="1">
      <c r="C55" s="5"/>
      <c r="D55" s="5"/>
      <c r="E55" s="6"/>
      <c r="F55" s="7">
        <v>0.0</v>
      </c>
      <c r="G55" s="7"/>
      <c r="H55" s="7">
        <f t="shared" si="8"/>
        <v>0</v>
      </c>
      <c r="I55" s="7"/>
      <c r="J55" s="8">
        <f t="shared" si="9"/>
        <v>0</v>
      </c>
      <c r="K55" s="7"/>
      <c r="L55" s="7"/>
      <c r="M55" s="14"/>
    </row>
    <row r="56" ht="15.75" customHeight="1">
      <c r="C56" s="5"/>
      <c r="D56" s="5"/>
      <c r="E56" s="9"/>
      <c r="F56" s="7">
        <v>0.0</v>
      </c>
      <c r="G56" s="7"/>
      <c r="H56" s="7">
        <f t="shared" si="8"/>
        <v>0</v>
      </c>
      <c r="I56" s="7"/>
      <c r="J56" s="8">
        <f t="shared" si="9"/>
        <v>0</v>
      </c>
      <c r="K56" s="7"/>
      <c r="L56" s="7"/>
      <c r="M56" s="14"/>
    </row>
    <row r="57" ht="15.75" customHeight="1">
      <c r="C57" s="5"/>
      <c r="D57" s="5"/>
      <c r="E57" s="9"/>
      <c r="F57" s="7">
        <v>0.0</v>
      </c>
      <c r="G57" s="7"/>
      <c r="H57" s="7">
        <f t="shared" si="8"/>
        <v>0</v>
      </c>
      <c r="I57" s="7"/>
      <c r="J57" s="8">
        <f t="shared" si="9"/>
        <v>0</v>
      </c>
      <c r="K57" s="7"/>
      <c r="L57" s="7"/>
      <c r="M57" s="14"/>
    </row>
    <row r="58" ht="15.75" customHeight="1">
      <c r="C58" s="1"/>
      <c r="D58" s="1"/>
      <c r="I58" s="15" t="s">
        <v>11</v>
      </c>
      <c r="J58" s="11">
        <f>SUM(J52:J57)</f>
        <v>80852</v>
      </c>
      <c r="M58" s="16">
        <f>SUM(M52:M57)</f>
        <v>0</v>
      </c>
    </row>
    <row r="59" ht="15.75" customHeight="1">
      <c r="C59" s="1"/>
      <c r="D59" s="1"/>
    </row>
    <row r="60" ht="15.75" customHeight="1">
      <c r="C60" s="1"/>
      <c r="D60" s="1"/>
      <c r="H60" s="17" t="s">
        <v>18</v>
      </c>
      <c r="I60" s="18"/>
      <c r="J60" s="19">
        <f>J58-M58</f>
        <v>80852</v>
      </c>
    </row>
    <row r="61" ht="15.75" customHeight="1">
      <c r="C61" s="1"/>
      <c r="D61" s="1"/>
    </row>
    <row r="62" ht="15.75" customHeight="1">
      <c r="C62" s="1"/>
      <c r="D62" s="1"/>
      <c r="E62" s="12" t="s">
        <v>12</v>
      </c>
    </row>
    <row r="63" ht="15.75" customHeight="1">
      <c r="C63" s="1"/>
      <c r="D63" s="1"/>
      <c r="E63" s="13"/>
    </row>
    <row r="64" ht="15.75" customHeight="1">
      <c r="C64" s="1"/>
      <c r="D64" s="1"/>
    </row>
    <row r="65" ht="15.75" customHeight="1">
      <c r="C65" s="1"/>
      <c r="D65" s="1"/>
    </row>
    <row r="66" ht="15.75" customHeight="1">
      <c r="C66" s="1"/>
      <c r="D66" s="1"/>
    </row>
    <row r="67" ht="15.75" customHeight="1">
      <c r="C67" s="1"/>
      <c r="D67" s="1"/>
    </row>
    <row r="68" ht="15.75" customHeight="1">
      <c r="C68" s="1"/>
      <c r="D68" s="1"/>
    </row>
    <row r="69" ht="15.75" customHeight="1">
      <c r="C69" s="1"/>
      <c r="D69" s="1"/>
    </row>
    <row r="70" ht="15.75" customHeight="1">
      <c r="C70" s="1"/>
      <c r="D70" s="1"/>
    </row>
    <row r="71" ht="15.75" customHeight="1">
      <c r="C71" s="1"/>
      <c r="D71" s="1"/>
    </row>
    <row r="72" ht="15.75" customHeight="1">
      <c r="C72" s="1"/>
      <c r="D72" s="1"/>
    </row>
    <row r="73" ht="15.75" customHeight="1">
      <c r="C73" s="1"/>
      <c r="D73" s="1"/>
    </row>
    <row r="74" ht="15.75" customHeight="1">
      <c r="C74" s="1"/>
      <c r="D74" s="1"/>
    </row>
    <row r="75" ht="15.75" customHeight="1">
      <c r="C75" s="1"/>
      <c r="D75" s="1"/>
    </row>
    <row r="76" ht="15.75" customHeight="1">
      <c r="C76" s="1"/>
      <c r="D76" s="1"/>
    </row>
    <row r="77" ht="15.75" customHeight="1">
      <c r="C77" s="1"/>
      <c r="D77" s="1"/>
    </row>
    <row r="78" ht="15.75" customHeight="1">
      <c r="C78" s="1"/>
      <c r="D78" s="1"/>
    </row>
    <row r="79" ht="15.75" customHeight="1">
      <c r="C79" s="1"/>
      <c r="D79" s="1"/>
    </row>
    <row r="80" ht="15.75" customHeight="1">
      <c r="C80" s="1"/>
      <c r="D80" s="1"/>
    </row>
    <row r="81" ht="15.75" customHeight="1">
      <c r="C81" s="1"/>
      <c r="D81" s="1"/>
    </row>
    <row r="82" ht="15.75" customHeight="1">
      <c r="C82" s="1"/>
      <c r="D82" s="1"/>
    </row>
    <row r="83" ht="15.75" customHeight="1">
      <c r="C83" s="1"/>
      <c r="D83" s="1"/>
    </row>
    <row r="84" ht="15.75" customHeight="1">
      <c r="C84" s="1"/>
      <c r="D84" s="1"/>
    </row>
    <row r="85" ht="15.75" customHeight="1">
      <c r="C85" s="1"/>
      <c r="D85" s="1"/>
    </row>
    <row r="86" ht="15.75" customHeight="1">
      <c r="C86" s="1"/>
      <c r="D86" s="1"/>
    </row>
    <row r="87" ht="15.75" customHeight="1">
      <c r="C87" s="1"/>
      <c r="D87" s="1"/>
    </row>
    <row r="88" ht="15.75" customHeight="1">
      <c r="C88" s="1"/>
      <c r="D88" s="1"/>
    </row>
    <row r="89" ht="15.75" customHeight="1">
      <c r="C89" s="1"/>
      <c r="D89" s="1"/>
    </row>
    <row r="90" ht="15.75" customHeight="1">
      <c r="C90" s="1"/>
      <c r="D90" s="1"/>
    </row>
    <row r="91" ht="15.75" customHeight="1">
      <c r="C91" s="1"/>
      <c r="D91" s="1"/>
    </row>
    <row r="92" ht="15.75" customHeight="1">
      <c r="C92" s="1"/>
      <c r="D92" s="1"/>
    </row>
    <row r="93" ht="15.75" customHeight="1">
      <c r="C93" s="1"/>
      <c r="D93" s="1"/>
    </row>
    <row r="94" ht="15.75" customHeight="1">
      <c r="C94" s="1"/>
      <c r="D94" s="1"/>
    </row>
    <row r="95" ht="15.75" customHeight="1">
      <c r="C95" s="1"/>
      <c r="D95" s="1"/>
    </row>
    <row r="96" ht="15.75" customHeight="1">
      <c r="C96" s="1"/>
      <c r="D96" s="1"/>
    </row>
    <row r="97" ht="15.75" customHeight="1">
      <c r="C97" s="1"/>
      <c r="D97" s="1"/>
    </row>
    <row r="98" ht="15.75" customHeight="1">
      <c r="C98" s="1"/>
      <c r="D98" s="1"/>
    </row>
    <row r="99" ht="15.75" customHeight="1">
      <c r="C99" s="1"/>
      <c r="D99" s="1"/>
    </row>
    <row r="100" ht="15.75" customHeight="1">
      <c r="C100" s="1"/>
      <c r="D100" s="1"/>
    </row>
    <row r="101" ht="15.75" customHeight="1">
      <c r="C101" s="1"/>
      <c r="D101" s="1"/>
    </row>
    <row r="102" ht="15.75" customHeight="1">
      <c r="C102" s="1"/>
      <c r="D102" s="1"/>
    </row>
    <row r="103" ht="15.75" customHeight="1">
      <c r="C103" s="1"/>
      <c r="D103" s="1"/>
    </row>
    <row r="104" ht="15.75" customHeight="1">
      <c r="C104" s="1"/>
      <c r="D104" s="1"/>
    </row>
    <row r="105" ht="15.75" customHeight="1">
      <c r="C105" s="1"/>
      <c r="D105" s="1"/>
    </row>
    <row r="106" ht="15.75" customHeight="1">
      <c r="C106" s="1"/>
      <c r="D106" s="1"/>
    </row>
    <row r="107" ht="15.75" customHeight="1">
      <c r="C107" s="1"/>
      <c r="D107" s="1"/>
    </row>
    <row r="108" ht="15.75" customHeight="1">
      <c r="C108" s="1"/>
      <c r="D108" s="1"/>
    </row>
    <row r="109" ht="15.75" customHeight="1">
      <c r="C109" s="1"/>
      <c r="D109" s="1"/>
    </row>
    <row r="110" ht="15.75" customHeight="1">
      <c r="C110" s="1"/>
      <c r="D110" s="1"/>
    </row>
    <row r="111" ht="15.75" customHeight="1">
      <c r="C111" s="1"/>
      <c r="D111" s="1"/>
    </row>
    <row r="112" ht="15.75" customHeight="1">
      <c r="C112" s="1"/>
      <c r="D112" s="1"/>
    </row>
    <row r="113" ht="15.75" customHeight="1">
      <c r="C113" s="1"/>
      <c r="D113" s="1"/>
    </row>
    <row r="114" ht="15.75" customHeight="1">
      <c r="C114" s="1"/>
      <c r="D114" s="1"/>
    </row>
    <row r="115" ht="15.75" customHeight="1">
      <c r="C115" s="1"/>
      <c r="D115" s="1"/>
    </row>
    <row r="116" ht="15.75" customHeight="1">
      <c r="C116" s="1"/>
      <c r="D116" s="1"/>
    </row>
    <row r="117" ht="15.75" customHeight="1">
      <c r="C117" s="1"/>
      <c r="D117" s="1"/>
    </row>
    <row r="118" ht="15.75" customHeight="1">
      <c r="C118" s="1"/>
      <c r="D118" s="1"/>
    </row>
    <row r="119" ht="15.75" customHeight="1">
      <c r="C119" s="1"/>
      <c r="D119" s="1"/>
    </row>
    <row r="120" ht="15.75" customHeight="1">
      <c r="C120" s="1"/>
      <c r="D120" s="1"/>
    </row>
    <row r="121" ht="15.75" customHeight="1">
      <c r="C121" s="1"/>
      <c r="D121" s="1"/>
    </row>
    <row r="122" ht="15.75" customHeight="1">
      <c r="C122" s="1"/>
      <c r="D122" s="1"/>
    </row>
    <row r="123" ht="15.75" customHeight="1">
      <c r="C123" s="1"/>
      <c r="D123" s="1"/>
    </row>
    <row r="124" ht="15.75" customHeight="1">
      <c r="C124" s="1"/>
      <c r="D124" s="1"/>
    </row>
    <row r="125" ht="15.75" customHeight="1">
      <c r="C125" s="1"/>
      <c r="D125" s="1"/>
    </row>
    <row r="126" ht="15.75" customHeight="1">
      <c r="C126" s="1"/>
      <c r="D126" s="1"/>
    </row>
    <row r="127" ht="15.75" customHeight="1">
      <c r="C127" s="1"/>
      <c r="D127" s="1"/>
    </row>
    <row r="128" ht="15.75" customHeight="1">
      <c r="C128" s="1"/>
      <c r="D128" s="1"/>
    </row>
    <row r="129" ht="15.75" customHeight="1">
      <c r="C129" s="1"/>
      <c r="D129" s="1"/>
    </row>
    <row r="130" ht="15.75" customHeight="1">
      <c r="C130" s="1"/>
      <c r="D130" s="1"/>
    </row>
    <row r="131" ht="15.75" customHeight="1">
      <c r="C131" s="1"/>
      <c r="D131" s="1"/>
    </row>
    <row r="132" ht="15.75" customHeight="1">
      <c r="C132" s="1"/>
      <c r="D132" s="1"/>
    </row>
    <row r="133" ht="15.75" customHeight="1">
      <c r="C133" s="1"/>
      <c r="D133" s="1"/>
    </row>
    <row r="134" ht="15.75" customHeight="1">
      <c r="C134" s="1"/>
      <c r="D134" s="1"/>
    </row>
    <row r="135" ht="15.75" customHeight="1">
      <c r="C135" s="1"/>
      <c r="D135" s="1"/>
    </row>
    <row r="136" ht="15.75" customHeight="1">
      <c r="C136" s="1"/>
      <c r="D136" s="1"/>
    </row>
    <row r="137" ht="15.75" customHeight="1">
      <c r="C137" s="1"/>
      <c r="D137" s="1"/>
    </row>
    <row r="138" ht="15.75" customHeight="1">
      <c r="C138" s="1"/>
      <c r="D138" s="1"/>
    </row>
    <row r="139" ht="15.75" customHeight="1">
      <c r="C139" s="1"/>
      <c r="D139" s="1"/>
    </row>
    <row r="140" ht="15.75" customHeight="1">
      <c r="C140" s="1"/>
      <c r="D140" s="1"/>
    </row>
    <row r="141" ht="15.75" customHeight="1">
      <c r="C141" s="1"/>
      <c r="D141" s="1"/>
    </row>
    <row r="142" ht="15.75" customHeight="1">
      <c r="C142" s="1"/>
      <c r="D142" s="1"/>
    </row>
    <row r="143" ht="15.75" customHeight="1">
      <c r="C143" s="1"/>
      <c r="D143" s="1"/>
    </row>
    <row r="144" ht="15.75" customHeight="1">
      <c r="C144" s="1"/>
      <c r="D144" s="1"/>
    </row>
    <row r="145" ht="15.75" customHeight="1">
      <c r="C145" s="1"/>
      <c r="D145" s="1"/>
    </row>
    <row r="146" ht="15.75" customHeight="1">
      <c r="C146" s="1"/>
      <c r="D146" s="1"/>
    </row>
    <row r="147" ht="15.75" customHeight="1">
      <c r="C147" s="1"/>
      <c r="D147" s="1"/>
    </row>
    <row r="148" ht="15.75" customHeight="1">
      <c r="C148" s="1"/>
      <c r="D148" s="1"/>
    </row>
    <row r="149" ht="15.75" customHeight="1">
      <c r="C149" s="1"/>
      <c r="D149" s="1"/>
    </row>
    <row r="150" ht="15.75" customHeight="1">
      <c r="C150" s="1"/>
      <c r="D150" s="1"/>
    </row>
    <row r="151" ht="15.75" customHeight="1">
      <c r="C151" s="1"/>
      <c r="D151" s="1"/>
    </row>
    <row r="152" ht="15.75" customHeight="1">
      <c r="C152" s="1"/>
      <c r="D152" s="1"/>
    </row>
    <row r="153" ht="15.75" customHeight="1">
      <c r="C153" s="1"/>
      <c r="D153" s="1"/>
    </row>
    <row r="154" ht="15.75" customHeight="1">
      <c r="C154" s="1"/>
      <c r="D154" s="1"/>
    </row>
    <row r="155" ht="15.75" customHeight="1">
      <c r="C155" s="1"/>
      <c r="D155" s="1"/>
    </row>
    <row r="156" ht="15.75" customHeight="1">
      <c r="C156" s="1"/>
      <c r="D156" s="1"/>
    </row>
    <row r="157" ht="15.75" customHeight="1">
      <c r="C157" s="1"/>
      <c r="D157" s="1"/>
    </row>
    <row r="158" ht="15.75" customHeight="1">
      <c r="C158" s="1"/>
      <c r="D158" s="1"/>
    </row>
    <row r="159" ht="15.75" customHeight="1">
      <c r="C159" s="1"/>
      <c r="D159" s="1"/>
    </row>
    <row r="160" ht="15.75" customHeight="1">
      <c r="C160" s="1"/>
      <c r="D160" s="1"/>
    </row>
    <row r="161" ht="15.75" customHeight="1">
      <c r="C161" s="1"/>
      <c r="D161" s="1"/>
    </row>
    <row r="162" ht="15.75" customHeight="1">
      <c r="C162" s="1"/>
      <c r="D162" s="1"/>
    </row>
    <row r="163" ht="15.75" customHeight="1">
      <c r="C163" s="1"/>
      <c r="D163" s="1"/>
    </row>
    <row r="164" ht="15.75" customHeight="1">
      <c r="C164" s="1"/>
      <c r="D164" s="1"/>
    </row>
    <row r="165" ht="15.75" customHeight="1">
      <c r="C165" s="1"/>
      <c r="D165" s="1"/>
    </row>
    <row r="166" ht="15.75" customHeight="1">
      <c r="C166" s="1"/>
      <c r="D166" s="1"/>
    </row>
    <row r="167" ht="15.75" customHeight="1">
      <c r="C167" s="1"/>
      <c r="D167" s="1"/>
    </row>
    <row r="168" ht="15.75" customHeight="1">
      <c r="C168" s="1"/>
      <c r="D168" s="1"/>
    </row>
    <row r="169" ht="15.75" customHeight="1">
      <c r="C169" s="1"/>
      <c r="D169" s="1"/>
    </row>
    <row r="170" ht="15.75" customHeight="1">
      <c r="C170" s="1"/>
      <c r="D170" s="1"/>
    </row>
    <row r="171" ht="15.75" customHeight="1">
      <c r="C171" s="1"/>
      <c r="D171" s="1"/>
    </row>
    <row r="172" ht="15.75" customHeight="1">
      <c r="C172" s="1"/>
      <c r="D172" s="1"/>
    </row>
    <row r="173" ht="15.75" customHeight="1">
      <c r="C173" s="1"/>
      <c r="D173" s="1"/>
    </row>
    <row r="174" ht="15.75" customHeight="1">
      <c r="C174" s="1"/>
      <c r="D174" s="1"/>
    </row>
    <row r="175" ht="15.75" customHeight="1">
      <c r="C175" s="1"/>
      <c r="D175" s="1"/>
    </row>
    <row r="176" ht="15.75" customHeight="1">
      <c r="C176" s="1"/>
      <c r="D176" s="1"/>
    </row>
    <row r="177" ht="15.75" customHeight="1">
      <c r="C177" s="1"/>
      <c r="D177" s="1"/>
    </row>
    <row r="178" ht="15.75" customHeight="1">
      <c r="C178" s="1"/>
      <c r="D178" s="1"/>
    </row>
    <row r="179" ht="15.75" customHeight="1">
      <c r="C179" s="1"/>
      <c r="D179" s="1"/>
    </row>
    <row r="180" ht="15.75" customHeight="1">
      <c r="C180" s="1"/>
      <c r="D180" s="1"/>
    </row>
    <row r="181" ht="15.75" customHeight="1">
      <c r="C181" s="1"/>
      <c r="D181" s="1"/>
    </row>
    <row r="182" ht="15.75" customHeight="1">
      <c r="C182" s="1"/>
      <c r="D182" s="1"/>
    </row>
    <row r="183" ht="15.75" customHeight="1">
      <c r="C183" s="1"/>
      <c r="D183" s="1"/>
    </row>
    <row r="184" ht="15.75" customHeight="1">
      <c r="C184" s="1"/>
      <c r="D184" s="1"/>
    </row>
    <row r="185" ht="15.75" customHeight="1">
      <c r="C185" s="1"/>
      <c r="D185" s="1"/>
    </row>
    <row r="186" ht="15.75" customHeight="1">
      <c r="C186" s="1"/>
      <c r="D186" s="1"/>
    </row>
    <row r="187" ht="15.75" customHeight="1">
      <c r="C187" s="1"/>
      <c r="D187" s="1"/>
    </row>
    <row r="188" ht="15.75" customHeight="1">
      <c r="C188" s="1"/>
      <c r="D188" s="1"/>
    </row>
    <row r="189" ht="15.75" customHeight="1">
      <c r="C189" s="1"/>
      <c r="D189" s="1"/>
    </row>
    <row r="190" ht="15.75" customHeight="1">
      <c r="C190" s="1"/>
      <c r="D190" s="1"/>
    </row>
    <row r="191" ht="15.75" customHeight="1">
      <c r="C191" s="1"/>
      <c r="D191" s="1"/>
    </row>
    <row r="192" ht="15.75" customHeight="1">
      <c r="C192" s="1"/>
      <c r="D192" s="1"/>
    </row>
    <row r="193" ht="15.75" customHeight="1">
      <c r="C193" s="1"/>
      <c r="D193" s="1"/>
    </row>
    <row r="194" ht="15.75" customHeight="1">
      <c r="C194" s="1"/>
      <c r="D194" s="1"/>
    </row>
    <row r="195" ht="15.75" customHeight="1">
      <c r="C195" s="1"/>
      <c r="D195" s="1"/>
    </row>
    <row r="196" ht="15.75" customHeight="1">
      <c r="C196" s="1"/>
      <c r="D196" s="1"/>
    </row>
    <row r="197" ht="15.75" customHeight="1">
      <c r="C197" s="1"/>
      <c r="D197" s="1"/>
    </row>
    <row r="198" ht="15.75" customHeight="1">
      <c r="C198" s="1"/>
      <c r="D198" s="1"/>
    </row>
    <row r="199" ht="15.75" customHeight="1">
      <c r="C199" s="1"/>
      <c r="D199" s="1"/>
    </row>
    <row r="200" ht="15.75" customHeight="1">
      <c r="C200" s="1"/>
      <c r="D200" s="1"/>
    </row>
    <row r="201" ht="15.75" customHeight="1">
      <c r="C201" s="1"/>
      <c r="D201" s="1"/>
    </row>
    <row r="202" ht="15.75" customHeight="1">
      <c r="C202" s="1"/>
      <c r="D202" s="1"/>
    </row>
    <row r="203" ht="15.75" customHeight="1">
      <c r="C203" s="1"/>
      <c r="D203" s="1"/>
    </row>
    <row r="204" ht="15.75" customHeight="1">
      <c r="C204" s="1"/>
      <c r="D204" s="1"/>
    </row>
    <row r="205" ht="15.75" customHeight="1">
      <c r="C205" s="1"/>
      <c r="D205" s="1"/>
    </row>
    <row r="206" ht="15.75" customHeight="1">
      <c r="C206" s="1"/>
      <c r="D206" s="1"/>
    </row>
    <row r="207" ht="15.75" customHeight="1">
      <c r="C207" s="1"/>
      <c r="D207" s="1"/>
    </row>
    <row r="208" ht="15.75" customHeight="1">
      <c r="C208" s="1"/>
      <c r="D208" s="1"/>
    </row>
    <row r="209" ht="15.75" customHeight="1">
      <c r="C209" s="1"/>
      <c r="D209" s="1"/>
    </row>
    <row r="210" ht="15.75" customHeight="1">
      <c r="C210" s="1"/>
      <c r="D210" s="1"/>
    </row>
    <row r="211" ht="15.75" customHeight="1">
      <c r="C211" s="1"/>
      <c r="D211" s="1"/>
    </row>
    <row r="212" ht="15.75" customHeight="1">
      <c r="C212" s="1"/>
      <c r="D212" s="1"/>
    </row>
    <row r="213" ht="15.75" customHeight="1">
      <c r="C213" s="1"/>
      <c r="D213" s="1"/>
    </row>
    <row r="214" ht="15.75" customHeight="1">
      <c r="C214" s="1"/>
      <c r="D214" s="1"/>
    </row>
    <row r="215" ht="15.75" customHeight="1">
      <c r="C215" s="1"/>
      <c r="D215" s="1"/>
    </row>
    <row r="216" ht="15.75" customHeight="1">
      <c r="C216" s="1"/>
      <c r="D216" s="1"/>
    </row>
    <row r="217" ht="15.75" customHeight="1">
      <c r="C217" s="1"/>
      <c r="D217" s="1"/>
    </row>
    <row r="218" ht="15.75" customHeight="1">
      <c r="C218" s="1"/>
      <c r="D218" s="1"/>
    </row>
    <row r="219" ht="15.75" customHeight="1">
      <c r="C219" s="1"/>
      <c r="D219" s="1"/>
    </row>
    <row r="220" ht="15.75" customHeight="1">
      <c r="C220" s="1"/>
      <c r="D220" s="1"/>
    </row>
    <row r="221" ht="15.75" customHeight="1">
      <c r="C221" s="1"/>
      <c r="D221" s="1"/>
    </row>
    <row r="222" ht="15.75" customHeight="1">
      <c r="C222" s="1"/>
      <c r="D222" s="1"/>
    </row>
    <row r="223" ht="15.75" customHeight="1">
      <c r="C223" s="1"/>
      <c r="D223" s="1"/>
    </row>
    <row r="224" ht="15.75" customHeight="1">
      <c r="C224" s="1"/>
      <c r="D224" s="1"/>
    </row>
    <row r="225" ht="15.75" customHeight="1">
      <c r="C225" s="1"/>
      <c r="D225" s="1"/>
    </row>
    <row r="226" ht="15.75" customHeight="1">
      <c r="C226" s="1"/>
      <c r="D226" s="1"/>
    </row>
    <row r="227" ht="15.75" customHeight="1">
      <c r="C227" s="1"/>
      <c r="D227" s="1"/>
    </row>
    <row r="228" ht="15.75" customHeight="1">
      <c r="C228" s="1"/>
      <c r="D228" s="1"/>
    </row>
    <row r="229" ht="15.75" customHeight="1">
      <c r="C229" s="1"/>
      <c r="D229" s="1"/>
    </row>
    <row r="230" ht="15.75" customHeight="1">
      <c r="C230" s="1"/>
      <c r="D230" s="1"/>
    </row>
    <row r="231" ht="15.75" customHeight="1">
      <c r="C231" s="1"/>
      <c r="D231" s="1"/>
    </row>
    <row r="232" ht="15.75" customHeight="1">
      <c r="C232" s="1"/>
      <c r="D232" s="1"/>
    </row>
    <row r="233" ht="15.75" customHeight="1">
      <c r="C233" s="1"/>
      <c r="D233" s="1"/>
    </row>
    <row r="234" ht="15.75" customHeight="1">
      <c r="C234" s="1"/>
      <c r="D234" s="1"/>
    </row>
    <row r="235" ht="15.75" customHeight="1">
      <c r="C235" s="1"/>
      <c r="D235" s="1"/>
    </row>
    <row r="236" ht="15.75" customHeight="1">
      <c r="C236" s="1"/>
      <c r="D236" s="1"/>
    </row>
    <row r="237" ht="15.75" customHeight="1">
      <c r="C237" s="1"/>
      <c r="D237" s="1"/>
    </row>
    <row r="238" ht="15.75" customHeight="1">
      <c r="C238" s="1"/>
      <c r="D238" s="1"/>
    </row>
    <row r="239" ht="15.75" customHeight="1">
      <c r="C239" s="1"/>
      <c r="D239" s="1"/>
    </row>
    <row r="240" ht="15.75" customHeight="1">
      <c r="C240" s="1"/>
      <c r="D240" s="1"/>
    </row>
    <row r="241" ht="15.75" customHeight="1">
      <c r="C241" s="1"/>
      <c r="D241" s="1"/>
    </row>
    <row r="242" ht="15.75" customHeight="1">
      <c r="C242" s="1"/>
      <c r="D242" s="1"/>
    </row>
    <row r="243" ht="15.75" customHeight="1">
      <c r="C243" s="1"/>
      <c r="D243" s="1"/>
    </row>
    <row r="244" ht="15.75" customHeight="1">
      <c r="C244" s="1"/>
      <c r="D244" s="1"/>
    </row>
    <row r="245" ht="15.75" customHeight="1">
      <c r="C245" s="1"/>
      <c r="D245" s="1"/>
    </row>
    <row r="246" ht="15.75" customHeight="1">
      <c r="C246" s="1"/>
      <c r="D246" s="1"/>
    </row>
    <row r="247" ht="15.75" customHeight="1">
      <c r="C247" s="1"/>
      <c r="D247" s="1"/>
    </row>
    <row r="248" ht="15.75" customHeight="1">
      <c r="C248" s="1"/>
      <c r="D248" s="1"/>
    </row>
    <row r="249" ht="15.75" customHeight="1">
      <c r="C249" s="1"/>
      <c r="D249" s="1"/>
    </row>
    <row r="250" ht="15.75" customHeight="1">
      <c r="C250" s="1"/>
      <c r="D250" s="1"/>
    </row>
    <row r="251" ht="15.75" customHeight="1">
      <c r="C251" s="1"/>
      <c r="D251" s="1"/>
    </row>
    <row r="252" ht="15.75" customHeight="1">
      <c r="C252" s="1"/>
      <c r="D252" s="1"/>
    </row>
    <row r="253" ht="15.75" customHeight="1">
      <c r="C253" s="1"/>
      <c r="D253" s="1"/>
    </row>
    <row r="254" ht="15.75" customHeight="1">
      <c r="C254" s="1"/>
      <c r="D254" s="1"/>
    </row>
    <row r="255" ht="15.75" customHeight="1">
      <c r="C255" s="1"/>
      <c r="D255" s="1"/>
    </row>
    <row r="256" ht="15.75" customHeight="1">
      <c r="C256" s="1"/>
      <c r="D256" s="1"/>
    </row>
    <row r="257" ht="15.75" customHeight="1">
      <c r="C257" s="1"/>
      <c r="D257" s="1"/>
    </row>
    <row r="258" ht="15.75" customHeight="1">
      <c r="C258" s="1"/>
      <c r="D258" s="1"/>
    </row>
    <row r="259" ht="15.75" customHeight="1">
      <c r="C259" s="1"/>
      <c r="D259" s="1"/>
    </row>
    <row r="260" ht="15.75" customHeight="1">
      <c r="C260" s="1"/>
      <c r="D260" s="1"/>
    </row>
    <row r="261" ht="15.75" customHeight="1">
      <c r="C261" s="1"/>
      <c r="D261" s="1"/>
    </row>
    <row r="262" ht="15.75" customHeight="1">
      <c r="C262" s="1"/>
      <c r="D262" s="1"/>
    </row>
    <row r="263" ht="15.75" customHeight="1">
      <c r="C263" s="1"/>
      <c r="D263" s="1"/>
    </row>
    <row r="264" ht="15.75" customHeight="1">
      <c r="C264" s="1"/>
      <c r="D264" s="1"/>
    </row>
    <row r="265" ht="15.75" customHeight="1">
      <c r="C265" s="1"/>
      <c r="D265" s="1"/>
    </row>
    <row r="266" ht="15.75" customHeight="1">
      <c r="C266" s="1"/>
      <c r="D266" s="1"/>
    </row>
    <row r="267" ht="15.75" customHeight="1">
      <c r="C267" s="1"/>
      <c r="D267" s="1"/>
    </row>
    <row r="268" ht="15.75" customHeight="1">
      <c r="C268" s="1"/>
      <c r="D268" s="1"/>
    </row>
    <row r="269" ht="15.75" customHeight="1">
      <c r="C269" s="1"/>
      <c r="D269" s="1"/>
    </row>
    <row r="270" ht="15.75" customHeight="1">
      <c r="C270" s="1"/>
      <c r="D270" s="1"/>
    </row>
    <row r="271" ht="15.75" customHeight="1">
      <c r="C271" s="1"/>
      <c r="D271" s="1"/>
    </row>
    <row r="272" ht="15.75" customHeight="1">
      <c r="C272" s="1"/>
      <c r="D272" s="1"/>
    </row>
    <row r="273" ht="15.75" customHeight="1">
      <c r="C273" s="1"/>
      <c r="D273" s="1"/>
    </row>
    <row r="274" ht="15.75" customHeight="1">
      <c r="C274" s="1"/>
      <c r="D274" s="1"/>
    </row>
    <row r="275" ht="15.75" customHeight="1">
      <c r="C275" s="1"/>
      <c r="D275" s="1"/>
    </row>
    <row r="276" ht="15.75" customHeight="1">
      <c r="C276" s="1"/>
      <c r="D276" s="1"/>
    </row>
    <row r="277" ht="15.75" customHeight="1">
      <c r="C277" s="1"/>
      <c r="D277" s="1"/>
    </row>
    <row r="278" ht="15.75" customHeight="1">
      <c r="C278" s="1"/>
      <c r="D278" s="1"/>
    </row>
    <row r="279" ht="15.75" customHeight="1">
      <c r="C279" s="1"/>
      <c r="D279" s="1"/>
    </row>
    <row r="280" ht="15.75" customHeight="1">
      <c r="C280" s="1"/>
      <c r="D280" s="1"/>
    </row>
    <row r="281" ht="15.75" customHeight="1">
      <c r="C281" s="1"/>
      <c r="D281" s="1"/>
    </row>
    <row r="282" ht="15.75" customHeight="1">
      <c r="C282" s="1"/>
      <c r="D282" s="1"/>
    </row>
    <row r="283" ht="15.75" customHeight="1">
      <c r="C283" s="1"/>
      <c r="D283" s="1"/>
    </row>
    <row r="284" ht="15.75" customHeight="1">
      <c r="C284" s="1"/>
      <c r="D284" s="1"/>
    </row>
    <row r="285" ht="15.75" customHeight="1">
      <c r="C285" s="1"/>
      <c r="D285" s="1"/>
    </row>
    <row r="286" ht="15.75" customHeight="1">
      <c r="C286" s="1"/>
      <c r="D286" s="1"/>
    </row>
    <row r="287" ht="15.75" customHeight="1">
      <c r="C287" s="1"/>
      <c r="D287" s="1"/>
    </row>
    <row r="288" ht="15.75" customHeight="1">
      <c r="C288" s="1"/>
      <c r="D288" s="1"/>
    </row>
    <row r="289" ht="15.75" customHeight="1">
      <c r="C289" s="1"/>
      <c r="D289" s="1"/>
    </row>
    <row r="290" ht="15.75" customHeight="1">
      <c r="C290" s="1"/>
      <c r="D290" s="1"/>
    </row>
    <row r="291" ht="15.75" customHeight="1">
      <c r="C291" s="1"/>
      <c r="D291" s="1"/>
    </row>
    <row r="292" ht="15.75" customHeight="1">
      <c r="C292" s="1"/>
      <c r="D292" s="1"/>
    </row>
    <row r="293" ht="15.75" customHeight="1">
      <c r="C293" s="1"/>
      <c r="D293" s="1"/>
    </row>
    <row r="294" ht="15.75" customHeight="1">
      <c r="C294" s="1"/>
      <c r="D294" s="1"/>
    </row>
    <row r="295" ht="15.75" customHeight="1">
      <c r="C295" s="1"/>
      <c r="D295" s="1"/>
    </row>
    <row r="296" ht="15.75" customHeight="1">
      <c r="C296" s="1"/>
      <c r="D296" s="1"/>
    </row>
    <row r="297" ht="15.75" customHeight="1">
      <c r="C297" s="1"/>
      <c r="D297" s="1"/>
    </row>
    <row r="298" ht="15.75" customHeight="1">
      <c r="C298" s="1"/>
      <c r="D298" s="1"/>
    </row>
    <row r="299" ht="15.75" customHeight="1">
      <c r="C299" s="1"/>
      <c r="D299" s="1"/>
    </row>
    <row r="300" ht="15.75" customHeight="1">
      <c r="C300" s="1"/>
      <c r="D300" s="1"/>
    </row>
    <row r="301" ht="15.75" customHeight="1">
      <c r="C301" s="1"/>
      <c r="D301" s="1"/>
    </row>
    <row r="302" ht="15.75" customHeight="1">
      <c r="C302" s="1"/>
      <c r="D302" s="1"/>
    </row>
    <row r="303" ht="15.75" customHeight="1">
      <c r="C303" s="1"/>
      <c r="D303" s="1"/>
    </row>
    <row r="304" ht="15.75" customHeight="1">
      <c r="C304" s="1"/>
      <c r="D304" s="1"/>
    </row>
    <row r="305" ht="15.75" customHeight="1">
      <c r="C305" s="1"/>
      <c r="D305" s="1"/>
    </row>
    <row r="306" ht="15.75" customHeight="1">
      <c r="C306" s="1"/>
      <c r="D306" s="1"/>
    </row>
    <row r="307" ht="15.75" customHeight="1">
      <c r="C307" s="1"/>
      <c r="D307" s="1"/>
    </row>
    <row r="308" ht="15.75" customHeight="1">
      <c r="C308" s="1"/>
      <c r="D308" s="1"/>
    </row>
    <row r="309" ht="15.75" customHeight="1">
      <c r="C309" s="1"/>
      <c r="D309" s="1"/>
    </row>
    <row r="310" ht="15.75" customHeight="1">
      <c r="C310" s="1"/>
      <c r="D310" s="1"/>
    </row>
    <row r="311" ht="15.75" customHeight="1">
      <c r="C311" s="1"/>
      <c r="D311" s="1"/>
    </row>
    <row r="312" ht="15.75" customHeight="1">
      <c r="C312" s="1"/>
      <c r="D312" s="1"/>
    </row>
    <row r="313" ht="15.75" customHeight="1">
      <c r="C313" s="1"/>
      <c r="D313" s="1"/>
    </row>
    <row r="314" ht="15.75" customHeight="1">
      <c r="C314" s="1"/>
      <c r="D314" s="1"/>
    </row>
    <row r="315" ht="15.75" customHeight="1">
      <c r="C315" s="1"/>
      <c r="D315" s="1"/>
    </row>
    <row r="316" ht="15.75" customHeight="1">
      <c r="C316" s="1"/>
      <c r="D316" s="1"/>
    </row>
    <row r="317" ht="15.75" customHeight="1">
      <c r="C317" s="1"/>
      <c r="D317" s="1"/>
    </row>
    <row r="318" ht="15.75" customHeight="1">
      <c r="C318" s="1"/>
      <c r="D318" s="1"/>
    </row>
    <row r="319" ht="15.75" customHeight="1">
      <c r="C319" s="1"/>
      <c r="D319" s="1"/>
    </row>
    <row r="320" ht="15.75" customHeight="1">
      <c r="C320" s="1"/>
      <c r="D320" s="1"/>
    </row>
    <row r="321" ht="15.75" customHeight="1">
      <c r="C321" s="1"/>
      <c r="D321" s="1"/>
    </row>
    <row r="322" ht="15.75" customHeight="1">
      <c r="C322" s="1"/>
      <c r="D322" s="1"/>
    </row>
    <row r="323" ht="15.75" customHeight="1">
      <c r="C323" s="1"/>
      <c r="D323" s="1"/>
    </row>
    <row r="324" ht="15.75" customHeight="1">
      <c r="C324" s="1"/>
      <c r="D324" s="1"/>
    </row>
    <row r="325" ht="15.75" customHeight="1">
      <c r="C325" s="1"/>
      <c r="D325" s="1"/>
    </row>
    <row r="326" ht="15.75" customHeight="1">
      <c r="C326" s="1"/>
      <c r="D326" s="1"/>
    </row>
    <row r="327" ht="15.75" customHeight="1">
      <c r="C327" s="1"/>
      <c r="D327" s="1"/>
    </row>
    <row r="328" ht="15.75" customHeight="1">
      <c r="C328" s="1"/>
      <c r="D328" s="1"/>
    </row>
    <row r="329" ht="15.75" customHeight="1">
      <c r="C329" s="1"/>
      <c r="D329" s="1"/>
    </row>
    <row r="330" ht="15.75" customHeight="1">
      <c r="C330" s="1"/>
      <c r="D330" s="1"/>
    </row>
    <row r="331" ht="15.75" customHeight="1">
      <c r="C331" s="1"/>
      <c r="D331" s="1"/>
    </row>
    <row r="332" ht="15.75" customHeight="1">
      <c r="C332" s="1"/>
      <c r="D332" s="1"/>
    </row>
    <row r="333" ht="15.75" customHeight="1">
      <c r="C333" s="1"/>
      <c r="D333" s="1"/>
    </row>
    <row r="334" ht="15.75" customHeight="1">
      <c r="C334" s="1"/>
      <c r="D334" s="1"/>
    </row>
    <row r="335" ht="15.75" customHeight="1">
      <c r="C335" s="1"/>
      <c r="D335" s="1"/>
    </row>
    <row r="336" ht="15.75" customHeight="1">
      <c r="C336" s="1"/>
      <c r="D336" s="1"/>
    </row>
    <row r="337" ht="15.75" customHeight="1">
      <c r="C337" s="1"/>
      <c r="D337" s="1"/>
    </row>
    <row r="338" ht="15.75" customHeight="1">
      <c r="C338" s="1"/>
      <c r="D338" s="1"/>
    </row>
    <row r="339" ht="15.75" customHeight="1">
      <c r="C339" s="1"/>
      <c r="D339" s="1"/>
    </row>
    <row r="340" ht="15.75" customHeight="1">
      <c r="C340" s="1"/>
      <c r="D340" s="1"/>
    </row>
    <row r="341" ht="15.75" customHeight="1">
      <c r="C341" s="1"/>
      <c r="D341" s="1"/>
    </row>
    <row r="342" ht="15.75" customHeight="1">
      <c r="C342" s="1"/>
      <c r="D342" s="1"/>
    </row>
    <row r="343" ht="15.75" customHeight="1">
      <c r="C343" s="1"/>
      <c r="D343" s="1"/>
    </row>
    <row r="344" ht="15.75" customHeight="1">
      <c r="C344" s="1"/>
      <c r="D344" s="1"/>
    </row>
    <row r="345" ht="15.75" customHeight="1">
      <c r="C345" s="1"/>
      <c r="D345" s="1"/>
    </row>
    <row r="346" ht="15.75" customHeight="1">
      <c r="C346" s="1"/>
      <c r="D346" s="1"/>
    </row>
    <row r="347" ht="15.75" customHeight="1">
      <c r="C347" s="1"/>
      <c r="D347" s="1"/>
    </row>
    <row r="348" ht="15.75" customHeight="1">
      <c r="C348" s="1"/>
      <c r="D348" s="1"/>
    </row>
    <row r="349" ht="15.75" customHeight="1">
      <c r="C349" s="1"/>
      <c r="D349" s="1"/>
    </row>
    <row r="350" ht="15.75" customHeight="1">
      <c r="C350" s="1"/>
      <c r="D350" s="1"/>
    </row>
    <row r="351" ht="15.75" customHeight="1">
      <c r="C351" s="1"/>
      <c r="D351" s="1"/>
    </row>
    <row r="352" ht="15.75" customHeight="1">
      <c r="C352" s="1"/>
      <c r="D352" s="1"/>
    </row>
    <row r="353" ht="15.75" customHeight="1">
      <c r="C353" s="1"/>
      <c r="D353" s="1"/>
    </row>
    <row r="354" ht="15.75" customHeight="1">
      <c r="C354" s="1"/>
      <c r="D354" s="1"/>
    </row>
    <row r="355" ht="15.75" customHeight="1">
      <c r="C355" s="1"/>
      <c r="D355" s="1"/>
    </row>
    <row r="356" ht="15.75" customHeight="1">
      <c r="C356" s="1"/>
      <c r="D356" s="1"/>
    </row>
    <row r="357" ht="15.75" customHeight="1">
      <c r="C357" s="1"/>
      <c r="D357" s="1"/>
    </row>
    <row r="358" ht="15.75" customHeight="1">
      <c r="C358" s="1"/>
      <c r="D358" s="1"/>
    </row>
    <row r="359" ht="15.75" customHeight="1">
      <c r="C359" s="1"/>
      <c r="D359" s="1"/>
    </row>
    <row r="360" ht="15.75" customHeight="1">
      <c r="C360" s="1"/>
      <c r="D360" s="1"/>
    </row>
    <row r="361" ht="15.75" customHeight="1">
      <c r="C361" s="1"/>
      <c r="D361" s="1"/>
    </row>
    <row r="362" ht="15.75" customHeight="1">
      <c r="C362" s="1"/>
      <c r="D362" s="1"/>
    </row>
    <row r="363" ht="15.75" customHeight="1">
      <c r="C363" s="1"/>
      <c r="D363" s="1"/>
    </row>
    <row r="364" ht="15.75" customHeight="1">
      <c r="C364" s="1"/>
      <c r="D364" s="1"/>
    </row>
    <row r="365" ht="15.75" customHeight="1">
      <c r="C365" s="1"/>
      <c r="D365" s="1"/>
    </row>
    <row r="366" ht="15.75" customHeight="1">
      <c r="C366" s="1"/>
      <c r="D366" s="1"/>
    </row>
    <row r="367" ht="15.75" customHeight="1">
      <c r="C367" s="1"/>
      <c r="D367" s="1"/>
    </row>
    <row r="368" ht="15.75" customHeight="1">
      <c r="C368" s="1"/>
      <c r="D368" s="1"/>
    </row>
    <row r="369" ht="15.75" customHeight="1">
      <c r="C369" s="1"/>
      <c r="D369" s="1"/>
    </row>
    <row r="370" ht="15.75" customHeight="1">
      <c r="C370" s="1"/>
      <c r="D370" s="1"/>
    </row>
    <row r="371" ht="15.75" customHeight="1">
      <c r="C371" s="1"/>
      <c r="D371" s="1"/>
    </row>
    <row r="372" ht="15.75" customHeight="1">
      <c r="C372" s="1"/>
      <c r="D372" s="1"/>
    </row>
    <row r="373" ht="15.75" customHeight="1">
      <c r="C373" s="1"/>
      <c r="D373" s="1"/>
    </row>
    <row r="374" ht="15.75" customHeight="1">
      <c r="C374" s="1"/>
      <c r="D374" s="1"/>
    </row>
    <row r="375" ht="15.75" customHeight="1">
      <c r="C375" s="1"/>
      <c r="D375" s="1"/>
    </row>
    <row r="376" ht="15.75" customHeight="1">
      <c r="C376" s="1"/>
      <c r="D376" s="1"/>
    </row>
    <row r="377" ht="15.75" customHeight="1">
      <c r="C377" s="1"/>
      <c r="D377" s="1"/>
    </row>
    <row r="378" ht="15.75" customHeight="1">
      <c r="C378" s="1"/>
      <c r="D378" s="1"/>
    </row>
    <row r="379" ht="15.75" customHeight="1">
      <c r="C379" s="1"/>
      <c r="D379" s="1"/>
    </row>
    <row r="380" ht="15.75" customHeight="1">
      <c r="C380" s="1"/>
      <c r="D380" s="1"/>
    </row>
    <row r="381" ht="15.75" customHeight="1">
      <c r="C381" s="1"/>
      <c r="D381" s="1"/>
    </row>
    <row r="382" ht="15.75" customHeight="1">
      <c r="C382" s="1"/>
      <c r="D382" s="1"/>
    </row>
    <row r="383" ht="15.75" customHeight="1">
      <c r="C383" s="1"/>
      <c r="D383" s="1"/>
    </row>
    <row r="384" ht="15.75" customHeight="1">
      <c r="C384" s="1"/>
      <c r="D384" s="1"/>
    </row>
    <row r="385" ht="15.75" customHeight="1">
      <c r="C385" s="1"/>
      <c r="D385" s="1"/>
    </row>
    <row r="386" ht="15.75" customHeight="1">
      <c r="C386" s="1"/>
      <c r="D386" s="1"/>
    </row>
    <row r="387" ht="15.75" customHeight="1">
      <c r="C387" s="1"/>
      <c r="D387" s="1"/>
    </row>
    <row r="388" ht="15.75" customHeight="1">
      <c r="C388" s="1"/>
      <c r="D388" s="1"/>
    </row>
    <row r="389" ht="15.75" customHeight="1">
      <c r="C389" s="1"/>
      <c r="D389" s="1"/>
    </row>
    <row r="390" ht="15.75" customHeight="1">
      <c r="C390" s="1"/>
      <c r="D390" s="1"/>
    </row>
    <row r="391" ht="15.75" customHeight="1">
      <c r="C391" s="1"/>
      <c r="D391" s="1"/>
    </row>
    <row r="392" ht="15.75" customHeight="1">
      <c r="C392" s="1"/>
      <c r="D392" s="1"/>
    </row>
    <row r="393" ht="15.75" customHeight="1">
      <c r="C393" s="1"/>
      <c r="D393" s="1"/>
    </row>
    <row r="394" ht="15.75" customHeight="1">
      <c r="C394" s="1"/>
      <c r="D394" s="1"/>
    </row>
    <row r="395" ht="15.75" customHeight="1">
      <c r="C395" s="1"/>
      <c r="D395" s="1"/>
    </row>
    <row r="396" ht="15.75" customHeight="1">
      <c r="C396" s="1"/>
      <c r="D396" s="1"/>
    </row>
    <row r="397" ht="15.75" customHeight="1">
      <c r="C397" s="1"/>
      <c r="D397" s="1"/>
    </row>
    <row r="398" ht="15.75" customHeight="1">
      <c r="C398" s="1"/>
      <c r="D398" s="1"/>
    </row>
    <row r="399" ht="15.75" customHeight="1">
      <c r="C399" s="1"/>
      <c r="D399" s="1"/>
    </row>
    <row r="400" ht="15.75" customHeight="1">
      <c r="C400" s="1"/>
      <c r="D400" s="1"/>
    </row>
    <row r="401" ht="15.75" customHeight="1">
      <c r="C401" s="1"/>
      <c r="D401" s="1"/>
    </row>
    <row r="402" ht="15.75" customHeight="1">
      <c r="C402" s="1"/>
      <c r="D402" s="1"/>
    </row>
    <row r="403" ht="15.75" customHeight="1">
      <c r="C403" s="1"/>
      <c r="D403" s="1"/>
    </row>
    <row r="404" ht="15.75" customHeight="1">
      <c r="C404" s="1"/>
      <c r="D404" s="1"/>
    </row>
    <row r="405" ht="15.75" customHeight="1">
      <c r="C405" s="1"/>
      <c r="D405" s="1"/>
    </row>
    <row r="406" ht="15.75" customHeight="1">
      <c r="C406" s="1"/>
      <c r="D406" s="1"/>
    </row>
    <row r="407" ht="15.75" customHeight="1">
      <c r="C407" s="1"/>
      <c r="D407" s="1"/>
    </row>
    <row r="408" ht="15.75" customHeight="1">
      <c r="C408" s="1"/>
      <c r="D408" s="1"/>
    </row>
    <row r="409" ht="15.75" customHeight="1">
      <c r="C409" s="1"/>
      <c r="D409" s="1"/>
    </row>
    <row r="410" ht="15.75" customHeight="1">
      <c r="C410" s="1"/>
      <c r="D410" s="1"/>
    </row>
    <row r="411" ht="15.75" customHeight="1">
      <c r="C411" s="1"/>
      <c r="D411" s="1"/>
    </row>
    <row r="412" ht="15.75" customHeight="1">
      <c r="C412" s="1"/>
      <c r="D412" s="1"/>
    </row>
    <row r="413" ht="15.75" customHeight="1">
      <c r="C413" s="1"/>
      <c r="D413" s="1"/>
    </row>
    <row r="414" ht="15.75" customHeight="1">
      <c r="C414" s="1"/>
      <c r="D414" s="1"/>
    </row>
    <row r="415" ht="15.75" customHeight="1">
      <c r="C415" s="1"/>
      <c r="D415" s="1"/>
    </row>
    <row r="416" ht="15.75" customHeight="1">
      <c r="C416" s="1"/>
      <c r="D416" s="1"/>
    </row>
    <row r="417" ht="15.75" customHeight="1">
      <c r="C417" s="1"/>
      <c r="D417" s="1"/>
    </row>
    <row r="418" ht="15.75" customHeight="1">
      <c r="C418" s="1"/>
      <c r="D418" s="1"/>
    </row>
    <row r="419" ht="15.75" customHeight="1">
      <c r="C419" s="1"/>
      <c r="D419" s="1"/>
    </row>
    <row r="420" ht="15.75" customHeight="1">
      <c r="C420" s="1"/>
      <c r="D420" s="1"/>
    </row>
    <row r="421" ht="15.75" customHeight="1">
      <c r="C421" s="1"/>
      <c r="D421" s="1"/>
    </row>
    <row r="422" ht="15.75" customHeight="1">
      <c r="C422" s="1"/>
      <c r="D422" s="1"/>
    </row>
    <row r="423" ht="15.75" customHeight="1">
      <c r="C423" s="1"/>
      <c r="D423" s="1"/>
    </row>
    <row r="424" ht="15.75" customHeight="1">
      <c r="C424" s="1"/>
      <c r="D424" s="1"/>
    </row>
    <row r="425" ht="15.75" customHeight="1">
      <c r="C425" s="1"/>
      <c r="D425" s="1"/>
    </row>
    <row r="426" ht="15.75" customHeight="1">
      <c r="C426" s="1"/>
      <c r="D426" s="1"/>
    </row>
    <row r="427" ht="15.75" customHeight="1">
      <c r="C427" s="1"/>
      <c r="D427" s="1"/>
    </row>
    <row r="428" ht="15.75" customHeight="1">
      <c r="C428" s="1"/>
      <c r="D428" s="1"/>
    </row>
    <row r="429" ht="15.75" customHeight="1">
      <c r="C429" s="1"/>
      <c r="D429" s="1"/>
    </row>
    <row r="430" ht="15.75" customHeight="1">
      <c r="C430" s="1"/>
      <c r="D430" s="1"/>
    </row>
    <row r="431" ht="15.75" customHeight="1">
      <c r="C431" s="1"/>
      <c r="D431" s="1"/>
    </row>
    <row r="432" ht="15.75" customHeight="1">
      <c r="C432" s="1"/>
      <c r="D432" s="1"/>
    </row>
    <row r="433" ht="15.75" customHeight="1">
      <c r="C433" s="1"/>
      <c r="D433" s="1"/>
    </row>
    <row r="434" ht="15.75" customHeight="1">
      <c r="C434" s="1"/>
      <c r="D434" s="1"/>
    </row>
    <row r="435" ht="15.75" customHeight="1">
      <c r="C435" s="1"/>
      <c r="D435" s="1"/>
    </row>
    <row r="436" ht="15.75" customHeight="1">
      <c r="C436" s="1"/>
      <c r="D436" s="1"/>
    </row>
    <row r="437" ht="15.75" customHeight="1">
      <c r="C437" s="1"/>
      <c r="D437" s="1"/>
    </row>
    <row r="438" ht="15.75" customHeight="1">
      <c r="C438" s="1"/>
      <c r="D438" s="1"/>
    </row>
    <row r="439" ht="15.75" customHeight="1">
      <c r="C439" s="1"/>
      <c r="D439" s="1"/>
    </row>
    <row r="440" ht="15.75" customHeight="1">
      <c r="C440" s="1"/>
      <c r="D440" s="1"/>
    </row>
    <row r="441" ht="15.75" customHeight="1">
      <c r="C441" s="1"/>
      <c r="D441" s="1"/>
    </row>
    <row r="442" ht="15.75" customHeight="1">
      <c r="C442" s="1"/>
      <c r="D442" s="1"/>
    </row>
    <row r="443" ht="15.75" customHeight="1">
      <c r="C443" s="1"/>
      <c r="D443" s="1"/>
    </row>
    <row r="444" ht="15.75" customHeight="1">
      <c r="C444" s="1"/>
      <c r="D444" s="1"/>
    </row>
    <row r="445" ht="15.75" customHeight="1">
      <c r="C445" s="1"/>
      <c r="D445" s="1"/>
    </row>
    <row r="446" ht="15.75" customHeight="1">
      <c r="C446" s="1"/>
      <c r="D446" s="1"/>
    </row>
    <row r="447" ht="15.75" customHeight="1">
      <c r="C447" s="1"/>
      <c r="D447" s="1"/>
    </row>
    <row r="448" ht="15.75" customHeight="1">
      <c r="C448" s="1"/>
      <c r="D448" s="1"/>
    </row>
    <row r="449" ht="15.75" customHeight="1">
      <c r="C449" s="1"/>
      <c r="D449" s="1"/>
    </row>
    <row r="450" ht="15.75" customHeight="1">
      <c r="C450" s="1"/>
      <c r="D450" s="1"/>
    </row>
    <row r="451" ht="15.75" customHeight="1">
      <c r="C451" s="1"/>
      <c r="D451" s="1"/>
    </row>
    <row r="452" ht="15.75" customHeight="1">
      <c r="C452" s="1"/>
      <c r="D452" s="1"/>
    </row>
    <row r="453" ht="15.75" customHeight="1">
      <c r="C453" s="1"/>
      <c r="D453" s="1"/>
    </row>
    <row r="454" ht="15.75" customHeight="1">
      <c r="C454" s="1"/>
      <c r="D454" s="1"/>
    </row>
    <row r="455" ht="15.75" customHeight="1">
      <c r="C455" s="1"/>
      <c r="D455" s="1"/>
    </row>
    <row r="456" ht="15.75" customHeight="1">
      <c r="C456" s="1"/>
      <c r="D456" s="1"/>
    </row>
    <row r="457" ht="15.75" customHeight="1">
      <c r="C457" s="1"/>
      <c r="D457" s="1"/>
    </row>
    <row r="458" ht="15.75" customHeight="1">
      <c r="C458" s="1"/>
      <c r="D458" s="1"/>
    </row>
    <row r="459" ht="15.75" customHeight="1">
      <c r="C459" s="1"/>
      <c r="D459" s="1"/>
    </row>
    <row r="460" ht="15.75" customHeight="1">
      <c r="C460" s="1"/>
      <c r="D460" s="1"/>
    </row>
    <row r="461" ht="15.75" customHeight="1">
      <c r="C461" s="1"/>
      <c r="D461" s="1"/>
    </row>
    <row r="462" ht="15.75" customHeight="1">
      <c r="C462" s="1"/>
      <c r="D462" s="1"/>
    </row>
    <row r="463" ht="15.75" customHeight="1">
      <c r="C463" s="1"/>
      <c r="D463" s="1"/>
    </row>
    <row r="464" ht="15.75" customHeight="1">
      <c r="C464" s="1"/>
      <c r="D464" s="1"/>
    </row>
    <row r="465" ht="15.75" customHeight="1">
      <c r="C465" s="1"/>
      <c r="D465" s="1"/>
    </row>
    <row r="466" ht="15.75" customHeight="1">
      <c r="C466" s="1"/>
      <c r="D466" s="1"/>
    </row>
    <row r="467" ht="15.75" customHeight="1">
      <c r="C467" s="1"/>
      <c r="D467" s="1"/>
    </row>
    <row r="468" ht="15.75" customHeight="1">
      <c r="C468" s="1"/>
      <c r="D468" s="1"/>
    </row>
    <row r="469" ht="15.75" customHeight="1">
      <c r="C469" s="1"/>
      <c r="D469" s="1"/>
    </row>
    <row r="470" ht="15.75" customHeight="1">
      <c r="C470" s="1"/>
      <c r="D470" s="1"/>
    </row>
    <row r="471" ht="15.75" customHeight="1">
      <c r="C471" s="1"/>
      <c r="D471" s="1"/>
    </row>
    <row r="472" ht="15.75" customHeight="1">
      <c r="C472" s="1"/>
      <c r="D472" s="1"/>
    </row>
    <row r="473" ht="15.75" customHeight="1">
      <c r="C473" s="1"/>
      <c r="D473" s="1"/>
    </row>
    <row r="474" ht="15.75" customHeight="1">
      <c r="C474" s="1"/>
      <c r="D474" s="1"/>
    </row>
    <row r="475" ht="15.75" customHeight="1">
      <c r="C475" s="1"/>
      <c r="D475" s="1"/>
    </row>
    <row r="476" ht="15.75" customHeight="1">
      <c r="C476" s="1"/>
      <c r="D476" s="1"/>
    </row>
    <row r="477" ht="15.75" customHeight="1">
      <c r="C477" s="1"/>
      <c r="D477" s="1"/>
    </row>
    <row r="478" ht="15.75" customHeight="1">
      <c r="C478" s="1"/>
      <c r="D478" s="1"/>
    </row>
    <row r="479" ht="15.75" customHeight="1">
      <c r="C479" s="1"/>
      <c r="D479" s="1"/>
    </row>
    <row r="480" ht="15.75" customHeight="1">
      <c r="C480" s="1"/>
      <c r="D480" s="1"/>
    </row>
    <row r="481" ht="15.75" customHeight="1">
      <c r="C481" s="1"/>
      <c r="D481" s="1"/>
    </row>
    <row r="482" ht="15.75" customHeight="1">
      <c r="C482" s="1"/>
      <c r="D482" s="1"/>
    </row>
    <row r="483" ht="15.75" customHeight="1">
      <c r="C483" s="1"/>
      <c r="D483" s="1"/>
    </row>
    <row r="484" ht="15.75" customHeight="1">
      <c r="C484" s="1"/>
      <c r="D484" s="1"/>
    </row>
    <row r="485" ht="15.75" customHeight="1">
      <c r="C485" s="1"/>
      <c r="D485" s="1"/>
    </row>
    <row r="486" ht="15.75" customHeight="1">
      <c r="C486" s="1"/>
      <c r="D486" s="1"/>
    </row>
    <row r="487" ht="15.75" customHeight="1">
      <c r="C487" s="1"/>
      <c r="D487" s="1"/>
    </row>
    <row r="488" ht="15.75" customHeight="1">
      <c r="C488" s="1"/>
      <c r="D488" s="1"/>
    </row>
    <row r="489" ht="15.75" customHeight="1">
      <c r="C489" s="1"/>
      <c r="D489" s="1"/>
    </row>
    <row r="490" ht="15.75" customHeight="1">
      <c r="C490" s="1"/>
      <c r="D490" s="1"/>
    </row>
    <row r="491" ht="15.75" customHeight="1">
      <c r="C491" s="1"/>
      <c r="D491" s="1"/>
    </row>
    <row r="492" ht="15.75" customHeight="1">
      <c r="C492" s="1"/>
      <c r="D492" s="1"/>
    </row>
    <row r="493" ht="15.75" customHeight="1">
      <c r="C493" s="1"/>
      <c r="D493" s="1"/>
    </row>
    <row r="494" ht="15.75" customHeight="1">
      <c r="C494" s="1"/>
      <c r="D494" s="1"/>
    </row>
    <row r="495" ht="15.75" customHeight="1">
      <c r="C495" s="1"/>
      <c r="D495" s="1"/>
    </row>
    <row r="496" ht="15.75" customHeight="1">
      <c r="C496" s="1"/>
      <c r="D496" s="1"/>
    </row>
    <row r="497" ht="15.75" customHeight="1">
      <c r="C497" s="1"/>
      <c r="D497" s="1"/>
    </row>
    <row r="498" ht="15.75" customHeight="1">
      <c r="C498" s="1"/>
      <c r="D498" s="1"/>
    </row>
    <row r="499" ht="15.75" customHeight="1">
      <c r="C499" s="1"/>
      <c r="D499" s="1"/>
    </row>
    <row r="500" ht="15.75" customHeight="1">
      <c r="C500" s="1"/>
      <c r="D500" s="1"/>
    </row>
    <row r="501" ht="15.75" customHeight="1">
      <c r="C501" s="1"/>
      <c r="D501" s="1"/>
    </row>
    <row r="502" ht="15.75" customHeight="1">
      <c r="C502" s="1"/>
      <c r="D502" s="1"/>
    </row>
    <row r="503" ht="15.75" customHeight="1">
      <c r="C503" s="1"/>
      <c r="D503" s="1"/>
    </row>
    <row r="504" ht="15.75" customHeight="1">
      <c r="C504" s="1"/>
      <c r="D504" s="1"/>
    </row>
    <row r="505" ht="15.75" customHeight="1">
      <c r="C505" s="1"/>
      <c r="D505" s="1"/>
    </row>
    <row r="506" ht="15.75" customHeight="1">
      <c r="C506" s="1"/>
      <c r="D506" s="1"/>
    </row>
    <row r="507" ht="15.75" customHeight="1">
      <c r="C507" s="1"/>
      <c r="D507" s="1"/>
    </row>
    <row r="508" ht="15.75" customHeight="1">
      <c r="C508" s="1"/>
      <c r="D508" s="1"/>
    </row>
    <row r="509" ht="15.75" customHeight="1">
      <c r="C509" s="1"/>
      <c r="D509" s="1"/>
    </row>
    <row r="510" ht="15.75" customHeight="1">
      <c r="C510" s="1"/>
      <c r="D510" s="1"/>
    </row>
    <row r="511" ht="15.75" customHeight="1">
      <c r="C511" s="1"/>
      <c r="D511" s="1"/>
    </row>
    <row r="512" ht="15.75" customHeight="1">
      <c r="C512" s="1"/>
      <c r="D512" s="1"/>
    </row>
    <row r="513" ht="15.75" customHeight="1">
      <c r="C513" s="1"/>
      <c r="D513" s="1"/>
    </row>
    <row r="514" ht="15.75" customHeight="1">
      <c r="C514" s="1"/>
      <c r="D514" s="1"/>
    </row>
    <row r="515" ht="15.75" customHeight="1">
      <c r="C515" s="1"/>
      <c r="D515" s="1"/>
    </row>
    <row r="516" ht="15.75" customHeight="1">
      <c r="C516" s="1"/>
      <c r="D516" s="1"/>
    </row>
    <row r="517" ht="15.75" customHeight="1">
      <c r="C517" s="1"/>
      <c r="D517" s="1"/>
    </row>
    <row r="518" ht="15.75" customHeight="1">
      <c r="C518" s="1"/>
      <c r="D518" s="1"/>
    </row>
    <row r="519" ht="15.75" customHeight="1">
      <c r="C519" s="1"/>
      <c r="D519" s="1"/>
    </row>
    <row r="520" ht="15.75" customHeight="1">
      <c r="C520" s="1"/>
      <c r="D520" s="1"/>
    </row>
    <row r="521" ht="15.75" customHeight="1">
      <c r="C521" s="1"/>
      <c r="D521" s="1"/>
    </row>
    <row r="522" ht="15.75" customHeight="1">
      <c r="C522" s="1"/>
      <c r="D522" s="1"/>
    </row>
    <row r="523" ht="15.75" customHeight="1">
      <c r="C523" s="1"/>
      <c r="D523" s="1"/>
    </row>
    <row r="524" ht="15.75" customHeight="1">
      <c r="C524" s="1"/>
      <c r="D524" s="1"/>
    </row>
    <row r="525" ht="15.75" customHeight="1">
      <c r="C525" s="1"/>
      <c r="D525" s="1"/>
    </row>
    <row r="526" ht="15.75" customHeight="1">
      <c r="C526" s="1"/>
      <c r="D526" s="1"/>
    </row>
    <row r="527" ht="15.75" customHeight="1">
      <c r="C527" s="1"/>
      <c r="D527" s="1"/>
    </row>
    <row r="528" ht="15.75" customHeight="1">
      <c r="C528" s="1"/>
      <c r="D528" s="1"/>
    </row>
    <row r="529" ht="15.75" customHeight="1">
      <c r="C529" s="1"/>
      <c r="D529" s="1"/>
    </row>
    <row r="530" ht="15.75" customHeight="1">
      <c r="C530" s="1"/>
      <c r="D530" s="1"/>
    </row>
    <row r="531" ht="15.75" customHeight="1">
      <c r="C531" s="1"/>
      <c r="D531" s="1"/>
    </row>
    <row r="532" ht="15.75" customHeight="1">
      <c r="C532" s="1"/>
      <c r="D532" s="1"/>
    </row>
    <row r="533" ht="15.75" customHeight="1">
      <c r="C533" s="1"/>
      <c r="D533" s="1"/>
    </row>
    <row r="534" ht="15.75" customHeight="1">
      <c r="C534" s="1"/>
      <c r="D534" s="1"/>
    </row>
    <row r="535" ht="15.75" customHeight="1">
      <c r="C535" s="1"/>
      <c r="D535" s="1"/>
    </row>
    <row r="536" ht="15.75" customHeight="1">
      <c r="C536" s="1"/>
      <c r="D536" s="1"/>
    </row>
    <row r="537" ht="15.75" customHeight="1">
      <c r="C537" s="1"/>
      <c r="D537" s="1"/>
    </row>
    <row r="538" ht="15.75" customHeight="1">
      <c r="C538" s="1"/>
      <c r="D538" s="1"/>
    </row>
    <row r="539" ht="15.75" customHeight="1">
      <c r="C539" s="1"/>
      <c r="D539" s="1"/>
    </row>
    <row r="540" ht="15.75" customHeight="1">
      <c r="C540" s="1"/>
      <c r="D540" s="1"/>
    </row>
    <row r="541" ht="15.75" customHeight="1">
      <c r="C541" s="1"/>
      <c r="D541" s="1"/>
    </row>
    <row r="542" ht="15.75" customHeight="1">
      <c r="C542" s="1"/>
      <c r="D542" s="1"/>
    </row>
    <row r="543" ht="15.75" customHeight="1">
      <c r="C543" s="1"/>
      <c r="D543" s="1"/>
    </row>
    <row r="544" ht="15.75" customHeight="1">
      <c r="C544" s="1"/>
      <c r="D544" s="1"/>
    </row>
    <row r="545" ht="15.75" customHeight="1">
      <c r="C545" s="1"/>
      <c r="D545" s="1"/>
    </row>
    <row r="546" ht="15.75" customHeight="1">
      <c r="C546" s="1"/>
      <c r="D546" s="1"/>
    </row>
    <row r="547" ht="15.75" customHeight="1">
      <c r="C547" s="1"/>
      <c r="D547" s="1"/>
    </row>
    <row r="548" ht="15.75" customHeight="1">
      <c r="C548" s="1"/>
      <c r="D548" s="1"/>
    </row>
    <row r="549" ht="15.75" customHeight="1">
      <c r="C549" s="1"/>
      <c r="D549" s="1"/>
    </row>
    <row r="550" ht="15.75" customHeight="1">
      <c r="C550" s="1"/>
      <c r="D550" s="1"/>
    </row>
    <row r="551" ht="15.75" customHeight="1">
      <c r="C551" s="1"/>
      <c r="D551" s="1"/>
    </row>
    <row r="552" ht="15.75" customHeight="1">
      <c r="C552" s="1"/>
      <c r="D552" s="1"/>
    </row>
    <row r="553" ht="15.75" customHeight="1">
      <c r="C553" s="1"/>
      <c r="D553" s="1"/>
    </row>
    <row r="554" ht="15.75" customHeight="1">
      <c r="C554" s="1"/>
      <c r="D554" s="1"/>
    </row>
    <row r="555" ht="15.75" customHeight="1">
      <c r="C555" s="1"/>
      <c r="D555" s="1"/>
    </row>
    <row r="556" ht="15.75" customHeight="1">
      <c r="C556" s="1"/>
      <c r="D556" s="1"/>
    </row>
    <row r="557" ht="15.75" customHeight="1">
      <c r="C557" s="1"/>
      <c r="D557" s="1"/>
    </row>
    <row r="558" ht="15.75" customHeight="1">
      <c r="C558" s="1"/>
      <c r="D558" s="1"/>
    </row>
    <row r="559" ht="15.75" customHeight="1">
      <c r="C559" s="1"/>
      <c r="D559" s="1"/>
    </row>
    <row r="560" ht="15.75" customHeight="1">
      <c r="C560" s="1"/>
      <c r="D560" s="1"/>
    </row>
    <row r="561" ht="15.75" customHeight="1">
      <c r="C561" s="1"/>
      <c r="D561" s="1"/>
    </row>
    <row r="562" ht="15.75" customHeight="1">
      <c r="C562" s="1"/>
      <c r="D562" s="1"/>
    </row>
    <row r="563" ht="15.75" customHeight="1">
      <c r="C563" s="1"/>
      <c r="D563" s="1"/>
    </row>
    <row r="564" ht="15.75" customHeight="1">
      <c r="C564" s="1"/>
      <c r="D564" s="1"/>
    </row>
    <row r="565" ht="15.75" customHeight="1">
      <c r="C565" s="1"/>
      <c r="D565" s="1"/>
    </row>
    <row r="566" ht="15.75" customHeight="1">
      <c r="C566" s="1"/>
      <c r="D566" s="1"/>
    </row>
    <row r="567" ht="15.75" customHeight="1">
      <c r="C567" s="1"/>
      <c r="D567" s="1"/>
    </row>
    <row r="568" ht="15.75" customHeight="1">
      <c r="C568" s="1"/>
      <c r="D568" s="1"/>
    </row>
    <row r="569" ht="15.75" customHeight="1">
      <c r="C569" s="1"/>
      <c r="D569" s="1"/>
    </row>
    <row r="570" ht="15.75" customHeight="1">
      <c r="C570" s="1"/>
      <c r="D570" s="1"/>
    </row>
    <row r="571" ht="15.75" customHeight="1">
      <c r="C571" s="1"/>
      <c r="D571" s="1"/>
    </row>
    <row r="572" ht="15.75" customHeight="1">
      <c r="C572" s="1"/>
      <c r="D572" s="1"/>
    </row>
    <row r="573" ht="15.75" customHeight="1">
      <c r="C573" s="1"/>
      <c r="D573" s="1"/>
    </row>
    <row r="574" ht="15.75" customHeight="1">
      <c r="C574" s="1"/>
      <c r="D574" s="1"/>
    </row>
    <row r="575" ht="15.75" customHeight="1">
      <c r="C575" s="1"/>
      <c r="D575" s="1"/>
    </row>
    <row r="576" ht="15.75" customHeight="1">
      <c r="C576" s="1"/>
      <c r="D576" s="1"/>
    </row>
    <row r="577" ht="15.75" customHeight="1">
      <c r="C577" s="1"/>
      <c r="D577" s="1"/>
    </row>
    <row r="578" ht="15.75" customHeight="1">
      <c r="C578" s="1"/>
      <c r="D578" s="1"/>
    </row>
    <row r="579" ht="15.75" customHeight="1">
      <c r="C579" s="1"/>
      <c r="D579" s="1"/>
    </row>
    <row r="580" ht="15.75" customHeight="1">
      <c r="C580" s="1"/>
      <c r="D580" s="1"/>
    </row>
    <row r="581" ht="15.75" customHeight="1">
      <c r="C581" s="1"/>
      <c r="D581" s="1"/>
    </row>
    <row r="582" ht="15.75" customHeight="1">
      <c r="C582" s="1"/>
      <c r="D582" s="1"/>
    </row>
    <row r="583" ht="15.75" customHeight="1">
      <c r="C583" s="1"/>
      <c r="D583" s="1"/>
    </row>
    <row r="584" ht="15.75" customHeight="1">
      <c r="C584" s="1"/>
      <c r="D584" s="1"/>
    </row>
    <row r="585" ht="15.75" customHeight="1">
      <c r="C585" s="1"/>
      <c r="D585" s="1"/>
    </row>
    <row r="586" ht="15.75" customHeight="1">
      <c r="C586" s="1"/>
      <c r="D586" s="1"/>
    </row>
    <row r="587" ht="15.75" customHeight="1">
      <c r="C587" s="1"/>
      <c r="D587" s="1"/>
    </row>
    <row r="588" ht="15.75" customHeight="1">
      <c r="C588" s="1"/>
      <c r="D588" s="1"/>
    </row>
    <row r="589" ht="15.75" customHeight="1">
      <c r="C589" s="1"/>
      <c r="D589" s="1"/>
    </row>
    <row r="590" ht="15.75" customHeight="1">
      <c r="C590" s="1"/>
      <c r="D590" s="1"/>
    </row>
    <row r="591" ht="15.75" customHeight="1">
      <c r="C591" s="1"/>
      <c r="D591" s="1"/>
    </row>
    <row r="592" ht="15.75" customHeight="1">
      <c r="C592" s="1"/>
      <c r="D592" s="1"/>
    </row>
    <row r="593" ht="15.75" customHeight="1">
      <c r="C593" s="1"/>
      <c r="D593" s="1"/>
    </row>
    <row r="594" ht="15.75" customHeight="1">
      <c r="C594" s="1"/>
      <c r="D594" s="1"/>
    </row>
    <row r="595" ht="15.75" customHeight="1">
      <c r="C595" s="1"/>
      <c r="D595" s="1"/>
    </row>
    <row r="596" ht="15.75" customHeight="1">
      <c r="C596" s="1"/>
      <c r="D596" s="1"/>
    </row>
    <row r="597" ht="15.75" customHeight="1">
      <c r="C597" s="1"/>
      <c r="D597" s="1"/>
    </row>
    <row r="598" ht="15.75" customHeight="1">
      <c r="C598" s="1"/>
      <c r="D598" s="1"/>
    </row>
    <row r="599" ht="15.75" customHeight="1">
      <c r="C599" s="1"/>
      <c r="D599" s="1"/>
    </row>
    <row r="600" ht="15.75" customHeight="1">
      <c r="C600" s="1"/>
      <c r="D600" s="1"/>
    </row>
    <row r="601" ht="15.75" customHeight="1">
      <c r="C601" s="1"/>
      <c r="D601" s="1"/>
    </row>
    <row r="602" ht="15.75" customHeight="1">
      <c r="C602" s="1"/>
      <c r="D602" s="1"/>
    </row>
    <row r="603" ht="15.75" customHeight="1">
      <c r="C603" s="1"/>
      <c r="D603" s="1"/>
    </row>
    <row r="604" ht="15.75" customHeight="1">
      <c r="C604" s="1"/>
      <c r="D604" s="1"/>
    </row>
    <row r="605" ht="15.75" customHeight="1">
      <c r="C605" s="1"/>
      <c r="D605" s="1"/>
    </row>
    <row r="606" ht="15.75" customHeight="1">
      <c r="C606" s="1"/>
      <c r="D606" s="1"/>
    </row>
    <row r="607" ht="15.75" customHeight="1">
      <c r="C607" s="1"/>
      <c r="D607" s="1"/>
    </row>
    <row r="608" ht="15.75" customHeight="1">
      <c r="C608" s="1"/>
      <c r="D608" s="1"/>
    </row>
    <row r="609" ht="15.75" customHeight="1">
      <c r="C609" s="1"/>
      <c r="D609" s="1"/>
    </row>
    <row r="610" ht="15.75" customHeight="1">
      <c r="C610" s="1"/>
      <c r="D610" s="1"/>
    </row>
    <row r="611" ht="15.75" customHeight="1">
      <c r="C611" s="1"/>
      <c r="D611" s="1"/>
    </row>
    <row r="612" ht="15.75" customHeight="1">
      <c r="C612" s="1"/>
      <c r="D612" s="1"/>
    </row>
    <row r="613" ht="15.75" customHeight="1">
      <c r="C613" s="1"/>
      <c r="D613" s="1"/>
    </row>
    <row r="614" ht="15.75" customHeight="1">
      <c r="C614" s="1"/>
      <c r="D614" s="1"/>
    </row>
    <row r="615" ht="15.75" customHeight="1">
      <c r="C615" s="1"/>
      <c r="D615" s="1"/>
    </row>
    <row r="616" ht="15.75" customHeight="1">
      <c r="C616" s="1"/>
      <c r="D616" s="1"/>
    </row>
    <row r="617" ht="15.75" customHeight="1">
      <c r="C617" s="1"/>
      <c r="D617" s="1"/>
    </row>
    <row r="618" ht="15.75" customHeight="1">
      <c r="C618" s="1"/>
      <c r="D618" s="1"/>
    </row>
    <row r="619" ht="15.75" customHeight="1">
      <c r="C619" s="1"/>
      <c r="D619" s="1"/>
    </row>
    <row r="620" ht="15.75" customHeight="1">
      <c r="C620" s="1"/>
      <c r="D620" s="1"/>
    </row>
    <row r="621" ht="15.75" customHeight="1">
      <c r="C621" s="1"/>
      <c r="D621" s="1"/>
    </row>
    <row r="622" ht="15.75" customHeight="1">
      <c r="C622" s="1"/>
      <c r="D622" s="1"/>
    </row>
    <row r="623" ht="15.75" customHeight="1">
      <c r="C623" s="1"/>
      <c r="D623" s="1"/>
    </row>
    <row r="624" ht="15.75" customHeight="1">
      <c r="C624" s="1"/>
      <c r="D624" s="1"/>
    </row>
    <row r="625" ht="15.75" customHeight="1">
      <c r="C625" s="1"/>
      <c r="D625" s="1"/>
    </row>
    <row r="626" ht="15.75" customHeight="1">
      <c r="C626" s="1"/>
      <c r="D626" s="1"/>
    </row>
    <row r="627" ht="15.75" customHeight="1">
      <c r="C627" s="1"/>
      <c r="D627" s="1"/>
    </row>
    <row r="628" ht="15.75" customHeight="1">
      <c r="C628" s="1"/>
      <c r="D628" s="1"/>
    </row>
    <row r="629" ht="15.75" customHeight="1">
      <c r="C629" s="1"/>
      <c r="D629" s="1"/>
    </row>
    <row r="630" ht="15.75" customHeight="1">
      <c r="C630" s="1"/>
      <c r="D630" s="1"/>
    </row>
    <row r="631" ht="15.75" customHeight="1">
      <c r="C631" s="1"/>
      <c r="D631" s="1"/>
    </row>
    <row r="632" ht="15.75" customHeight="1">
      <c r="C632" s="1"/>
      <c r="D632" s="1"/>
    </row>
    <row r="633" ht="15.75" customHeight="1">
      <c r="C633" s="1"/>
      <c r="D633" s="1"/>
    </row>
    <row r="634" ht="15.75" customHeight="1">
      <c r="C634" s="1"/>
      <c r="D634" s="1"/>
    </row>
    <row r="635" ht="15.75" customHeight="1">
      <c r="C635" s="1"/>
      <c r="D635" s="1"/>
    </row>
    <row r="636" ht="15.75" customHeight="1">
      <c r="C636" s="1"/>
      <c r="D636" s="1"/>
    </row>
    <row r="637" ht="15.75" customHeight="1">
      <c r="C637" s="1"/>
      <c r="D637" s="1"/>
    </row>
    <row r="638" ht="15.75" customHeight="1">
      <c r="C638" s="1"/>
      <c r="D638" s="1"/>
    </row>
    <row r="639" ht="15.75" customHeight="1">
      <c r="C639" s="1"/>
      <c r="D639" s="1"/>
    </row>
    <row r="640" ht="15.75" customHeight="1">
      <c r="C640" s="1"/>
      <c r="D640" s="1"/>
    </row>
    <row r="641" ht="15.75" customHeight="1">
      <c r="C641" s="1"/>
      <c r="D641" s="1"/>
    </row>
    <row r="642" ht="15.75" customHeight="1">
      <c r="C642" s="1"/>
      <c r="D642" s="1"/>
    </row>
    <row r="643" ht="15.75" customHeight="1">
      <c r="C643" s="1"/>
      <c r="D643" s="1"/>
    </row>
    <row r="644" ht="15.75" customHeight="1">
      <c r="C644" s="1"/>
      <c r="D644" s="1"/>
    </row>
    <row r="645" ht="15.75" customHeight="1">
      <c r="C645" s="1"/>
      <c r="D645" s="1"/>
    </row>
    <row r="646" ht="15.75" customHeight="1">
      <c r="C646" s="1"/>
      <c r="D646" s="1"/>
    </row>
    <row r="647" ht="15.75" customHeight="1">
      <c r="C647" s="1"/>
      <c r="D647" s="1"/>
    </row>
    <row r="648" ht="15.75" customHeight="1">
      <c r="C648" s="1"/>
      <c r="D648" s="1"/>
    </row>
    <row r="649" ht="15.75" customHeight="1">
      <c r="C649" s="1"/>
      <c r="D649" s="1"/>
    </row>
    <row r="650" ht="15.75" customHeight="1">
      <c r="C650" s="1"/>
      <c r="D650" s="1"/>
    </row>
    <row r="651" ht="15.75" customHeight="1">
      <c r="C651" s="1"/>
      <c r="D651" s="1"/>
    </row>
    <row r="652" ht="15.75" customHeight="1">
      <c r="C652" s="1"/>
      <c r="D652" s="1"/>
    </row>
    <row r="653" ht="15.75" customHeight="1">
      <c r="C653" s="1"/>
      <c r="D653" s="1"/>
    </row>
    <row r="654" ht="15.75" customHeight="1">
      <c r="C654" s="1"/>
      <c r="D654" s="1"/>
    </row>
    <row r="655" ht="15.75" customHeight="1">
      <c r="C655" s="1"/>
      <c r="D655" s="1"/>
    </row>
    <row r="656" ht="15.75" customHeight="1">
      <c r="C656" s="1"/>
      <c r="D656" s="1"/>
    </row>
    <row r="657" ht="15.75" customHeight="1">
      <c r="C657" s="1"/>
      <c r="D657" s="1"/>
    </row>
    <row r="658" ht="15.75" customHeight="1">
      <c r="C658" s="1"/>
      <c r="D658" s="1"/>
    </row>
    <row r="659" ht="15.75" customHeight="1">
      <c r="C659" s="1"/>
      <c r="D659" s="1"/>
    </row>
    <row r="660" ht="15.75" customHeight="1">
      <c r="C660" s="1"/>
      <c r="D660" s="1"/>
    </row>
    <row r="661" ht="15.75" customHeight="1">
      <c r="C661" s="1"/>
      <c r="D661" s="1"/>
    </row>
    <row r="662" ht="15.75" customHeight="1">
      <c r="C662" s="1"/>
      <c r="D662" s="1"/>
    </row>
    <row r="663" ht="15.75" customHeight="1">
      <c r="C663" s="1"/>
      <c r="D663" s="1"/>
    </row>
    <row r="664" ht="15.75" customHeight="1">
      <c r="C664" s="1"/>
      <c r="D664" s="1"/>
    </row>
    <row r="665" ht="15.75" customHeight="1">
      <c r="C665" s="1"/>
      <c r="D665" s="1"/>
    </row>
    <row r="666" ht="15.75" customHeight="1">
      <c r="C666" s="1"/>
      <c r="D666" s="1"/>
    </row>
    <row r="667" ht="15.75" customHeight="1">
      <c r="C667" s="1"/>
      <c r="D667" s="1"/>
    </row>
    <row r="668" ht="15.75" customHeight="1">
      <c r="C668" s="1"/>
      <c r="D668" s="1"/>
    </row>
    <row r="669" ht="15.75" customHeight="1">
      <c r="C669" s="1"/>
      <c r="D669" s="1"/>
    </row>
    <row r="670" ht="15.75" customHeight="1">
      <c r="C670" s="1"/>
      <c r="D670" s="1"/>
    </row>
    <row r="671" ht="15.75" customHeight="1">
      <c r="C671" s="1"/>
      <c r="D671" s="1"/>
    </row>
    <row r="672" ht="15.75" customHeight="1">
      <c r="C672" s="1"/>
      <c r="D672" s="1"/>
    </row>
    <row r="673" ht="15.75" customHeight="1">
      <c r="C673" s="1"/>
      <c r="D673" s="1"/>
    </row>
    <row r="674" ht="15.75" customHeight="1">
      <c r="C674" s="1"/>
      <c r="D674" s="1"/>
    </row>
    <row r="675" ht="15.75" customHeight="1">
      <c r="C675" s="1"/>
      <c r="D675" s="1"/>
    </row>
    <row r="676" ht="15.75" customHeight="1">
      <c r="C676" s="1"/>
      <c r="D676" s="1"/>
    </row>
    <row r="677" ht="15.75" customHeight="1">
      <c r="C677" s="1"/>
      <c r="D677" s="1"/>
    </row>
    <row r="678" ht="15.75" customHeight="1">
      <c r="C678" s="1"/>
      <c r="D678" s="1"/>
    </row>
    <row r="679" ht="15.75" customHeight="1">
      <c r="C679" s="1"/>
      <c r="D679" s="1"/>
    </row>
    <row r="680" ht="15.75" customHeight="1">
      <c r="C680" s="1"/>
      <c r="D680" s="1"/>
    </row>
    <row r="681" ht="15.75" customHeight="1">
      <c r="C681" s="1"/>
      <c r="D681" s="1"/>
    </row>
    <row r="682" ht="15.75" customHeight="1">
      <c r="C682" s="1"/>
      <c r="D682" s="1"/>
    </row>
    <row r="683" ht="15.75" customHeight="1">
      <c r="C683" s="1"/>
      <c r="D683" s="1"/>
    </row>
    <row r="684" ht="15.75" customHeight="1">
      <c r="C684" s="1"/>
      <c r="D684" s="1"/>
    </row>
    <row r="685" ht="15.75" customHeight="1">
      <c r="C685" s="1"/>
      <c r="D685" s="1"/>
    </row>
    <row r="686" ht="15.75" customHeight="1">
      <c r="C686" s="1"/>
      <c r="D686" s="1"/>
    </row>
    <row r="687" ht="15.75" customHeight="1">
      <c r="C687" s="1"/>
      <c r="D687" s="1"/>
    </row>
    <row r="688" ht="15.75" customHeight="1">
      <c r="C688" s="1"/>
      <c r="D688" s="1"/>
    </row>
    <row r="689" ht="15.75" customHeight="1">
      <c r="C689" s="1"/>
      <c r="D689" s="1"/>
    </row>
    <row r="690" ht="15.75" customHeight="1">
      <c r="C690" s="1"/>
      <c r="D690" s="1"/>
    </row>
    <row r="691" ht="15.75" customHeight="1">
      <c r="C691" s="1"/>
      <c r="D691" s="1"/>
    </row>
    <row r="692" ht="15.75" customHeight="1">
      <c r="C692" s="1"/>
      <c r="D692" s="1"/>
    </row>
    <row r="693" ht="15.75" customHeight="1">
      <c r="C693" s="1"/>
      <c r="D693" s="1"/>
    </row>
    <row r="694" ht="15.75" customHeight="1">
      <c r="C694" s="1"/>
      <c r="D694" s="1"/>
    </row>
    <row r="695" ht="15.75" customHeight="1">
      <c r="C695" s="1"/>
      <c r="D695" s="1"/>
    </row>
    <row r="696" ht="15.75" customHeight="1">
      <c r="C696" s="1"/>
      <c r="D696" s="1"/>
    </row>
    <row r="697" ht="15.75" customHeight="1">
      <c r="C697" s="1"/>
      <c r="D697" s="1"/>
    </row>
    <row r="698" ht="15.75" customHeight="1">
      <c r="C698" s="1"/>
      <c r="D698" s="1"/>
    </row>
    <row r="699" ht="15.75" customHeight="1">
      <c r="C699" s="1"/>
      <c r="D699" s="1"/>
    </row>
    <row r="700" ht="15.75" customHeight="1">
      <c r="C700" s="1"/>
      <c r="D700" s="1"/>
    </row>
    <row r="701" ht="15.75" customHeight="1">
      <c r="C701" s="1"/>
      <c r="D701" s="1"/>
    </row>
    <row r="702" ht="15.75" customHeight="1">
      <c r="C702" s="1"/>
      <c r="D702" s="1"/>
    </row>
    <row r="703" ht="15.75" customHeight="1">
      <c r="C703" s="1"/>
      <c r="D703" s="1"/>
    </row>
    <row r="704" ht="15.75" customHeight="1">
      <c r="C704" s="1"/>
      <c r="D704" s="1"/>
    </row>
    <row r="705" ht="15.75" customHeight="1">
      <c r="C705" s="1"/>
      <c r="D705" s="1"/>
    </row>
    <row r="706" ht="15.75" customHeight="1">
      <c r="C706" s="1"/>
      <c r="D706" s="1"/>
    </row>
    <row r="707" ht="15.75" customHeight="1">
      <c r="C707" s="1"/>
      <c r="D707" s="1"/>
    </row>
    <row r="708" ht="15.75" customHeight="1">
      <c r="C708" s="1"/>
      <c r="D708" s="1"/>
    </row>
    <row r="709" ht="15.75" customHeight="1">
      <c r="C709" s="1"/>
      <c r="D709" s="1"/>
    </row>
    <row r="710" ht="15.75" customHeight="1">
      <c r="C710" s="1"/>
      <c r="D710" s="1"/>
    </row>
    <row r="711" ht="15.75" customHeight="1">
      <c r="C711" s="1"/>
      <c r="D711" s="1"/>
    </row>
    <row r="712" ht="15.75" customHeight="1">
      <c r="C712" s="1"/>
      <c r="D712" s="1"/>
    </row>
    <row r="713" ht="15.75" customHeight="1">
      <c r="C713" s="1"/>
      <c r="D713" s="1"/>
    </row>
    <row r="714" ht="15.75" customHeight="1">
      <c r="C714" s="1"/>
      <c r="D714" s="1"/>
    </row>
    <row r="715" ht="15.75" customHeight="1">
      <c r="C715" s="1"/>
      <c r="D715" s="1"/>
    </row>
    <row r="716" ht="15.75" customHeight="1">
      <c r="C716" s="1"/>
      <c r="D716" s="1"/>
    </row>
    <row r="717" ht="15.75" customHeight="1">
      <c r="C717" s="1"/>
      <c r="D717" s="1"/>
    </row>
    <row r="718" ht="15.75" customHeight="1">
      <c r="C718" s="1"/>
      <c r="D718" s="1"/>
    </row>
    <row r="719" ht="15.75" customHeight="1">
      <c r="C719" s="1"/>
      <c r="D719" s="1"/>
    </row>
    <row r="720" ht="15.75" customHeight="1">
      <c r="C720" s="1"/>
      <c r="D720" s="1"/>
    </row>
    <row r="721" ht="15.75" customHeight="1">
      <c r="C721" s="1"/>
      <c r="D721" s="1"/>
    </row>
    <row r="722" ht="15.75" customHeight="1">
      <c r="C722" s="1"/>
      <c r="D722" s="1"/>
    </row>
    <row r="723" ht="15.75" customHeight="1">
      <c r="C723" s="1"/>
      <c r="D723" s="1"/>
    </row>
    <row r="724" ht="15.75" customHeight="1">
      <c r="C724" s="1"/>
      <c r="D724" s="1"/>
    </row>
    <row r="725" ht="15.75" customHeight="1">
      <c r="C725" s="1"/>
      <c r="D725" s="1"/>
    </row>
    <row r="726" ht="15.75" customHeight="1">
      <c r="C726" s="1"/>
      <c r="D726" s="1"/>
    </row>
    <row r="727" ht="15.75" customHeight="1">
      <c r="C727" s="1"/>
      <c r="D727" s="1"/>
    </row>
    <row r="728" ht="15.75" customHeight="1">
      <c r="C728" s="1"/>
      <c r="D728" s="1"/>
    </row>
    <row r="729" ht="15.75" customHeight="1">
      <c r="C729" s="1"/>
      <c r="D729" s="1"/>
    </row>
    <row r="730" ht="15.75" customHeight="1">
      <c r="C730" s="1"/>
      <c r="D730" s="1"/>
    </row>
    <row r="731" ht="15.75" customHeight="1">
      <c r="C731" s="1"/>
      <c r="D731" s="1"/>
    </row>
    <row r="732" ht="15.75" customHeight="1">
      <c r="C732" s="1"/>
      <c r="D732" s="1"/>
    </row>
    <row r="733" ht="15.75" customHeight="1">
      <c r="C733" s="1"/>
      <c r="D733" s="1"/>
    </row>
    <row r="734" ht="15.75" customHeight="1">
      <c r="C734" s="1"/>
      <c r="D734" s="1"/>
    </row>
    <row r="735" ht="15.75" customHeight="1">
      <c r="C735" s="1"/>
      <c r="D735" s="1"/>
    </row>
    <row r="736" ht="15.75" customHeight="1">
      <c r="C736" s="1"/>
      <c r="D736" s="1"/>
    </row>
    <row r="737" ht="15.75" customHeight="1">
      <c r="C737" s="1"/>
      <c r="D737" s="1"/>
    </row>
    <row r="738" ht="15.75" customHeight="1">
      <c r="C738" s="1"/>
      <c r="D738" s="1"/>
    </row>
    <row r="739" ht="15.75" customHeight="1">
      <c r="C739" s="1"/>
      <c r="D739" s="1"/>
    </row>
    <row r="740" ht="15.75" customHeight="1">
      <c r="C740" s="1"/>
      <c r="D740" s="1"/>
    </row>
    <row r="741" ht="15.75" customHeight="1">
      <c r="C741" s="1"/>
      <c r="D741" s="1"/>
    </row>
    <row r="742" ht="15.75" customHeight="1">
      <c r="C742" s="1"/>
      <c r="D742" s="1"/>
    </row>
    <row r="743" ht="15.75" customHeight="1">
      <c r="C743" s="1"/>
      <c r="D743" s="1"/>
    </row>
    <row r="744" ht="15.75" customHeight="1">
      <c r="C744" s="1"/>
      <c r="D744" s="1"/>
    </row>
    <row r="745" ht="15.75" customHeight="1">
      <c r="C745" s="1"/>
      <c r="D745" s="1"/>
    </row>
    <row r="746" ht="15.75" customHeight="1">
      <c r="C746" s="1"/>
      <c r="D746" s="1"/>
    </row>
    <row r="747" ht="15.75" customHeight="1">
      <c r="C747" s="1"/>
      <c r="D747" s="1"/>
    </row>
    <row r="748" ht="15.75" customHeight="1">
      <c r="C748" s="1"/>
      <c r="D748" s="1"/>
    </row>
    <row r="749" ht="15.75" customHeight="1">
      <c r="C749" s="1"/>
      <c r="D749" s="1"/>
    </row>
    <row r="750" ht="15.75" customHeight="1">
      <c r="C750" s="1"/>
      <c r="D750" s="1"/>
    </row>
    <row r="751" ht="15.75" customHeight="1">
      <c r="C751" s="1"/>
      <c r="D751" s="1"/>
    </row>
    <row r="752" ht="15.75" customHeight="1">
      <c r="C752" s="1"/>
      <c r="D752" s="1"/>
    </row>
    <row r="753" ht="15.75" customHeight="1">
      <c r="C753" s="1"/>
      <c r="D753" s="1"/>
    </row>
    <row r="754" ht="15.75" customHeight="1">
      <c r="C754" s="1"/>
      <c r="D754" s="1"/>
    </row>
    <row r="755" ht="15.75" customHeight="1">
      <c r="C755" s="1"/>
      <c r="D755" s="1"/>
    </row>
    <row r="756" ht="15.75" customHeight="1">
      <c r="C756" s="1"/>
      <c r="D756" s="1"/>
    </row>
    <row r="757" ht="15.75" customHeight="1">
      <c r="C757" s="1"/>
      <c r="D757" s="1"/>
    </row>
    <row r="758" ht="15.75" customHeight="1">
      <c r="C758" s="1"/>
      <c r="D758" s="1"/>
    </row>
    <row r="759" ht="15.75" customHeight="1">
      <c r="C759" s="1"/>
      <c r="D759" s="1"/>
    </row>
    <row r="760" ht="15.75" customHeight="1">
      <c r="C760" s="1"/>
      <c r="D760" s="1"/>
    </row>
    <row r="761" ht="15.75" customHeight="1">
      <c r="C761" s="1"/>
      <c r="D761" s="1"/>
    </row>
    <row r="762" ht="15.75" customHeight="1">
      <c r="C762" s="1"/>
      <c r="D762" s="1"/>
    </row>
    <row r="763" ht="15.75" customHeight="1">
      <c r="C763" s="1"/>
      <c r="D763" s="1"/>
    </row>
    <row r="764" ht="15.75" customHeight="1">
      <c r="C764" s="1"/>
      <c r="D764" s="1"/>
    </row>
    <row r="765" ht="15.75" customHeight="1">
      <c r="C765" s="1"/>
      <c r="D765" s="1"/>
    </row>
    <row r="766" ht="15.75" customHeight="1">
      <c r="C766" s="1"/>
      <c r="D766" s="1"/>
    </row>
    <row r="767" ht="15.75" customHeight="1">
      <c r="C767" s="1"/>
      <c r="D767" s="1"/>
    </row>
    <row r="768" ht="15.75" customHeight="1">
      <c r="C768" s="1"/>
      <c r="D768" s="1"/>
    </row>
    <row r="769" ht="15.75" customHeight="1">
      <c r="C769" s="1"/>
      <c r="D769" s="1"/>
    </row>
    <row r="770" ht="15.75" customHeight="1">
      <c r="C770" s="1"/>
      <c r="D770" s="1"/>
    </row>
    <row r="771" ht="15.75" customHeight="1">
      <c r="C771" s="1"/>
      <c r="D771" s="1"/>
    </row>
    <row r="772" ht="15.75" customHeight="1">
      <c r="C772" s="1"/>
      <c r="D772" s="1"/>
    </row>
    <row r="773" ht="15.75" customHeight="1">
      <c r="C773" s="1"/>
      <c r="D773" s="1"/>
    </row>
    <row r="774" ht="15.75" customHeight="1">
      <c r="C774" s="1"/>
      <c r="D774" s="1"/>
    </row>
    <row r="775" ht="15.75" customHeight="1">
      <c r="C775" s="1"/>
      <c r="D775" s="1"/>
    </row>
    <row r="776" ht="15.75" customHeight="1">
      <c r="C776" s="1"/>
      <c r="D776" s="1"/>
    </row>
    <row r="777" ht="15.75" customHeight="1">
      <c r="C777" s="1"/>
      <c r="D777" s="1"/>
    </row>
    <row r="778" ht="15.75" customHeight="1">
      <c r="C778" s="1"/>
      <c r="D778" s="1"/>
    </row>
    <row r="779" ht="15.75" customHeight="1">
      <c r="C779" s="1"/>
      <c r="D779" s="1"/>
    </row>
    <row r="780" ht="15.75" customHeight="1">
      <c r="C780" s="1"/>
      <c r="D780" s="1"/>
    </row>
    <row r="781" ht="15.75" customHeight="1">
      <c r="C781" s="1"/>
      <c r="D781" s="1"/>
    </row>
    <row r="782" ht="15.75" customHeight="1">
      <c r="C782" s="1"/>
      <c r="D782" s="1"/>
    </row>
    <row r="783" ht="15.75" customHeight="1">
      <c r="C783" s="1"/>
      <c r="D783" s="1"/>
    </row>
    <row r="784" ht="15.75" customHeight="1">
      <c r="C784" s="1"/>
      <c r="D784" s="1"/>
    </row>
    <row r="785" ht="15.75" customHeight="1">
      <c r="C785" s="1"/>
      <c r="D785" s="1"/>
    </row>
    <row r="786" ht="15.75" customHeight="1">
      <c r="C786" s="1"/>
      <c r="D786" s="1"/>
    </row>
    <row r="787" ht="15.75" customHeight="1">
      <c r="C787" s="1"/>
      <c r="D787" s="1"/>
    </row>
    <row r="788" ht="15.75" customHeight="1">
      <c r="C788" s="1"/>
      <c r="D788" s="1"/>
    </row>
    <row r="789" ht="15.75" customHeight="1">
      <c r="C789" s="1"/>
      <c r="D789" s="1"/>
    </row>
    <row r="790" ht="15.75" customHeight="1">
      <c r="C790" s="1"/>
      <c r="D790" s="1"/>
    </row>
    <row r="791" ht="15.75" customHeight="1">
      <c r="C791" s="1"/>
      <c r="D791" s="1"/>
    </row>
    <row r="792" ht="15.75" customHeight="1">
      <c r="C792" s="1"/>
      <c r="D792" s="1"/>
    </row>
    <row r="793" ht="15.75" customHeight="1">
      <c r="C793" s="1"/>
      <c r="D793" s="1"/>
    </row>
    <row r="794" ht="15.75" customHeight="1">
      <c r="C794" s="1"/>
      <c r="D794" s="1"/>
    </row>
    <row r="795" ht="15.75" customHeight="1">
      <c r="C795" s="1"/>
      <c r="D795" s="1"/>
    </row>
    <row r="796" ht="15.75" customHeight="1">
      <c r="C796" s="1"/>
      <c r="D796" s="1"/>
    </row>
    <row r="797" ht="15.75" customHeight="1">
      <c r="C797" s="1"/>
      <c r="D797" s="1"/>
    </row>
    <row r="798" ht="15.75" customHeight="1">
      <c r="C798" s="1"/>
      <c r="D798" s="1"/>
    </row>
    <row r="799" ht="15.75" customHeight="1">
      <c r="C799" s="1"/>
      <c r="D799" s="1"/>
    </row>
    <row r="800" ht="15.75" customHeight="1">
      <c r="C800" s="1"/>
      <c r="D800" s="1"/>
    </row>
    <row r="801" ht="15.75" customHeight="1">
      <c r="C801" s="1"/>
      <c r="D801" s="1"/>
    </row>
    <row r="802" ht="15.75" customHeight="1">
      <c r="C802" s="1"/>
      <c r="D802" s="1"/>
    </row>
    <row r="803" ht="15.75" customHeight="1">
      <c r="C803" s="1"/>
      <c r="D803" s="1"/>
    </row>
    <row r="804" ht="15.75" customHeight="1">
      <c r="C804" s="1"/>
      <c r="D804" s="1"/>
    </row>
    <row r="805" ht="15.75" customHeight="1">
      <c r="C805" s="1"/>
      <c r="D805" s="1"/>
    </row>
    <row r="806" ht="15.75" customHeight="1">
      <c r="C806" s="1"/>
      <c r="D806" s="1"/>
    </row>
    <row r="807" ht="15.75" customHeight="1">
      <c r="C807" s="1"/>
      <c r="D807" s="1"/>
    </row>
    <row r="808" ht="15.75" customHeight="1">
      <c r="C808" s="1"/>
      <c r="D808" s="1"/>
    </row>
    <row r="809" ht="15.75" customHeight="1">
      <c r="C809" s="1"/>
      <c r="D809" s="1"/>
    </row>
    <row r="810" ht="15.75" customHeight="1">
      <c r="C810" s="1"/>
      <c r="D810" s="1"/>
    </row>
    <row r="811" ht="15.75" customHeight="1">
      <c r="C811" s="1"/>
      <c r="D811" s="1"/>
    </row>
    <row r="812" ht="15.75" customHeight="1">
      <c r="C812" s="1"/>
      <c r="D812" s="1"/>
    </row>
    <row r="813" ht="15.75" customHeight="1">
      <c r="C813" s="1"/>
      <c r="D813" s="1"/>
    </row>
    <row r="814" ht="15.75" customHeight="1">
      <c r="C814" s="1"/>
      <c r="D814" s="1"/>
    </row>
    <row r="815" ht="15.75" customHeight="1">
      <c r="C815" s="1"/>
      <c r="D815" s="1"/>
    </row>
    <row r="816" ht="15.75" customHeight="1">
      <c r="C816" s="1"/>
      <c r="D816" s="1"/>
    </row>
    <row r="817" ht="15.75" customHeight="1">
      <c r="C817" s="1"/>
      <c r="D817" s="1"/>
    </row>
    <row r="818" ht="15.75" customHeight="1">
      <c r="C818" s="1"/>
      <c r="D818" s="1"/>
    </row>
    <row r="819" ht="15.75" customHeight="1">
      <c r="C819" s="1"/>
      <c r="D819" s="1"/>
    </row>
    <row r="820" ht="15.75" customHeight="1">
      <c r="C820" s="1"/>
      <c r="D820" s="1"/>
    </row>
    <row r="821" ht="15.75" customHeight="1">
      <c r="C821" s="1"/>
      <c r="D821" s="1"/>
    </row>
    <row r="822" ht="15.75" customHeight="1">
      <c r="C822" s="1"/>
      <c r="D822" s="1"/>
    </row>
    <row r="823" ht="15.75" customHeight="1">
      <c r="C823" s="1"/>
      <c r="D823" s="1"/>
    </row>
    <row r="824" ht="15.75" customHeight="1">
      <c r="C824" s="1"/>
      <c r="D824" s="1"/>
    </row>
    <row r="825" ht="15.75" customHeight="1">
      <c r="C825" s="1"/>
      <c r="D825" s="1"/>
    </row>
    <row r="826" ht="15.75" customHeight="1">
      <c r="C826" s="1"/>
      <c r="D826" s="1"/>
    </row>
    <row r="827" ht="15.75" customHeight="1">
      <c r="C827" s="1"/>
      <c r="D827" s="1"/>
    </row>
    <row r="828" ht="15.75" customHeight="1">
      <c r="C828" s="1"/>
      <c r="D828" s="1"/>
    </row>
    <row r="829" ht="15.75" customHeight="1">
      <c r="C829" s="1"/>
      <c r="D829" s="1"/>
    </row>
    <row r="830" ht="15.75" customHeight="1">
      <c r="C830" s="1"/>
      <c r="D830" s="1"/>
    </row>
    <row r="831" ht="15.75" customHeight="1">
      <c r="C831" s="1"/>
      <c r="D831" s="1"/>
    </row>
    <row r="832" ht="15.75" customHeight="1">
      <c r="C832" s="1"/>
      <c r="D832" s="1"/>
    </row>
    <row r="833" ht="15.75" customHeight="1">
      <c r="C833" s="1"/>
      <c r="D833" s="1"/>
    </row>
    <row r="834" ht="15.75" customHeight="1">
      <c r="C834" s="1"/>
      <c r="D834" s="1"/>
    </row>
    <row r="835" ht="15.75" customHeight="1">
      <c r="C835" s="1"/>
      <c r="D835" s="1"/>
    </row>
    <row r="836" ht="15.75" customHeight="1">
      <c r="C836" s="1"/>
      <c r="D836" s="1"/>
    </row>
    <row r="837" ht="15.75" customHeight="1">
      <c r="C837" s="1"/>
      <c r="D837" s="1"/>
    </row>
    <row r="838" ht="15.75" customHeight="1">
      <c r="C838" s="1"/>
      <c r="D838" s="1"/>
    </row>
    <row r="839" ht="15.75" customHeight="1">
      <c r="C839" s="1"/>
      <c r="D839" s="1"/>
    </row>
    <row r="840" ht="15.75" customHeight="1">
      <c r="C840" s="1"/>
      <c r="D840" s="1"/>
    </row>
    <row r="841" ht="15.75" customHeight="1">
      <c r="C841" s="1"/>
      <c r="D841" s="1"/>
    </row>
    <row r="842" ht="15.75" customHeight="1">
      <c r="C842" s="1"/>
      <c r="D842" s="1"/>
    </row>
    <row r="843" ht="15.75" customHeight="1">
      <c r="C843" s="1"/>
      <c r="D843" s="1"/>
    </row>
    <row r="844" ht="15.75" customHeight="1">
      <c r="C844" s="1"/>
      <c r="D844" s="1"/>
    </row>
    <row r="845" ht="15.75" customHeight="1">
      <c r="C845" s="1"/>
      <c r="D845" s="1"/>
    </row>
    <row r="846" ht="15.75" customHeight="1">
      <c r="C846" s="1"/>
      <c r="D846" s="1"/>
    </row>
    <row r="847" ht="15.75" customHeight="1">
      <c r="C847" s="1"/>
      <c r="D847" s="1"/>
    </row>
    <row r="848" ht="15.75" customHeight="1">
      <c r="C848" s="1"/>
      <c r="D848" s="1"/>
    </row>
    <row r="849" ht="15.75" customHeight="1">
      <c r="C849" s="1"/>
      <c r="D849" s="1"/>
    </row>
    <row r="850" ht="15.75" customHeight="1">
      <c r="C850" s="1"/>
      <c r="D850" s="1"/>
    </row>
    <row r="851" ht="15.75" customHeight="1">
      <c r="C851" s="1"/>
      <c r="D851" s="1"/>
    </row>
    <row r="852" ht="15.75" customHeight="1">
      <c r="C852" s="1"/>
      <c r="D852" s="1"/>
    </row>
    <row r="853" ht="15.75" customHeight="1">
      <c r="C853" s="1"/>
      <c r="D853" s="1"/>
    </row>
    <row r="854" ht="15.75" customHeight="1">
      <c r="C854" s="1"/>
      <c r="D854" s="1"/>
    </row>
    <row r="855" ht="15.75" customHeight="1">
      <c r="C855" s="1"/>
      <c r="D855" s="1"/>
    </row>
    <row r="856" ht="15.75" customHeight="1">
      <c r="C856" s="1"/>
      <c r="D856" s="1"/>
    </row>
    <row r="857" ht="15.75" customHeight="1">
      <c r="C857" s="1"/>
      <c r="D857" s="1"/>
    </row>
    <row r="858" ht="15.75" customHeight="1">
      <c r="C858" s="1"/>
      <c r="D858" s="1"/>
    </row>
    <row r="859" ht="15.75" customHeight="1">
      <c r="C859" s="1"/>
      <c r="D859" s="1"/>
    </row>
    <row r="860" ht="15.75" customHeight="1">
      <c r="C860" s="1"/>
      <c r="D860" s="1"/>
    </row>
    <row r="861" ht="15.75" customHeight="1">
      <c r="C861" s="1"/>
      <c r="D861" s="1"/>
    </row>
    <row r="862" ht="15.75" customHeight="1">
      <c r="C862" s="1"/>
      <c r="D862" s="1"/>
    </row>
    <row r="863" ht="15.75" customHeight="1">
      <c r="C863" s="1"/>
      <c r="D863" s="1"/>
    </row>
    <row r="864" ht="15.75" customHeight="1">
      <c r="C864" s="1"/>
      <c r="D864" s="1"/>
    </row>
    <row r="865" ht="15.75" customHeight="1">
      <c r="C865" s="1"/>
      <c r="D865" s="1"/>
    </row>
    <row r="866" ht="15.75" customHeight="1">
      <c r="C866" s="1"/>
      <c r="D866" s="1"/>
    </row>
    <row r="867" ht="15.75" customHeight="1">
      <c r="C867" s="1"/>
      <c r="D867" s="1"/>
    </row>
    <row r="868" ht="15.75" customHeight="1">
      <c r="C868" s="1"/>
      <c r="D868" s="1"/>
    </row>
    <row r="869" ht="15.75" customHeight="1">
      <c r="C869" s="1"/>
      <c r="D869" s="1"/>
    </row>
    <row r="870" ht="15.75" customHeight="1">
      <c r="C870" s="1"/>
      <c r="D870" s="1"/>
    </row>
    <row r="871" ht="15.75" customHeight="1">
      <c r="C871" s="1"/>
      <c r="D871" s="1"/>
    </row>
    <row r="872" ht="15.75" customHeight="1">
      <c r="C872" s="1"/>
      <c r="D872" s="1"/>
    </row>
    <row r="873" ht="15.75" customHeight="1">
      <c r="C873" s="1"/>
      <c r="D873" s="1"/>
    </row>
    <row r="874" ht="15.75" customHeight="1">
      <c r="C874" s="1"/>
      <c r="D874" s="1"/>
    </row>
    <row r="875" ht="15.75" customHeight="1">
      <c r="C875" s="1"/>
      <c r="D875" s="1"/>
    </row>
    <row r="876" ht="15.75" customHeight="1">
      <c r="C876" s="1"/>
      <c r="D876" s="1"/>
    </row>
    <row r="877" ht="15.75" customHeight="1">
      <c r="C877" s="1"/>
      <c r="D877" s="1"/>
    </row>
    <row r="878" ht="15.75" customHeight="1">
      <c r="C878" s="1"/>
      <c r="D878" s="1"/>
    </row>
    <row r="879" ht="15.75" customHeight="1">
      <c r="C879" s="1"/>
      <c r="D879" s="1"/>
    </row>
    <row r="880" ht="15.75" customHeight="1">
      <c r="C880" s="1"/>
      <c r="D880" s="1"/>
    </row>
    <row r="881" ht="15.75" customHeight="1">
      <c r="C881" s="1"/>
      <c r="D881" s="1"/>
    </row>
    <row r="882" ht="15.75" customHeight="1">
      <c r="C882" s="1"/>
      <c r="D882" s="1"/>
    </row>
    <row r="883" ht="15.75" customHeight="1">
      <c r="C883" s="1"/>
      <c r="D883" s="1"/>
    </row>
    <row r="884" ht="15.75" customHeight="1">
      <c r="C884" s="1"/>
      <c r="D884" s="1"/>
    </row>
    <row r="885" ht="15.75" customHeight="1">
      <c r="C885" s="1"/>
      <c r="D885" s="1"/>
    </row>
    <row r="886" ht="15.75" customHeight="1">
      <c r="C886" s="1"/>
      <c r="D886" s="1"/>
    </row>
    <row r="887" ht="15.75" customHeight="1">
      <c r="C887" s="1"/>
      <c r="D887" s="1"/>
    </row>
    <row r="888" ht="15.75" customHeight="1">
      <c r="C888" s="1"/>
      <c r="D888" s="1"/>
    </row>
    <row r="889" ht="15.75" customHeight="1">
      <c r="C889" s="1"/>
      <c r="D889" s="1"/>
    </row>
    <row r="890" ht="15.75" customHeight="1">
      <c r="C890" s="1"/>
      <c r="D890" s="1"/>
    </row>
    <row r="891" ht="15.75" customHeight="1">
      <c r="C891" s="1"/>
      <c r="D891" s="1"/>
    </row>
    <row r="892" ht="15.75" customHeight="1">
      <c r="C892" s="1"/>
      <c r="D892" s="1"/>
    </row>
    <row r="893" ht="15.75" customHeight="1">
      <c r="C893" s="1"/>
      <c r="D893" s="1"/>
    </row>
    <row r="894" ht="15.75" customHeight="1">
      <c r="C894" s="1"/>
      <c r="D894" s="1"/>
    </row>
    <row r="895" ht="15.75" customHeight="1">
      <c r="C895" s="1"/>
      <c r="D895" s="1"/>
    </row>
    <row r="896" ht="15.75" customHeight="1">
      <c r="C896" s="1"/>
      <c r="D896" s="1"/>
    </row>
    <row r="897" ht="15.75" customHeight="1">
      <c r="C897" s="1"/>
      <c r="D897" s="1"/>
    </row>
    <row r="898" ht="15.75" customHeight="1">
      <c r="C898" s="1"/>
      <c r="D898" s="1"/>
    </row>
    <row r="899" ht="15.75" customHeight="1">
      <c r="C899" s="1"/>
      <c r="D899" s="1"/>
    </row>
    <row r="900" ht="15.75" customHeight="1">
      <c r="C900" s="1"/>
      <c r="D900" s="1"/>
    </row>
    <row r="901" ht="15.75" customHeight="1">
      <c r="C901" s="1"/>
      <c r="D901" s="1"/>
    </row>
    <row r="902" ht="15.75" customHeight="1">
      <c r="C902" s="1"/>
      <c r="D902" s="1"/>
    </row>
    <row r="903" ht="15.75" customHeight="1">
      <c r="C903" s="1"/>
      <c r="D903" s="1"/>
    </row>
    <row r="904" ht="15.75" customHeight="1">
      <c r="C904" s="1"/>
      <c r="D904" s="1"/>
    </row>
    <row r="905" ht="15.75" customHeight="1">
      <c r="C905" s="1"/>
      <c r="D905" s="1"/>
    </row>
    <row r="906" ht="15.75" customHeight="1">
      <c r="C906" s="1"/>
      <c r="D906" s="1"/>
    </row>
    <row r="907" ht="15.75" customHeight="1">
      <c r="C907" s="1"/>
      <c r="D907" s="1"/>
    </row>
    <row r="908" ht="15.75" customHeight="1">
      <c r="C908" s="1"/>
      <c r="D908" s="1"/>
    </row>
    <row r="909" ht="15.75" customHeight="1">
      <c r="C909" s="1"/>
      <c r="D909" s="1"/>
    </row>
    <row r="910" ht="15.75" customHeight="1">
      <c r="C910" s="1"/>
      <c r="D910" s="1"/>
    </row>
    <row r="911" ht="15.75" customHeight="1">
      <c r="C911" s="1"/>
      <c r="D911" s="1"/>
    </row>
    <row r="912" ht="15.75" customHeight="1">
      <c r="C912" s="1"/>
      <c r="D912" s="1"/>
    </row>
    <row r="913" ht="15.75" customHeight="1">
      <c r="C913" s="1"/>
      <c r="D913" s="1"/>
    </row>
    <row r="914" ht="15.75" customHeight="1">
      <c r="C914" s="1"/>
      <c r="D914" s="1"/>
    </row>
    <row r="915" ht="15.75" customHeight="1">
      <c r="C915" s="1"/>
      <c r="D915" s="1"/>
    </row>
    <row r="916" ht="15.75" customHeight="1">
      <c r="C916" s="1"/>
      <c r="D916" s="1"/>
    </row>
    <row r="917" ht="15.75" customHeight="1">
      <c r="C917" s="1"/>
      <c r="D917" s="1"/>
    </row>
    <row r="918" ht="15.75" customHeight="1">
      <c r="C918" s="1"/>
      <c r="D918" s="1"/>
    </row>
    <row r="919" ht="15.75" customHeight="1">
      <c r="C919" s="1"/>
      <c r="D919" s="1"/>
    </row>
    <row r="920" ht="15.75" customHeight="1">
      <c r="C920" s="1"/>
      <c r="D920" s="1"/>
    </row>
    <row r="921" ht="15.75" customHeight="1">
      <c r="C921" s="1"/>
      <c r="D921" s="1"/>
    </row>
    <row r="922" ht="15.75" customHeight="1">
      <c r="C922" s="1"/>
      <c r="D922" s="1"/>
    </row>
    <row r="923" ht="15.75" customHeight="1">
      <c r="C923" s="1"/>
      <c r="D923" s="1"/>
    </row>
    <row r="924" ht="15.75" customHeight="1">
      <c r="C924" s="1"/>
      <c r="D924" s="1"/>
    </row>
    <row r="925" ht="15.75" customHeight="1">
      <c r="C925" s="1"/>
      <c r="D925" s="1"/>
    </row>
    <row r="926" ht="15.75" customHeight="1">
      <c r="C926" s="1"/>
      <c r="D926" s="1"/>
    </row>
    <row r="927" ht="15.75" customHeight="1">
      <c r="C927" s="1"/>
      <c r="D927" s="1"/>
    </row>
    <row r="928" ht="15.75" customHeight="1">
      <c r="C928" s="1"/>
      <c r="D928" s="1"/>
    </row>
    <row r="929" ht="15.75" customHeight="1">
      <c r="C929" s="1"/>
      <c r="D929" s="1"/>
    </row>
    <row r="930" ht="15.75" customHeight="1">
      <c r="C930" s="1"/>
      <c r="D930" s="1"/>
    </row>
    <row r="931" ht="15.75" customHeight="1">
      <c r="C931" s="1"/>
      <c r="D931" s="1"/>
    </row>
    <row r="932" ht="15.75" customHeight="1">
      <c r="C932" s="1"/>
      <c r="D932" s="1"/>
    </row>
    <row r="933" ht="15.75" customHeight="1">
      <c r="C933" s="1"/>
      <c r="D933" s="1"/>
    </row>
    <row r="934" ht="15.75" customHeight="1">
      <c r="C934" s="1"/>
      <c r="D934" s="1"/>
    </row>
    <row r="935" ht="15.75" customHeight="1">
      <c r="C935" s="1"/>
      <c r="D935" s="1"/>
    </row>
    <row r="936" ht="15.75" customHeight="1">
      <c r="C936" s="1"/>
      <c r="D936" s="1"/>
    </row>
    <row r="937" ht="15.75" customHeight="1">
      <c r="C937" s="1"/>
      <c r="D937" s="1"/>
    </row>
    <row r="938" ht="15.75" customHeight="1">
      <c r="C938" s="1"/>
      <c r="D938" s="1"/>
    </row>
    <row r="939" ht="15.75" customHeight="1">
      <c r="C939" s="1"/>
      <c r="D939" s="1"/>
    </row>
    <row r="940" ht="15.75" customHeight="1">
      <c r="C940" s="1"/>
      <c r="D940" s="1"/>
    </row>
    <row r="941" ht="15.75" customHeight="1">
      <c r="C941" s="1"/>
      <c r="D941" s="1"/>
    </row>
    <row r="942" ht="15.75" customHeight="1">
      <c r="C942" s="1"/>
      <c r="D942" s="1"/>
    </row>
    <row r="943" ht="15.75" customHeight="1">
      <c r="C943" s="1"/>
      <c r="D943" s="1"/>
    </row>
    <row r="944" ht="15.75" customHeight="1">
      <c r="C944" s="1"/>
      <c r="D944" s="1"/>
    </row>
    <row r="945" ht="15.75" customHeight="1">
      <c r="C945" s="1"/>
      <c r="D945" s="1"/>
    </row>
    <row r="946" ht="15.75" customHeight="1">
      <c r="C946" s="1"/>
      <c r="D946" s="1"/>
    </row>
    <row r="947" ht="15.75" customHeight="1">
      <c r="C947" s="1"/>
      <c r="D947" s="1"/>
    </row>
    <row r="948" ht="15.75" customHeight="1">
      <c r="C948" s="1"/>
      <c r="D948" s="1"/>
    </row>
    <row r="949" ht="15.75" customHeight="1">
      <c r="C949" s="1"/>
      <c r="D949" s="1"/>
    </row>
    <row r="950" ht="15.75" customHeight="1">
      <c r="C950" s="1"/>
      <c r="D950" s="1"/>
    </row>
    <row r="951" ht="15.75" customHeight="1">
      <c r="C951" s="1"/>
      <c r="D951" s="1"/>
    </row>
    <row r="952" ht="15.75" customHeight="1">
      <c r="C952" s="1"/>
      <c r="D952" s="1"/>
    </row>
    <row r="953" ht="15.75" customHeight="1">
      <c r="C953" s="1"/>
      <c r="D953" s="1"/>
    </row>
    <row r="954" ht="15.75" customHeight="1">
      <c r="C954" s="1"/>
      <c r="D954" s="1"/>
    </row>
    <row r="955" ht="15.75" customHeight="1">
      <c r="C955" s="1"/>
      <c r="D955" s="1"/>
    </row>
    <row r="956" ht="15.75" customHeight="1">
      <c r="C956" s="1"/>
      <c r="D956" s="1"/>
    </row>
    <row r="957" ht="15.75" customHeight="1">
      <c r="C957" s="1"/>
      <c r="D957" s="1"/>
    </row>
    <row r="958" ht="15.75" customHeight="1">
      <c r="C958" s="1"/>
      <c r="D958" s="1"/>
    </row>
    <row r="959" ht="15.75" customHeight="1">
      <c r="C959" s="1"/>
      <c r="D959" s="1"/>
    </row>
    <row r="960" ht="15.75" customHeight="1">
      <c r="C960" s="1"/>
      <c r="D960" s="1"/>
    </row>
    <row r="961" ht="15.75" customHeight="1">
      <c r="C961" s="1"/>
      <c r="D961" s="1"/>
    </row>
    <row r="962" ht="15.75" customHeight="1">
      <c r="C962" s="1"/>
      <c r="D962" s="1"/>
    </row>
    <row r="963" ht="15.75" customHeight="1">
      <c r="C963" s="1"/>
      <c r="D963" s="1"/>
    </row>
    <row r="964" ht="15.75" customHeight="1">
      <c r="C964" s="1"/>
      <c r="D964" s="1"/>
    </row>
    <row r="965" ht="15.75" customHeight="1">
      <c r="C965" s="1"/>
      <c r="D965" s="1"/>
    </row>
    <row r="966" ht="15.75" customHeight="1">
      <c r="C966" s="1"/>
      <c r="D966" s="1"/>
    </row>
    <row r="967" ht="15.75" customHeight="1">
      <c r="C967" s="1"/>
      <c r="D967" s="1"/>
    </row>
    <row r="968" ht="15.75" customHeight="1">
      <c r="C968" s="1"/>
      <c r="D968" s="1"/>
    </row>
    <row r="969" ht="15.75" customHeight="1">
      <c r="C969" s="1"/>
      <c r="D969" s="1"/>
    </row>
    <row r="970" ht="15.75" customHeight="1">
      <c r="C970" s="1"/>
      <c r="D970" s="1"/>
    </row>
    <row r="971" ht="15.75" customHeight="1">
      <c r="C971" s="1"/>
      <c r="D971" s="1"/>
    </row>
    <row r="972" ht="15.75" customHeight="1">
      <c r="C972" s="1"/>
      <c r="D972" s="1"/>
    </row>
    <row r="973" ht="15.75" customHeight="1">
      <c r="C973" s="1"/>
      <c r="D973" s="1"/>
    </row>
    <row r="974" ht="15.75" customHeight="1">
      <c r="C974" s="1"/>
      <c r="D974" s="1"/>
    </row>
    <row r="975" ht="15.75" customHeight="1">
      <c r="C975" s="1"/>
      <c r="D975" s="1"/>
    </row>
    <row r="976" ht="15.75" customHeight="1">
      <c r="C976" s="1"/>
      <c r="D976" s="1"/>
    </row>
    <row r="977" ht="15.75" customHeight="1">
      <c r="C977" s="1"/>
      <c r="D977" s="1"/>
    </row>
    <row r="978" ht="15.75" customHeight="1">
      <c r="C978" s="1"/>
      <c r="D978" s="1"/>
    </row>
    <row r="979" ht="15.75" customHeight="1">
      <c r="C979" s="1"/>
      <c r="D979" s="1"/>
    </row>
  </sheetData>
  <mergeCells count="7">
    <mergeCell ref="H12:I12"/>
    <mergeCell ref="E14:E15"/>
    <mergeCell ref="H30:I30"/>
    <mergeCell ref="E32:E33"/>
    <mergeCell ref="H46:I46"/>
    <mergeCell ref="H60:I60"/>
    <mergeCell ref="E62:E6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4" width="11.29"/>
    <col customWidth="1" min="5" max="5" width="37.86"/>
    <col customWidth="1" min="6" max="6" width="10.57"/>
    <col customWidth="1" min="7" max="7" width="9.43"/>
    <col customWidth="1" min="8" max="8" width="17.57"/>
    <col customWidth="1" min="9" max="9" width="9.71"/>
    <col customWidth="1" min="10" max="10" width="12.43"/>
    <col customWidth="1" min="11" max="11" width="6.29"/>
    <col customWidth="1" min="12" max="12" width="7.86"/>
    <col customWidth="1" min="13" max="13" width="7.57"/>
    <col customWidth="1" min="14" max="26" width="8.71"/>
  </cols>
  <sheetData>
    <row r="1">
      <c r="A1" s="26" t="s">
        <v>27</v>
      </c>
      <c r="C1" s="1"/>
      <c r="D1" s="1"/>
    </row>
    <row r="2">
      <c r="C2" s="1"/>
      <c r="D2" s="1"/>
    </row>
    <row r="3">
      <c r="C3" s="2" t="s">
        <v>0</v>
      </c>
      <c r="D3" s="2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/>
      <c r="J3" s="3"/>
      <c r="K3" s="3" t="s">
        <v>14</v>
      </c>
      <c r="L3" s="3" t="s">
        <v>15</v>
      </c>
      <c r="M3" s="3" t="s">
        <v>16</v>
      </c>
    </row>
    <row r="4">
      <c r="C4" s="55">
        <v>45985.0</v>
      </c>
      <c r="D4" s="22">
        <v>45989.0</v>
      </c>
      <c r="E4" s="6" t="s">
        <v>75</v>
      </c>
      <c r="F4" s="23">
        <v>7397.0</v>
      </c>
      <c r="G4" s="23">
        <v>7451.0</v>
      </c>
      <c r="H4" s="7">
        <f t="shared" ref="H4:H9" si="1">G4-F4</f>
        <v>54</v>
      </c>
      <c r="I4" s="24">
        <v>400.0</v>
      </c>
      <c r="J4" s="8">
        <f t="shared" ref="J4:J9" si="2">H4*I4</f>
        <v>21600</v>
      </c>
      <c r="K4" s="23">
        <v>360.0</v>
      </c>
      <c r="L4" s="7"/>
      <c r="M4" s="14">
        <f t="shared" ref="M4:M9" si="3">K4*L4</f>
        <v>0</v>
      </c>
    </row>
    <row r="5">
      <c r="C5" s="22">
        <v>45992.0</v>
      </c>
      <c r="D5" s="22">
        <v>45994.0</v>
      </c>
      <c r="E5" s="6" t="s">
        <v>75</v>
      </c>
      <c r="F5" s="23">
        <v>7451.0</v>
      </c>
      <c r="G5" s="23">
        <v>7471.1</v>
      </c>
      <c r="H5" s="7">
        <f t="shared" si="1"/>
        <v>20.1</v>
      </c>
      <c r="I5" s="24">
        <v>400.0</v>
      </c>
      <c r="J5" s="8">
        <f t="shared" si="2"/>
        <v>8040</v>
      </c>
      <c r="K5" s="23">
        <v>280.0</v>
      </c>
      <c r="L5" s="7"/>
      <c r="M5" s="14">
        <f t="shared" si="3"/>
        <v>0</v>
      </c>
    </row>
    <row r="6">
      <c r="C6" s="5"/>
      <c r="D6" s="5"/>
      <c r="E6" s="9"/>
      <c r="F6" s="7">
        <v>0.0</v>
      </c>
      <c r="G6" s="7"/>
      <c r="H6" s="7">
        <f t="shared" si="1"/>
        <v>0</v>
      </c>
      <c r="I6" s="25"/>
      <c r="J6" s="8">
        <f t="shared" si="2"/>
        <v>0</v>
      </c>
      <c r="K6" s="7"/>
      <c r="L6" s="7"/>
      <c r="M6" s="14">
        <f t="shared" si="3"/>
        <v>0</v>
      </c>
    </row>
    <row r="7">
      <c r="C7" s="5"/>
      <c r="D7" s="5"/>
      <c r="E7" s="9"/>
      <c r="F7" s="7">
        <v>0.0</v>
      </c>
      <c r="G7" s="7"/>
      <c r="H7" s="7">
        <f t="shared" si="1"/>
        <v>0</v>
      </c>
      <c r="I7" s="25"/>
      <c r="J7" s="8">
        <f t="shared" si="2"/>
        <v>0</v>
      </c>
      <c r="K7" s="7"/>
      <c r="L7" s="7"/>
      <c r="M7" s="14">
        <f t="shared" si="3"/>
        <v>0</v>
      </c>
    </row>
    <row r="8">
      <c r="C8" s="5"/>
      <c r="D8" s="5"/>
      <c r="E8" s="9"/>
      <c r="F8" s="7">
        <v>0.0</v>
      </c>
      <c r="G8" s="7"/>
      <c r="H8" s="7">
        <f t="shared" si="1"/>
        <v>0</v>
      </c>
      <c r="I8" s="25"/>
      <c r="J8" s="8">
        <f t="shared" si="2"/>
        <v>0</v>
      </c>
      <c r="K8" s="7"/>
      <c r="L8" s="7"/>
      <c r="M8" s="14">
        <f t="shared" si="3"/>
        <v>0</v>
      </c>
    </row>
    <row r="9">
      <c r="C9" s="5"/>
      <c r="D9" s="5"/>
      <c r="E9" s="9"/>
      <c r="F9" s="7">
        <v>0.0</v>
      </c>
      <c r="G9" s="7"/>
      <c r="H9" s="7">
        <f t="shared" si="1"/>
        <v>0</v>
      </c>
      <c r="I9" s="25"/>
      <c r="J9" s="8">
        <f t="shared" si="2"/>
        <v>0</v>
      </c>
      <c r="K9" s="7"/>
      <c r="L9" s="7"/>
      <c r="M9" s="14">
        <f t="shared" si="3"/>
        <v>0</v>
      </c>
    </row>
    <row r="10">
      <c r="C10" s="1"/>
      <c r="D10" s="1"/>
      <c r="I10" s="15" t="s">
        <v>11</v>
      </c>
      <c r="J10" s="11">
        <f>SUM(J4:J9)</f>
        <v>29640</v>
      </c>
      <c r="M10" s="16">
        <f>SUM(M4:M9)</f>
        <v>0</v>
      </c>
    </row>
    <row r="11">
      <c r="C11" s="1"/>
      <c r="D11" s="1"/>
    </row>
    <row r="12">
      <c r="C12" s="1"/>
      <c r="D12" s="1"/>
      <c r="H12" s="17" t="s">
        <v>18</v>
      </c>
      <c r="I12" s="18"/>
      <c r="J12" s="19">
        <f>J10-M10</f>
        <v>29640</v>
      </c>
    </row>
    <row r="13">
      <c r="C13" s="1"/>
      <c r="D13" s="1"/>
    </row>
    <row r="14">
      <c r="C14" s="1"/>
      <c r="D14" s="1"/>
      <c r="E14" s="20" t="s">
        <v>12</v>
      </c>
    </row>
    <row r="15">
      <c r="C15" s="1"/>
      <c r="D15" s="1"/>
      <c r="E15" s="13"/>
    </row>
    <row r="16">
      <c r="C16" s="1"/>
      <c r="D16" s="1"/>
    </row>
    <row r="17">
      <c r="C17" s="1"/>
      <c r="D17" s="1"/>
    </row>
    <row r="18">
      <c r="C18" s="1"/>
      <c r="D1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H12:I12"/>
    <mergeCell ref="E14:E15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4" width="10.71"/>
    <col customWidth="1" min="5" max="5" width="38.14"/>
    <col customWidth="1" min="6" max="6" width="10.86"/>
    <col customWidth="1" min="7" max="7" width="9.57"/>
    <col customWidth="1" min="8" max="8" width="10.71"/>
    <col customWidth="1" min="9" max="9" width="9.71"/>
    <col customWidth="1" min="10" max="10" width="15.0"/>
    <col customWidth="1" min="11" max="11" width="6.29"/>
    <col customWidth="1" min="12" max="12" width="8.0"/>
    <col customWidth="1" min="13" max="13" width="11.71"/>
    <col customWidth="1" min="14" max="26" width="8.71"/>
  </cols>
  <sheetData>
    <row r="1">
      <c r="C1" s="1"/>
      <c r="D1" s="1"/>
    </row>
    <row r="2">
      <c r="C2" s="1"/>
      <c r="D2" s="1"/>
    </row>
    <row r="3">
      <c r="C3" s="1"/>
      <c r="D3" s="1"/>
    </row>
    <row r="4">
      <c r="C4" s="2" t="s">
        <v>0</v>
      </c>
      <c r="D4" s="2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/>
      <c r="J4" s="3"/>
      <c r="K4" s="3" t="s">
        <v>14</v>
      </c>
      <c r="L4" s="3" t="s">
        <v>15</v>
      </c>
      <c r="M4" s="3" t="s">
        <v>16</v>
      </c>
    </row>
    <row r="5">
      <c r="C5" s="5">
        <v>45931.0</v>
      </c>
      <c r="D5" s="5">
        <v>45944.0</v>
      </c>
      <c r="E5" s="9" t="s">
        <v>76</v>
      </c>
      <c r="F5" s="7">
        <v>10693.8</v>
      </c>
      <c r="G5" s="7">
        <v>10751.1</v>
      </c>
      <c r="H5" s="7">
        <f t="shared" ref="H5:H10" si="1">G5-F5</f>
        <v>57.3</v>
      </c>
      <c r="I5" s="21">
        <v>380.0</v>
      </c>
      <c r="J5" s="8">
        <f t="shared" ref="J5:J10" si="2">H5*I5</f>
        <v>21774</v>
      </c>
      <c r="K5" s="7">
        <v>1590.0</v>
      </c>
      <c r="L5" s="7">
        <v>5.47</v>
      </c>
      <c r="M5" s="14">
        <f>K5*L5</f>
        <v>8697.3</v>
      </c>
    </row>
    <row r="6">
      <c r="C6" s="5"/>
      <c r="D6" s="5"/>
      <c r="E6" s="9" t="s">
        <v>45</v>
      </c>
      <c r="F6" s="7">
        <v>0.0</v>
      </c>
      <c r="G6" s="7"/>
      <c r="H6" s="7">
        <f t="shared" si="1"/>
        <v>0</v>
      </c>
      <c r="I6" s="7"/>
      <c r="J6" s="8">
        <f t="shared" si="2"/>
        <v>0</v>
      </c>
      <c r="K6" s="7"/>
      <c r="L6" s="7"/>
      <c r="M6" s="14"/>
    </row>
    <row r="7">
      <c r="C7" s="5"/>
      <c r="D7" s="5"/>
      <c r="E7" s="9"/>
      <c r="F7" s="7">
        <v>0.0</v>
      </c>
      <c r="G7" s="7"/>
      <c r="H7" s="7">
        <f t="shared" si="1"/>
        <v>0</v>
      </c>
      <c r="I7" s="7"/>
      <c r="J7" s="8">
        <f t="shared" si="2"/>
        <v>0</v>
      </c>
      <c r="K7" s="7"/>
      <c r="L7" s="7"/>
      <c r="M7" s="14"/>
    </row>
    <row r="8">
      <c r="C8" s="5"/>
      <c r="D8" s="5"/>
      <c r="E8" s="9"/>
      <c r="F8" s="7">
        <v>0.0</v>
      </c>
      <c r="G8" s="7"/>
      <c r="H8" s="7">
        <f t="shared" si="1"/>
        <v>0</v>
      </c>
      <c r="I8" s="7"/>
      <c r="J8" s="8">
        <f t="shared" si="2"/>
        <v>0</v>
      </c>
      <c r="K8" s="7"/>
      <c r="L8" s="7"/>
      <c r="M8" s="14"/>
    </row>
    <row r="9">
      <c r="C9" s="5"/>
      <c r="D9" s="5"/>
      <c r="E9" s="9"/>
      <c r="F9" s="7">
        <v>0.0</v>
      </c>
      <c r="G9" s="7"/>
      <c r="H9" s="7">
        <f t="shared" si="1"/>
        <v>0</v>
      </c>
      <c r="I9" s="7"/>
      <c r="J9" s="8">
        <f t="shared" si="2"/>
        <v>0</v>
      </c>
      <c r="K9" s="7"/>
      <c r="L9" s="7"/>
      <c r="M9" s="14"/>
    </row>
    <row r="10">
      <c r="C10" s="5"/>
      <c r="D10" s="5"/>
      <c r="E10" s="9"/>
      <c r="F10" s="7">
        <v>0.0</v>
      </c>
      <c r="G10" s="7"/>
      <c r="H10" s="7">
        <f t="shared" si="1"/>
        <v>0</v>
      </c>
      <c r="I10" s="7"/>
      <c r="J10" s="8">
        <f t="shared" si="2"/>
        <v>0</v>
      </c>
      <c r="K10" s="7"/>
      <c r="L10" s="7"/>
      <c r="M10" s="14"/>
    </row>
    <row r="11">
      <c r="C11" s="1"/>
      <c r="D11" s="1"/>
      <c r="I11" s="15" t="s">
        <v>11</v>
      </c>
      <c r="J11" s="11">
        <f>SUM(J5:J10)</f>
        <v>21774</v>
      </c>
      <c r="M11" s="16">
        <f>SUM(M5:M10)</f>
        <v>8697.3</v>
      </c>
    </row>
    <row r="12">
      <c r="C12" s="1"/>
      <c r="D12" s="1"/>
    </row>
    <row r="13">
      <c r="C13" s="1"/>
      <c r="D13" s="1"/>
      <c r="H13" s="17" t="s">
        <v>18</v>
      </c>
      <c r="I13" s="18"/>
      <c r="J13" s="19">
        <f>J11-M11</f>
        <v>13076.7</v>
      </c>
    </row>
    <row r="14">
      <c r="C14" s="1"/>
      <c r="D14" s="1"/>
    </row>
    <row r="15">
      <c r="C15" s="1"/>
      <c r="D15" s="1"/>
      <c r="E15" s="12" t="s">
        <v>12</v>
      </c>
    </row>
    <row r="16">
      <c r="C16" s="1"/>
      <c r="D16" s="1"/>
      <c r="E16" s="13"/>
    </row>
    <row r="17">
      <c r="C17" s="1"/>
      <c r="D17" s="1"/>
    </row>
    <row r="18">
      <c r="C18" s="1"/>
      <c r="D18" s="1"/>
    </row>
    <row r="19">
      <c r="C19" s="1"/>
      <c r="D19" s="1"/>
    </row>
    <row r="20">
      <c r="C20" s="1"/>
      <c r="D20" s="1"/>
    </row>
    <row r="21" ht="15.75" customHeight="1">
      <c r="C21" s="1"/>
      <c r="D21" s="1"/>
    </row>
    <row r="22" ht="15.75" customHeight="1">
      <c r="C22" s="1"/>
      <c r="D22" s="1"/>
    </row>
    <row r="23" ht="15.75" customHeight="1">
      <c r="C23" s="1"/>
      <c r="D23" s="1"/>
    </row>
    <row r="24" ht="15.75" customHeight="1">
      <c r="C24" s="2" t="s">
        <v>0</v>
      </c>
      <c r="D24" s="2" t="s">
        <v>1</v>
      </c>
      <c r="E24" s="3" t="s">
        <v>2</v>
      </c>
      <c r="F24" s="3" t="s">
        <v>3</v>
      </c>
      <c r="G24" s="3" t="s">
        <v>4</v>
      </c>
      <c r="H24" s="3" t="s">
        <v>5</v>
      </c>
      <c r="I24" s="3"/>
      <c r="J24" s="3"/>
      <c r="K24" s="3" t="s">
        <v>14</v>
      </c>
      <c r="L24" s="3" t="s">
        <v>15</v>
      </c>
      <c r="M24" s="3" t="s">
        <v>16</v>
      </c>
    </row>
    <row r="25" ht="15.75" customHeight="1">
      <c r="C25" s="5">
        <v>45965.0</v>
      </c>
      <c r="D25" s="5">
        <v>45967.0</v>
      </c>
      <c r="E25" s="6" t="s">
        <v>77</v>
      </c>
      <c r="F25" s="7">
        <v>7046.3</v>
      </c>
      <c r="G25" s="7">
        <v>7061.4</v>
      </c>
      <c r="H25" s="7">
        <f>G25-F25</f>
        <v>15.1</v>
      </c>
      <c r="I25" s="21">
        <v>380.0</v>
      </c>
      <c r="J25" s="8">
        <f t="shared" ref="J25:J30" si="3">H25*I25</f>
        <v>5738</v>
      </c>
      <c r="K25" s="23"/>
      <c r="L25" s="7"/>
      <c r="M25" s="14">
        <f>K25*L25</f>
        <v>0</v>
      </c>
    </row>
    <row r="26" ht="15.75" customHeight="1">
      <c r="C26" s="22"/>
      <c r="D26" s="22"/>
      <c r="E26" s="6" t="s">
        <v>24</v>
      </c>
      <c r="F26" s="23"/>
      <c r="G26" s="23"/>
      <c r="H26" s="7"/>
      <c r="I26" s="24"/>
      <c r="J26" s="8">
        <f t="shared" si="3"/>
        <v>0</v>
      </c>
      <c r="K26" s="7"/>
      <c r="L26" s="7"/>
      <c r="M26" s="14"/>
    </row>
    <row r="27" ht="15.75" customHeight="1">
      <c r="C27" s="5"/>
      <c r="D27" s="5"/>
      <c r="E27" s="6"/>
      <c r="F27" s="7">
        <v>0.0</v>
      </c>
      <c r="G27" s="7"/>
      <c r="H27" s="7">
        <f t="shared" ref="H27:H30" si="4">G27-F27</f>
        <v>0</v>
      </c>
      <c r="I27" s="7"/>
      <c r="J27" s="8">
        <f t="shared" si="3"/>
        <v>0</v>
      </c>
      <c r="K27" s="7"/>
      <c r="L27" s="7"/>
      <c r="M27" s="14"/>
    </row>
    <row r="28" ht="15.75" customHeight="1">
      <c r="C28" s="5"/>
      <c r="D28" s="5"/>
      <c r="E28" s="9"/>
      <c r="F28" s="7">
        <v>0.0</v>
      </c>
      <c r="G28" s="7"/>
      <c r="H28" s="7">
        <f t="shared" si="4"/>
        <v>0</v>
      </c>
      <c r="I28" s="7"/>
      <c r="J28" s="8">
        <f t="shared" si="3"/>
        <v>0</v>
      </c>
      <c r="K28" s="7"/>
      <c r="L28" s="7"/>
      <c r="M28" s="14"/>
    </row>
    <row r="29" ht="15.75" customHeight="1">
      <c r="C29" s="5"/>
      <c r="D29" s="5"/>
      <c r="E29" s="9"/>
      <c r="F29" s="7">
        <v>0.0</v>
      </c>
      <c r="G29" s="7"/>
      <c r="H29" s="7">
        <f t="shared" si="4"/>
        <v>0</v>
      </c>
      <c r="I29" s="7"/>
      <c r="J29" s="8">
        <f t="shared" si="3"/>
        <v>0</v>
      </c>
      <c r="K29" s="7"/>
      <c r="L29" s="7"/>
      <c r="M29" s="14"/>
    </row>
    <row r="30" ht="15.75" customHeight="1">
      <c r="C30" s="5"/>
      <c r="D30" s="5"/>
      <c r="E30" s="9"/>
      <c r="F30" s="7">
        <v>0.0</v>
      </c>
      <c r="G30" s="7"/>
      <c r="H30" s="7">
        <f t="shared" si="4"/>
        <v>0</v>
      </c>
      <c r="I30" s="7"/>
      <c r="J30" s="8">
        <f t="shared" si="3"/>
        <v>0</v>
      </c>
      <c r="K30" s="7"/>
      <c r="L30" s="7"/>
      <c r="M30" s="14"/>
    </row>
    <row r="31" ht="15.75" customHeight="1">
      <c r="C31" s="1"/>
      <c r="D31" s="1"/>
      <c r="I31" s="15" t="s">
        <v>11</v>
      </c>
      <c r="J31" s="11">
        <f>SUM(J25:J30)</f>
        <v>5738</v>
      </c>
      <c r="M31" s="16">
        <f>SUM(M25:M30)</f>
        <v>0</v>
      </c>
    </row>
    <row r="32" ht="15.75" customHeight="1">
      <c r="C32" s="1"/>
      <c r="D32" s="1"/>
    </row>
    <row r="33" ht="15.75" customHeight="1">
      <c r="C33" s="1"/>
      <c r="D33" s="1"/>
      <c r="H33" s="17" t="s">
        <v>18</v>
      </c>
      <c r="I33" s="18"/>
      <c r="J33" s="19">
        <f>J31-M31</f>
        <v>5738</v>
      </c>
    </row>
    <row r="34" ht="15.75" customHeight="1">
      <c r="C34" s="1"/>
      <c r="D34" s="1"/>
    </row>
    <row r="35" ht="15.75" customHeight="1">
      <c r="C35" s="1"/>
      <c r="D35" s="1"/>
      <c r="E35" s="12" t="s">
        <v>12</v>
      </c>
    </row>
    <row r="36" ht="15.75" customHeight="1">
      <c r="C36" s="1"/>
      <c r="D36" s="1"/>
      <c r="E36" s="13"/>
    </row>
    <row r="37" ht="15.75" customHeight="1">
      <c r="C37" s="1"/>
      <c r="D37" s="1"/>
    </row>
    <row r="38" ht="15.75" customHeight="1">
      <c r="C38" s="1"/>
      <c r="D38" s="1"/>
    </row>
    <row r="39" ht="15.75" customHeight="1">
      <c r="C39" s="1"/>
      <c r="D39" s="1"/>
    </row>
    <row r="40" ht="15.75" customHeight="1">
      <c r="C40" s="1"/>
      <c r="D40" s="1"/>
    </row>
    <row r="41" ht="15.75" customHeight="1">
      <c r="C41" s="1"/>
      <c r="D41" s="1"/>
    </row>
    <row r="42" ht="15.75" customHeight="1">
      <c r="C42" s="2" t="s">
        <v>0</v>
      </c>
      <c r="D42" s="2" t="s">
        <v>1</v>
      </c>
      <c r="E42" s="3" t="s">
        <v>2</v>
      </c>
      <c r="F42" s="31" t="s">
        <v>3</v>
      </c>
      <c r="G42" s="3" t="s">
        <v>4</v>
      </c>
      <c r="H42" s="3" t="s">
        <v>5</v>
      </c>
      <c r="I42" s="3"/>
      <c r="J42" s="3"/>
      <c r="K42" s="3" t="s">
        <v>14</v>
      </c>
      <c r="L42" s="3" t="s">
        <v>15</v>
      </c>
      <c r="M42" s="3" t="s">
        <v>16</v>
      </c>
    </row>
    <row r="43" ht="15.75" customHeight="1">
      <c r="C43" s="22">
        <v>45982.0</v>
      </c>
      <c r="D43" s="22">
        <v>45996.0</v>
      </c>
      <c r="E43" s="6" t="s">
        <v>78</v>
      </c>
      <c r="F43" s="33">
        <v>7161.2</v>
      </c>
      <c r="G43" s="23">
        <v>7282.8</v>
      </c>
      <c r="H43" s="7">
        <f t="shared" ref="H43:H48" si="5">G43-F43</f>
        <v>121.6</v>
      </c>
      <c r="I43" s="21">
        <v>380.0</v>
      </c>
      <c r="J43" s="8">
        <f t="shared" ref="J43:J48" si="6">H43*I43</f>
        <v>46208</v>
      </c>
      <c r="K43" s="7"/>
      <c r="L43" s="7"/>
      <c r="M43" s="14">
        <f>K43*L43</f>
        <v>0</v>
      </c>
    </row>
    <row r="44" ht="15.75" customHeight="1">
      <c r="C44" s="5"/>
      <c r="D44" s="5"/>
      <c r="E44" s="9" t="s">
        <v>30</v>
      </c>
      <c r="F44" s="7">
        <v>0.0</v>
      </c>
      <c r="G44" s="7"/>
      <c r="H44" s="7">
        <f t="shared" si="5"/>
        <v>0</v>
      </c>
      <c r="I44" s="7"/>
      <c r="J44" s="8">
        <f t="shared" si="6"/>
        <v>0</v>
      </c>
      <c r="K44" s="7"/>
      <c r="L44" s="7"/>
      <c r="M44" s="14"/>
    </row>
    <row r="45" ht="15.75" customHeight="1">
      <c r="C45" s="5"/>
      <c r="D45" s="5"/>
      <c r="E45" s="9"/>
      <c r="F45" s="7">
        <v>0.0</v>
      </c>
      <c r="G45" s="7"/>
      <c r="H45" s="7">
        <f t="shared" si="5"/>
        <v>0</v>
      </c>
      <c r="I45" s="7"/>
      <c r="J45" s="8">
        <f t="shared" si="6"/>
        <v>0</v>
      </c>
      <c r="K45" s="7"/>
      <c r="L45" s="7"/>
      <c r="M45" s="14"/>
    </row>
    <row r="46" ht="15.75" customHeight="1">
      <c r="C46" s="5"/>
      <c r="D46" s="5"/>
      <c r="E46" s="9"/>
      <c r="F46" s="7">
        <v>0.0</v>
      </c>
      <c r="G46" s="7"/>
      <c r="H46" s="7">
        <f t="shared" si="5"/>
        <v>0</v>
      </c>
      <c r="I46" s="7"/>
      <c r="J46" s="8">
        <f t="shared" si="6"/>
        <v>0</v>
      </c>
      <c r="K46" s="7"/>
      <c r="L46" s="7"/>
      <c r="M46" s="14"/>
    </row>
    <row r="47" ht="15.75" customHeight="1">
      <c r="C47" s="5"/>
      <c r="D47" s="5"/>
      <c r="E47" s="9"/>
      <c r="F47" s="7">
        <v>0.0</v>
      </c>
      <c r="G47" s="7"/>
      <c r="H47" s="7">
        <f t="shared" si="5"/>
        <v>0</v>
      </c>
      <c r="I47" s="7"/>
      <c r="J47" s="8">
        <f t="shared" si="6"/>
        <v>0</v>
      </c>
      <c r="K47" s="7"/>
      <c r="L47" s="7"/>
      <c r="M47" s="14"/>
    </row>
    <row r="48" ht="15.75" customHeight="1">
      <c r="C48" s="5"/>
      <c r="D48" s="5"/>
      <c r="E48" s="9"/>
      <c r="F48" s="7">
        <v>0.0</v>
      </c>
      <c r="G48" s="7"/>
      <c r="H48" s="7">
        <f t="shared" si="5"/>
        <v>0</v>
      </c>
      <c r="I48" s="7"/>
      <c r="J48" s="8">
        <f t="shared" si="6"/>
        <v>0</v>
      </c>
      <c r="K48" s="7"/>
      <c r="L48" s="7"/>
      <c r="M48" s="14"/>
    </row>
    <row r="49" ht="15.75" customHeight="1">
      <c r="C49" s="1"/>
      <c r="D49" s="1"/>
      <c r="I49" s="15" t="s">
        <v>11</v>
      </c>
      <c r="J49" s="11">
        <f>SUM(J43:J48)</f>
        <v>46208</v>
      </c>
      <c r="M49" s="16">
        <f>SUM(M43:M48)</f>
        <v>0</v>
      </c>
      <c r="S49" s="56"/>
    </row>
    <row r="50" ht="15.75" customHeight="1">
      <c r="C50" s="1"/>
      <c r="D50" s="1"/>
    </row>
    <row r="51" ht="15.75" customHeight="1">
      <c r="C51" s="1"/>
      <c r="D51" s="1"/>
      <c r="H51" s="17" t="s">
        <v>18</v>
      </c>
      <c r="I51" s="18"/>
      <c r="J51" s="19">
        <f>J49-M49</f>
        <v>46208</v>
      </c>
    </row>
    <row r="52" ht="15.75" customHeight="1">
      <c r="C52" s="1"/>
      <c r="D52" s="1"/>
    </row>
    <row r="53" ht="15.75" customHeight="1">
      <c r="C53" s="1"/>
      <c r="D53" s="1"/>
      <c r="E53" s="12" t="s">
        <v>12</v>
      </c>
    </row>
    <row r="54" ht="15.75" customHeight="1">
      <c r="C54" s="1"/>
      <c r="D54" s="1"/>
      <c r="E54" s="13"/>
    </row>
    <row r="55" ht="15.75" customHeight="1">
      <c r="C55" s="1"/>
      <c r="D55" s="1"/>
    </row>
    <row r="56" ht="15.75" customHeight="1">
      <c r="C56" s="1"/>
      <c r="D56" s="1"/>
    </row>
    <row r="57" ht="15.75" customHeight="1">
      <c r="C57" s="1"/>
      <c r="D57" s="1"/>
    </row>
    <row r="58" ht="15.75" customHeight="1">
      <c r="C58" s="1"/>
      <c r="D58" s="1"/>
    </row>
    <row r="59" ht="15.75" customHeight="1">
      <c r="C59" s="1"/>
      <c r="D59" s="1"/>
    </row>
    <row r="60" ht="15.75" customHeight="1">
      <c r="C60" s="1"/>
      <c r="D60" s="1"/>
    </row>
    <row r="61" ht="15.75" customHeight="1">
      <c r="C61" s="1"/>
      <c r="D61" s="1"/>
    </row>
    <row r="62" ht="15.75" customHeight="1">
      <c r="C62" s="1"/>
      <c r="D62" s="1"/>
    </row>
    <row r="63" ht="15.75" customHeight="1">
      <c r="C63" s="1"/>
      <c r="D63" s="1"/>
    </row>
    <row r="64" ht="15.75" customHeight="1">
      <c r="C64" s="1"/>
      <c r="D64" s="1"/>
    </row>
    <row r="65" ht="15.75" customHeight="1">
      <c r="C65" s="1"/>
      <c r="D65" s="1"/>
    </row>
    <row r="66" ht="15.75" customHeight="1">
      <c r="C66" s="1"/>
      <c r="D66" s="1"/>
    </row>
    <row r="67" ht="15.75" customHeight="1">
      <c r="C67" s="1"/>
      <c r="D67" s="1"/>
    </row>
    <row r="68" ht="15.75" customHeight="1">
      <c r="C68" s="1"/>
      <c r="D68" s="1"/>
    </row>
    <row r="69" ht="15.75" customHeight="1">
      <c r="C69" s="1"/>
      <c r="D69" s="1"/>
    </row>
    <row r="70" ht="15.75" customHeight="1">
      <c r="C70" s="1"/>
      <c r="D70" s="1"/>
    </row>
    <row r="71" ht="15.75" customHeight="1">
      <c r="C71" s="1"/>
      <c r="D71" s="1"/>
    </row>
    <row r="72" ht="15.75" customHeight="1">
      <c r="C72" s="1"/>
      <c r="D72" s="1"/>
    </row>
    <row r="73" ht="15.75" customHeight="1">
      <c r="C73" s="1"/>
      <c r="D73" s="1"/>
    </row>
    <row r="74" ht="15.75" customHeight="1">
      <c r="C74" s="1"/>
      <c r="D74" s="1"/>
    </row>
    <row r="75" ht="15.75" customHeight="1">
      <c r="C75" s="1"/>
      <c r="D75" s="1"/>
    </row>
    <row r="76" ht="15.75" customHeight="1">
      <c r="C76" s="1"/>
      <c r="D76" s="1"/>
    </row>
    <row r="77" ht="15.75" customHeight="1">
      <c r="C77" s="1"/>
      <c r="D77" s="1"/>
    </row>
    <row r="78" ht="15.75" customHeight="1">
      <c r="C78" s="1"/>
      <c r="D78" s="1"/>
    </row>
    <row r="79" ht="15.75" customHeight="1">
      <c r="C79" s="1"/>
      <c r="D79" s="1"/>
    </row>
    <row r="80" ht="15.75" customHeight="1">
      <c r="C80" s="1"/>
      <c r="D80" s="1"/>
    </row>
    <row r="81" ht="15.75" customHeight="1">
      <c r="C81" s="1"/>
      <c r="D81" s="1"/>
    </row>
    <row r="82" ht="15.75" customHeight="1">
      <c r="C82" s="1"/>
      <c r="D82" s="1"/>
    </row>
    <row r="83" ht="15.75" customHeight="1">
      <c r="C83" s="1"/>
      <c r="D83" s="1"/>
    </row>
    <row r="84" ht="15.75" customHeight="1">
      <c r="C84" s="1"/>
      <c r="D84" s="1"/>
    </row>
    <row r="85" ht="15.75" customHeight="1">
      <c r="C85" s="1"/>
      <c r="D85" s="1"/>
    </row>
    <row r="86" ht="15.75" customHeight="1">
      <c r="C86" s="1"/>
      <c r="D86" s="1"/>
    </row>
    <row r="87" ht="15.75" customHeight="1">
      <c r="C87" s="1"/>
      <c r="D87" s="1"/>
    </row>
    <row r="88" ht="15.75" customHeight="1">
      <c r="C88" s="1"/>
      <c r="D88" s="1"/>
    </row>
    <row r="89" ht="15.75" customHeight="1">
      <c r="C89" s="1"/>
      <c r="D89" s="1"/>
    </row>
    <row r="90" ht="15.75" customHeight="1">
      <c r="C90" s="1"/>
      <c r="D90" s="1"/>
    </row>
    <row r="91" ht="15.75" customHeight="1">
      <c r="C91" s="1"/>
      <c r="D91" s="1"/>
    </row>
    <row r="92" ht="15.75" customHeight="1">
      <c r="C92" s="1"/>
      <c r="D92" s="1"/>
    </row>
    <row r="93" ht="15.75" customHeight="1">
      <c r="C93" s="1"/>
      <c r="D93" s="1"/>
    </row>
    <row r="94" ht="15.75" customHeight="1">
      <c r="C94" s="1"/>
      <c r="D94" s="1"/>
    </row>
    <row r="95" ht="15.75" customHeight="1">
      <c r="C95" s="1"/>
      <c r="D95" s="1"/>
    </row>
    <row r="96" ht="15.75" customHeight="1">
      <c r="C96" s="1"/>
      <c r="D96" s="1"/>
    </row>
    <row r="97" ht="15.75" customHeight="1">
      <c r="C97" s="1"/>
      <c r="D97" s="1"/>
    </row>
    <row r="98" ht="15.75" customHeight="1">
      <c r="C98" s="1"/>
      <c r="D98" s="1"/>
    </row>
    <row r="99" ht="15.75" customHeight="1">
      <c r="C99" s="1"/>
      <c r="D99" s="1"/>
    </row>
    <row r="100" ht="15.75" customHeight="1">
      <c r="C100" s="1"/>
      <c r="D100" s="1"/>
    </row>
    <row r="101" ht="15.75" customHeight="1">
      <c r="C101" s="1"/>
      <c r="D101" s="1"/>
    </row>
    <row r="102" ht="15.75" customHeight="1">
      <c r="C102" s="1"/>
      <c r="D102" s="1"/>
    </row>
    <row r="103" ht="15.75" customHeight="1">
      <c r="C103" s="1"/>
      <c r="D103" s="1"/>
    </row>
    <row r="104" ht="15.75" customHeight="1">
      <c r="C104" s="1"/>
      <c r="D104" s="1"/>
    </row>
    <row r="105" ht="15.75" customHeight="1">
      <c r="C105" s="1"/>
      <c r="D105" s="1"/>
    </row>
    <row r="106" ht="15.75" customHeight="1">
      <c r="C106" s="1"/>
      <c r="D106" s="1"/>
    </row>
    <row r="107" ht="15.75" customHeight="1">
      <c r="C107" s="1"/>
      <c r="D107" s="1"/>
    </row>
    <row r="108" ht="15.75" customHeight="1">
      <c r="C108" s="1"/>
      <c r="D108" s="1"/>
    </row>
    <row r="109" ht="15.75" customHeight="1">
      <c r="C109" s="1"/>
      <c r="D109" s="1"/>
    </row>
    <row r="110" ht="15.75" customHeight="1">
      <c r="C110" s="1"/>
      <c r="D110" s="1"/>
    </row>
    <row r="111" ht="15.75" customHeight="1">
      <c r="C111" s="1"/>
      <c r="D111" s="1"/>
    </row>
    <row r="112" ht="15.75" customHeight="1">
      <c r="C112" s="1"/>
      <c r="D112" s="1"/>
    </row>
    <row r="113" ht="15.75" customHeight="1">
      <c r="C113" s="1"/>
      <c r="D113" s="1"/>
    </row>
    <row r="114" ht="15.75" customHeight="1">
      <c r="C114" s="1"/>
      <c r="D114" s="1"/>
    </row>
    <row r="115" ht="15.75" customHeight="1">
      <c r="C115" s="1"/>
      <c r="D115" s="1"/>
    </row>
    <row r="116" ht="15.75" customHeight="1">
      <c r="C116" s="1"/>
      <c r="D116" s="1"/>
    </row>
    <row r="117" ht="15.75" customHeight="1">
      <c r="C117" s="1"/>
      <c r="D117" s="1"/>
    </row>
    <row r="118" ht="15.75" customHeight="1">
      <c r="C118" s="1"/>
      <c r="D118" s="1"/>
    </row>
    <row r="119" ht="15.75" customHeight="1">
      <c r="C119" s="1"/>
      <c r="D119" s="1"/>
    </row>
    <row r="120" ht="15.75" customHeight="1">
      <c r="C120" s="1"/>
      <c r="D120" s="1"/>
    </row>
    <row r="121" ht="15.75" customHeight="1">
      <c r="C121" s="1"/>
      <c r="D121" s="1"/>
    </row>
    <row r="122" ht="15.75" customHeight="1">
      <c r="C122" s="1"/>
      <c r="D122" s="1"/>
    </row>
    <row r="123" ht="15.75" customHeight="1">
      <c r="C123" s="1"/>
      <c r="D123" s="1"/>
    </row>
    <row r="124" ht="15.75" customHeight="1">
      <c r="C124" s="1"/>
      <c r="D124" s="1"/>
    </row>
    <row r="125" ht="15.75" customHeight="1">
      <c r="C125" s="1"/>
      <c r="D125" s="1"/>
    </row>
    <row r="126" ht="15.75" customHeight="1">
      <c r="C126" s="1"/>
      <c r="D126" s="1"/>
    </row>
    <row r="127" ht="15.75" customHeight="1">
      <c r="C127" s="1"/>
      <c r="D127" s="1"/>
    </row>
    <row r="128" ht="15.75" customHeight="1">
      <c r="C128" s="1"/>
      <c r="D128" s="1"/>
    </row>
    <row r="129" ht="15.75" customHeight="1">
      <c r="C129" s="1"/>
      <c r="D129" s="1"/>
    </row>
    <row r="130" ht="15.75" customHeight="1">
      <c r="C130" s="1"/>
      <c r="D130" s="1"/>
    </row>
    <row r="131" ht="15.75" customHeight="1">
      <c r="C131" s="1"/>
      <c r="D131" s="1"/>
    </row>
    <row r="132" ht="15.75" customHeight="1">
      <c r="C132" s="1"/>
      <c r="D132" s="1"/>
    </row>
    <row r="133" ht="15.75" customHeight="1">
      <c r="C133" s="1"/>
      <c r="D133" s="1"/>
    </row>
    <row r="134" ht="15.75" customHeight="1">
      <c r="C134" s="1"/>
      <c r="D134" s="1"/>
    </row>
    <row r="135" ht="15.75" customHeight="1">
      <c r="C135" s="1"/>
      <c r="D135" s="1"/>
    </row>
    <row r="136" ht="15.75" customHeight="1">
      <c r="C136" s="1"/>
      <c r="D136" s="1"/>
    </row>
    <row r="137" ht="15.75" customHeight="1">
      <c r="C137" s="1"/>
      <c r="D137" s="1"/>
    </row>
    <row r="138" ht="15.75" customHeight="1">
      <c r="C138" s="1"/>
      <c r="D138" s="1"/>
    </row>
    <row r="139" ht="15.75" customHeight="1">
      <c r="C139" s="1"/>
      <c r="D139" s="1"/>
    </row>
    <row r="140" ht="15.75" customHeight="1">
      <c r="C140" s="1"/>
      <c r="D140" s="1"/>
    </row>
    <row r="141" ht="15.75" customHeight="1">
      <c r="C141" s="1"/>
      <c r="D141" s="1"/>
    </row>
    <row r="142" ht="15.75" customHeight="1">
      <c r="C142" s="1"/>
      <c r="D142" s="1"/>
    </row>
    <row r="143" ht="15.75" customHeight="1">
      <c r="C143" s="1"/>
      <c r="D143" s="1"/>
    </row>
    <row r="144" ht="15.75" customHeight="1">
      <c r="C144" s="1"/>
      <c r="D144" s="1"/>
    </row>
    <row r="145" ht="15.75" customHeight="1">
      <c r="C145" s="1"/>
      <c r="D145" s="1"/>
    </row>
    <row r="146" ht="15.75" customHeight="1">
      <c r="C146" s="1"/>
      <c r="D146" s="1"/>
    </row>
    <row r="147" ht="15.75" customHeight="1">
      <c r="C147" s="1"/>
      <c r="D147" s="1"/>
    </row>
    <row r="148" ht="15.75" customHeight="1">
      <c r="C148" s="1"/>
      <c r="D148" s="1"/>
    </row>
    <row r="149" ht="15.75" customHeight="1">
      <c r="C149" s="1"/>
      <c r="D149" s="1"/>
    </row>
    <row r="150" ht="15.75" customHeight="1">
      <c r="C150" s="1"/>
      <c r="D150" s="1"/>
    </row>
    <row r="151" ht="15.75" customHeight="1">
      <c r="C151" s="1"/>
      <c r="D151" s="1"/>
    </row>
    <row r="152" ht="15.75" customHeight="1">
      <c r="C152" s="1"/>
      <c r="D152" s="1"/>
    </row>
    <row r="153" ht="15.75" customHeight="1">
      <c r="C153" s="1"/>
      <c r="D153" s="1"/>
    </row>
    <row r="154" ht="15.75" customHeight="1">
      <c r="C154" s="1"/>
      <c r="D154" s="1"/>
    </row>
    <row r="155" ht="15.75" customHeight="1">
      <c r="C155" s="1"/>
      <c r="D155" s="1"/>
    </row>
    <row r="156" ht="15.75" customHeight="1">
      <c r="C156" s="1"/>
      <c r="D156" s="1"/>
    </row>
    <row r="157" ht="15.75" customHeight="1">
      <c r="C157" s="1"/>
      <c r="D157" s="1"/>
    </row>
    <row r="158" ht="15.75" customHeight="1">
      <c r="C158" s="1"/>
      <c r="D158" s="1"/>
    </row>
    <row r="159" ht="15.75" customHeight="1">
      <c r="C159" s="1"/>
      <c r="D159" s="1"/>
    </row>
    <row r="160" ht="15.75" customHeight="1">
      <c r="C160" s="1"/>
      <c r="D160" s="1"/>
    </row>
    <row r="161" ht="15.75" customHeight="1">
      <c r="C161" s="1"/>
      <c r="D161" s="1"/>
    </row>
    <row r="162" ht="15.75" customHeight="1">
      <c r="C162" s="1"/>
      <c r="D162" s="1"/>
    </row>
    <row r="163" ht="15.75" customHeight="1">
      <c r="C163" s="1"/>
      <c r="D163" s="1"/>
    </row>
    <row r="164" ht="15.75" customHeight="1">
      <c r="C164" s="1"/>
      <c r="D164" s="1"/>
    </row>
    <row r="165" ht="15.75" customHeight="1">
      <c r="C165" s="1"/>
      <c r="D165" s="1"/>
    </row>
    <row r="166" ht="15.75" customHeight="1">
      <c r="C166" s="1"/>
      <c r="D166" s="1"/>
    </row>
    <row r="167" ht="15.75" customHeight="1">
      <c r="C167" s="1"/>
      <c r="D167" s="1"/>
    </row>
    <row r="168" ht="15.75" customHeight="1">
      <c r="C168" s="1"/>
      <c r="D168" s="1"/>
    </row>
    <row r="169" ht="15.75" customHeight="1">
      <c r="C169" s="1"/>
      <c r="D169" s="1"/>
    </row>
    <row r="170" ht="15.75" customHeight="1">
      <c r="C170" s="1"/>
      <c r="D170" s="1"/>
    </row>
    <row r="171" ht="15.75" customHeight="1">
      <c r="C171" s="1"/>
      <c r="D171" s="1"/>
    </row>
    <row r="172" ht="15.75" customHeight="1">
      <c r="C172" s="1"/>
      <c r="D172" s="1"/>
    </row>
    <row r="173" ht="15.75" customHeight="1">
      <c r="C173" s="1"/>
      <c r="D173" s="1"/>
    </row>
    <row r="174" ht="15.75" customHeight="1">
      <c r="C174" s="1"/>
      <c r="D174" s="1"/>
    </row>
    <row r="175" ht="15.75" customHeight="1">
      <c r="C175" s="1"/>
      <c r="D175" s="1"/>
    </row>
    <row r="176" ht="15.75" customHeight="1">
      <c r="C176" s="1"/>
      <c r="D176" s="1"/>
    </row>
    <row r="177" ht="15.75" customHeight="1">
      <c r="C177" s="1"/>
      <c r="D177" s="1"/>
    </row>
    <row r="178" ht="15.75" customHeight="1">
      <c r="C178" s="1"/>
      <c r="D178" s="1"/>
    </row>
    <row r="179" ht="15.75" customHeight="1">
      <c r="C179" s="1"/>
      <c r="D179" s="1"/>
    </row>
    <row r="180" ht="15.75" customHeight="1">
      <c r="C180" s="1"/>
      <c r="D180" s="1"/>
    </row>
    <row r="181" ht="15.75" customHeight="1">
      <c r="C181" s="1"/>
      <c r="D181" s="1"/>
    </row>
    <row r="182" ht="15.75" customHeight="1">
      <c r="C182" s="1"/>
      <c r="D182" s="1"/>
    </row>
    <row r="183" ht="15.75" customHeight="1">
      <c r="C183" s="1"/>
      <c r="D183" s="1"/>
    </row>
    <row r="184" ht="15.75" customHeight="1">
      <c r="C184" s="1"/>
      <c r="D184" s="1"/>
    </row>
    <row r="185" ht="15.75" customHeight="1">
      <c r="C185" s="1"/>
      <c r="D185" s="1"/>
    </row>
    <row r="186" ht="15.75" customHeight="1">
      <c r="C186" s="1"/>
      <c r="D186" s="1"/>
    </row>
    <row r="187" ht="15.75" customHeight="1">
      <c r="C187" s="1"/>
      <c r="D187" s="1"/>
    </row>
    <row r="188" ht="15.75" customHeight="1">
      <c r="C188" s="1"/>
      <c r="D188" s="1"/>
    </row>
    <row r="189" ht="15.75" customHeight="1">
      <c r="C189" s="1"/>
      <c r="D189" s="1"/>
    </row>
    <row r="190" ht="15.75" customHeight="1">
      <c r="C190" s="1"/>
      <c r="D190" s="1"/>
    </row>
    <row r="191" ht="15.75" customHeight="1">
      <c r="C191" s="1"/>
      <c r="D191" s="1"/>
    </row>
    <row r="192" ht="15.75" customHeight="1">
      <c r="C192" s="1"/>
      <c r="D192" s="1"/>
    </row>
    <row r="193" ht="15.75" customHeight="1">
      <c r="C193" s="1"/>
      <c r="D193" s="1"/>
    </row>
    <row r="194" ht="15.75" customHeight="1">
      <c r="C194" s="1"/>
      <c r="D194" s="1"/>
    </row>
    <row r="195" ht="15.75" customHeight="1">
      <c r="C195" s="1"/>
      <c r="D195" s="1"/>
    </row>
    <row r="196" ht="15.75" customHeight="1">
      <c r="C196" s="1"/>
      <c r="D196" s="1"/>
    </row>
    <row r="197" ht="15.75" customHeight="1">
      <c r="C197" s="1"/>
      <c r="D197" s="1"/>
    </row>
    <row r="198" ht="15.75" customHeight="1">
      <c r="C198" s="1"/>
      <c r="D198" s="1"/>
    </row>
    <row r="199" ht="15.75" customHeight="1">
      <c r="C199" s="1"/>
      <c r="D199" s="1"/>
    </row>
    <row r="200" ht="15.75" customHeight="1">
      <c r="C200" s="1"/>
      <c r="D200" s="1"/>
    </row>
    <row r="201" ht="15.75" customHeight="1">
      <c r="C201" s="1"/>
      <c r="D201" s="1"/>
    </row>
    <row r="202" ht="15.75" customHeight="1">
      <c r="C202" s="1"/>
      <c r="D202" s="1"/>
    </row>
    <row r="203" ht="15.75" customHeight="1">
      <c r="C203" s="1"/>
      <c r="D203" s="1"/>
    </row>
    <row r="204" ht="15.75" customHeight="1">
      <c r="C204" s="1"/>
      <c r="D204" s="1"/>
    </row>
    <row r="205" ht="15.75" customHeight="1">
      <c r="C205" s="1"/>
      <c r="D205" s="1"/>
    </row>
    <row r="206" ht="15.75" customHeight="1">
      <c r="C206" s="1"/>
      <c r="D206" s="1"/>
    </row>
    <row r="207" ht="15.75" customHeight="1">
      <c r="C207" s="1"/>
      <c r="D207" s="1"/>
    </row>
    <row r="208" ht="15.75" customHeight="1">
      <c r="C208" s="1"/>
      <c r="D208" s="1"/>
    </row>
    <row r="209" ht="15.75" customHeight="1">
      <c r="C209" s="1"/>
      <c r="D209" s="1"/>
    </row>
    <row r="210" ht="15.75" customHeight="1">
      <c r="C210" s="1"/>
      <c r="D210" s="1"/>
    </row>
    <row r="211" ht="15.75" customHeight="1">
      <c r="C211" s="1"/>
      <c r="D211" s="1"/>
    </row>
    <row r="212" ht="15.75" customHeight="1">
      <c r="C212" s="1"/>
      <c r="D212" s="1"/>
    </row>
    <row r="213" ht="15.75" customHeight="1">
      <c r="C213" s="1"/>
      <c r="D213" s="1"/>
    </row>
    <row r="214" ht="15.75" customHeight="1">
      <c r="C214" s="1"/>
      <c r="D214" s="1"/>
    </row>
    <row r="215" ht="15.75" customHeight="1">
      <c r="C215" s="1"/>
      <c r="D215" s="1"/>
    </row>
    <row r="216" ht="15.75" customHeight="1">
      <c r="C216" s="1"/>
      <c r="D216" s="1"/>
    </row>
    <row r="217" ht="15.75" customHeight="1">
      <c r="C217" s="1"/>
      <c r="D217" s="1"/>
    </row>
    <row r="218" ht="15.75" customHeight="1">
      <c r="C218" s="1"/>
      <c r="D218" s="1"/>
    </row>
    <row r="219" ht="15.75" customHeight="1">
      <c r="C219" s="1"/>
      <c r="D219" s="1"/>
    </row>
    <row r="220" ht="15.75" customHeight="1">
      <c r="C220" s="1"/>
      <c r="D220" s="1"/>
    </row>
    <row r="221" ht="15.75" customHeight="1">
      <c r="C221" s="1"/>
      <c r="D221" s="1"/>
    </row>
    <row r="222" ht="15.75" customHeight="1">
      <c r="C222" s="1"/>
      <c r="D222" s="1"/>
    </row>
    <row r="223" ht="15.75" customHeight="1">
      <c r="C223" s="1"/>
      <c r="D223" s="1"/>
    </row>
    <row r="224" ht="15.75" customHeight="1">
      <c r="C224" s="1"/>
      <c r="D224" s="1"/>
    </row>
    <row r="225" ht="15.75" customHeight="1">
      <c r="C225" s="1"/>
      <c r="D225" s="1"/>
    </row>
    <row r="226" ht="15.75" customHeight="1">
      <c r="C226" s="1"/>
      <c r="D226" s="1"/>
    </row>
    <row r="227" ht="15.75" customHeight="1">
      <c r="C227" s="1"/>
      <c r="D227" s="1"/>
    </row>
    <row r="228" ht="15.75" customHeight="1">
      <c r="C228" s="1"/>
      <c r="D228" s="1"/>
    </row>
    <row r="229" ht="15.75" customHeight="1">
      <c r="C229" s="1"/>
      <c r="D229" s="1"/>
    </row>
    <row r="230" ht="15.75" customHeight="1">
      <c r="C230" s="1"/>
      <c r="D230" s="1"/>
    </row>
    <row r="231" ht="15.75" customHeight="1">
      <c r="C231" s="1"/>
      <c r="D231" s="1"/>
    </row>
    <row r="232" ht="15.75" customHeight="1">
      <c r="C232" s="1"/>
      <c r="D232" s="1"/>
    </row>
    <row r="233" ht="15.75" customHeight="1">
      <c r="C233" s="1"/>
      <c r="D233" s="1"/>
    </row>
    <row r="234" ht="15.75" customHeight="1">
      <c r="C234" s="1"/>
      <c r="D234" s="1"/>
    </row>
    <row r="235" ht="15.75" customHeight="1">
      <c r="C235" s="1"/>
      <c r="D235" s="1"/>
    </row>
    <row r="236" ht="15.75" customHeight="1">
      <c r="C236" s="1"/>
      <c r="D236" s="1"/>
    </row>
    <row r="237" ht="15.75" customHeight="1">
      <c r="C237" s="1"/>
      <c r="D237" s="1"/>
    </row>
    <row r="238" ht="15.75" customHeight="1">
      <c r="C238" s="1"/>
      <c r="D238" s="1"/>
    </row>
    <row r="239" ht="15.75" customHeight="1">
      <c r="C239" s="1"/>
      <c r="D239" s="1"/>
    </row>
    <row r="240" ht="15.75" customHeight="1">
      <c r="C240" s="1"/>
      <c r="D240" s="1"/>
    </row>
    <row r="241" ht="15.75" customHeight="1">
      <c r="C241" s="1"/>
      <c r="D241" s="1"/>
    </row>
    <row r="242" ht="15.75" customHeight="1">
      <c r="C242" s="1"/>
      <c r="D242" s="1"/>
    </row>
    <row r="243" ht="15.75" customHeight="1">
      <c r="C243" s="1"/>
      <c r="D243" s="1"/>
    </row>
    <row r="244" ht="15.75" customHeight="1">
      <c r="C244" s="1"/>
      <c r="D244" s="1"/>
    </row>
    <row r="245" ht="15.75" customHeight="1">
      <c r="C245" s="1"/>
      <c r="D245" s="1"/>
    </row>
    <row r="246" ht="15.75" customHeight="1">
      <c r="C246" s="1"/>
      <c r="D246" s="1"/>
    </row>
    <row r="247" ht="15.75" customHeight="1">
      <c r="C247" s="1"/>
      <c r="D247" s="1"/>
    </row>
    <row r="248" ht="15.75" customHeight="1">
      <c r="C248" s="1"/>
      <c r="D248" s="1"/>
    </row>
    <row r="249" ht="15.75" customHeight="1">
      <c r="C249" s="1"/>
      <c r="D249" s="1"/>
    </row>
    <row r="250" ht="15.75" customHeight="1">
      <c r="C250" s="1"/>
      <c r="D250" s="1"/>
    </row>
    <row r="251" ht="15.75" customHeight="1">
      <c r="C251" s="1"/>
      <c r="D251" s="1"/>
    </row>
    <row r="252" ht="15.75" customHeight="1">
      <c r="C252" s="1"/>
      <c r="D252" s="1"/>
    </row>
    <row r="253" ht="15.75" customHeight="1">
      <c r="C253" s="1"/>
      <c r="D253" s="1"/>
    </row>
    <row r="254" ht="15.75" customHeight="1">
      <c r="C254" s="1"/>
      <c r="D254" s="1"/>
    </row>
    <row r="255" ht="15.75" customHeight="1">
      <c r="C255" s="1"/>
      <c r="D255" s="1"/>
    </row>
    <row r="256" ht="15.75" customHeight="1">
      <c r="C256" s="1"/>
      <c r="D256" s="1"/>
    </row>
    <row r="257" ht="15.75" customHeight="1">
      <c r="C257" s="1"/>
      <c r="D257" s="1"/>
    </row>
    <row r="258" ht="15.75" customHeight="1">
      <c r="C258" s="1"/>
      <c r="D258" s="1"/>
    </row>
    <row r="259" ht="15.75" customHeight="1">
      <c r="C259" s="1"/>
      <c r="D259" s="1"/>
    </row>
    <row r="260" ht="15.75" customHeight="1">
      <c r="C260" s="1"/>
      <c r="D260" s="1"/>
    </row>
    <row r="261" ht="15.75" customHeight="1">
      <c r="C261" s="1"/>
      <c r="D261" s="1"/>
    </row>
    <row r="262" ht="15.75" customHeight="1">
      <c r="C262" s="1"/>
      <c r="D262" s="1"/>
    </row>
    <row r="263" ht="15.75" customHeight="1">
      <c r="C263" s="1"/>
      <c r="D263" s="1"/>
    </row>
    <row r="264" ht="15.75" customHeight="1">
      <c r="C264" s="1"/>
      <c r="D264" s="1"/>
    </row>
    <row r="265" ht="15.75" customHeight="1">
      <c r="C265" s="1"/>
      <c r="D265" s="1"/>
    </row>
    <row r="266" ht="15.75" customHeight="1">
      <c r="C266" s="1"/>
      <c r="D266" s="1"/>
    </row>
    <row r="267" ht="15.75" customHeight="1">
      <c r="C267" s="1"/>
      <c r="D267" s="1"/>
    </row>
    <row r="268" ht="15.75" customHeight="1">
      <c r="C268" s="1"/>
      <c r="D268" s="1"/>
    </row>
    <row r="269" ht="15.75" customHeight="1">
      <c r="C269" s="1"/>
      <c r="D269" s="1"/>
    </row>
    <row r="270" ht="15.75" customHeight="1">
      <c r="C270" s="1"/>
      <c r="D270" s="1"/>
    </row>
    <row r="271" ht="15.75" customHeight="1">
      <c r="C271" s="1"/>
      <c r="D271" s="1"/>
    </row>
    <row r="272" ht="15.75" customHeight="1">
      <c r="C272" s="1"/>
      <c r="D272" s="1"/>
    </row>
    <row r="273" ht="15.75" customHeight="1">
      <c r="C273" s="1"/>
      <c r="D273" s="1"/>
    </row>
    <row r="274" ht="15.75" customHeight="1">
      <c r="C274" s="1"/>
      <c r="D274" s="1"/>
    </row>
    <row r="275" ht="15.75" customHeight="1">
      <c r="C275" s="1"/>
      <c r="D275" s="1"/>
    </row>
    <row r="276" ht="15.75" customHeight="1">
      <c r="C276" s="1"/>
      <c r="D276" s="1"/>
    </row>
    <row r="277" ht="15.75" customHeight="1">
      <c r="C277" s="1"/>
      <c r="D277" s="1"/>
    </row>
    <row r="278" ht="15.75" customHeight="1">
      <c r="C278" s="1"/>
      <c r="D278" s="1"/>
    </row>
    <row r="279" ht="15.75" customHeight="1">
      <c r="C279" s="1"/>
      <c r="D279" s="1"/>
    </row>
    <row r="280" ht="15.75" customHeight="1">
      <c r="C280" s="1"/>
      <c r="D280" s="1"/>
    </row>
    <row r="281" ht="15.75" customHeight="1">
      <c r="C281" s="1"/>
      <c r="D281" s="1"/>
    </row>
    <row r="282" ht="15.75" customHeight="1">
      <c r="C282" s="1"/>
      <c r="D282" s="1"/>
    </row>
    <row r="283" ht="15.75" customHeight="1">
      <c r="C283" s="1"/>
      <c r="D283" s="1"/>
    </row>
    <row r="284" ht="15.75" customHeight="1">
      <c r="C284" s="1"/>
      <c r="D284" s="1"/>
    </row>
    <row r="285" ht="15.75" customHeight="1">
      <c r="C285" s="1"/>
      <c r="D285" s="1"/>
    </row>
    <row r="286" ht="15.75" customHeight="1">
      <c r="C286" s="1"/>
      <c r="D286" s="1"/>
    </row>
    <row r="287" ht="15.75" customHeight="1">
      <c r="C287" s="1"/>
      <c r="D287" s="1"/>
    </row>
    <row r="288" ht="15.75" customHeight="1">
      <c r="C288" s="1"/>
      <c r="D288" s="1"/>
    </row>
    <row r="289" ht="15.75" customHeight="1">
      <c r="C289" s="1"/>
      <c r="D289" s="1"/>
    </row>
    <row r="290" ht="15.75" customHeight="1">
      <c r="C290" s="1"/>
      <c r="D290" s="1"/>
    </row>
    <row r="291" ht="15.75" customHeight="1">
      <c r="C291" s="1"/>
      <c r="D291" s="1"/>
    </row>
    <row r="292" ht="15.75" customHeight="1">
      <c r="C292" s="1"/>
      <c r="D292" s="1"/>
    </row>
    <row r="293" ht="15.75" customHeight="1">
      <c r="C293" s="1"/>
      <c r="D293" s="1"/>
    </row>
    <row r="294" ht="15.75" customHeight="1">
      <c r="C294" s="1"/>
      <c r="D294" s="1"/>
    </row>
    <row r="295" ht="15.75" customHeight="1">
      <c r="C295" s="1"/>
      <c r="D295" s="1"/>
    </row>
    <row r="296" ht="15.75" customHeight="1">
      <c r="C296" s="1"/>
      <c r="D296" s="1"/>
    </row>
    <row r="297" ht="15.75" customHeight="1">
      <c r="C297" s="1"/>
      <c r="D297" s="1"/>
    </row>
    <row r="298" ht="15.75" customHeight="1">
      <c r="C298" s="1"/>
      <c r="D298" s="1"/>
    </row>
    <row r="299" ht="15.75" customHeight="1">
      <c r="C299" s="1"/>
      <c r="D299" s="1"/>
    </row>
    <row r="300" ht="15.75" customHeight="1">
      <c r="C300" s="1"/>
      <c r="D300" s="1"/>
    </row>
    <row r="301" ht="15.75" customHeight="1">
      <c r="C301" s="1"/>
      <c r="D301" s="1"/>
    </row>
    <row r="302" ht="15.75" customHeight="1">
      <c r="C302" s="1"/>
      <c r="D302" s="1"/>
    </row>
    <row r="303" ht="15.75" customHeight="1">
      <c r="C303" s="1"/>
      <c r="D303" s="1"/>
    </row>
    <row r="304" ht="15.75" customHeight="1">
      <c r="C304" s="1"/>
      <c r="D304" s="1"/>
    </row>
    <row r="305" ht="15.75" customHeight="1">
      <c r="C305" s="1"/>
      <c r="D305" s="1"/>
    </row>
    <row r="306" ht="15.75" customHeight="1">
      <c r="C306" s="1"/>
      <c r="D306" s="1"/>
    </row>
    <row r="307" ht="15.75" customHeight="1">
      <c r="C307" s="1"/>
      <c r="D307" s="1"/>
    </row>
    <row r="308" ht="15.75" customHeight="1">
      <c r="C308" s="1"/>
      <c r="D308" s="1"/>
    </row>
    <row r="309" ht="15.75" customHeight="1">
      <c r="C309" s="1"/>
      <c r="D309" s="1"/>
    </row>
    <row r="310" ht="15.75" customHeight="1">
      <c r="C310" s="1"/>
      <c r="D310" s="1"/>
    </row>
    <row r="311" ht="15.75" customHeight="1">
      <c r="C311" s="1"/>
      <c r="D311" s="1"/>
    </row>
    <row r="312" ht="15.75" customHeight="1">
      <c r="C312" s="1"/>
      <c r="D312" s="1"/>
    </row>
    <row r="313" ht="15.75" customHeight="1">
      <c r="C313" s="1"/>
      <c r="D313" s="1"/>
    </row>
    <row r="314" ht="15.75" customHeight="1">
      <c r="C314" s="1"/>
      <c r="D314" s="1"/>
    </row>
    <row r="315" ht="15.75" customHeight="1">
      <c r="C315" s="1"/>
      <c r="D315" s="1"/>
    </row>
    <row r="316" ht="15.75" customHeight="1">
      <c r="C316" s="1"/>
      <c r="D316" s="1"/>
    </row>
    <row r="317" ht="15.75" customHeight="1">
      <c r="C317" s="1"/>
      <c r="D317" s="1"/>
    </row>
    <row r="318" ht="15.75" customHeight="1">
      <c r="C318" s="1"/>
      <c r="D318" s="1"/>
    </row>
    <row r="319" ht="15.75" customHeight="1">
      <c r="C319" s="1"/>
      <c r="D319" s="1"/>
    </row>
    <row r="320" ht="15.75" customHeight="1">
      <c r="C320" s="1"/>
      <c r="D320" s="1"/>
    </row>
    <row r="321" ht="15.75" customHeight="1">
      <c r="C321" s="1"/>
      <c r="D321" s="1"/>
    </row>
    <row r="322" ht="15.75" customHeight="1">
      <c r="C322" s="1"/>
      <c r="D322" s="1"/>
    </row>
    <row r="323" ht="15.75" customHeight="1">
      <c r="C323" s="1"/>
      <c r="D323" s="1"/>
    </row>
    <row r="324" ht="15.75" customHeight="1">
      <c r="C324" s="1"/>
      <c r="D324" s="1"/>
    </row>
    <row r="325" ht="15.75" customHeight="1">
      <c r="C325" s="1"/>
      <c r="D325" s="1"/>
    </row>
    <row r="326" ht="15.75" customHeight="1">
      <c r="C326" s="1"/>
      <c r="D326" s="1"/>
    </row>
    <row r="327" ht="15.75" customHeight="1">
      <c r="C327" s="1"/>
      <c r="D327" s="1"/>
    </row>
    <row r="328" ht="15.75" customHeight="1">
      <c r="C328" s="1"/>
      <c r="D328" s="1"/>
    </row>
    <row r="329" ht="15.75" customHeight="1">
      <c r="C329" s="1"/>
      <c r="D329" s="1"/>
    </row>
    <row r="330" ht="15.75" customHeight="1">
      <c r="C330" s="1"/>
      <c r="D330" s="1"/>
    </row>
    <row r="331" ht="15.75" customHeight="1">
      <c r="C331" s="1"/>
      <c r="D331" s="1"/>
    </row>
    <row r="332" ht="15.75" customHeight="1">
      <c r="C332" s="1"/>
      <c r="D332" s="1"/>
    </row>
    <row r="333" ht="15.75" customHeight="1">
      <c r="C333" s="1"/>
      <c r="D333" s="1"/>
    </row>
    <row r="334" ht="15.75" customHeight="1">
      <c r="C334" s="1"/>
      <c r="D334" s="1"/>
    </row>
    <row r="335" ht="15.75" customHeight="1">
      <c r="C335" s="1"/>
      <c r="D335" s="1"/>
    </row>
    <row r="336" ht="15.75" customHeight="1">
      <c r="C336" s="1"/>
      <c r="D336" s="1"/>
    </row>
    <row r="337" ht="15.75" customHeight="1">
      <c r="C337" s="1"/>
      <c r="D337" s="1"/>
    </row>
    <row r="338" ht="15.75" customHeight="1">
      <c r="C338" s="1"/>
      <c r="D338" s="1"/>
    </row>
    <row r="339" ht="15.75" customHeight="1">
      <c r="C339" s="1"/>
      <c r="D339" s="1"/>
    </row>
    <row r="340" ht="15.75" customHeight="1">
      <c r="C340" s="1"/>
      <c r="D340" s="1"/>
    </row>
    <row r="341" ht="15.75" customHeight="1">
      <c r="C341" s="1"/>
      <c r="D341" s="1"/>
    </row>
    <row r="342" ht="15.75" customHeight="1">
      <c r="C342" s="1"/>
      <c r="D342" s="1"/>
    </row>
    <row r="343" ht="15.75" customHeight="1">
      <c r="C343" s="1"/>
      <c r="D343" s="1"/>
    </row>
    <row r="344" ht="15.75" customHeight="1">
      <c r="C344" s="1"/>
      <c r="D344" s="1"/>
    </row>
    <row r="345" ht="15.75" customHeight="1">
      <c r="C345" s="1"/>
      <c r="D345" s="1"/>
    </row>
    <row r="346" ht="15.75" customHeight="1">
      <c r="C346" s="1"/>
      <c r="D346" s="1"/>
    </row>
    <row r="347" ht="15.75" customHeight="1">
      <c r="C347" s="1"/>
      <c r="D347" s="1"/>
    </row>
    <row r="348" ht="15.75" customHeight="1">
      <c r="C348" s="1"/>
      <c r="D348" s="1"/>
    </row>
    <row r="349" ht="15.75" customHeight="1">
      <c r="C349" s="1"/>
      <c r="D349" s="1"/>
    </row>
    <row r="350" ht="15.75" customHeight="1">
      <c r="C350" s="1"/>
      <c r="D350" s="1"/>
    </row>
    <row r="351" ht="15.75" customHeight="1">
      <c r="C351" s="1"/>
      <c r="D351" s="1"/>
    </row>
    <row r="352" ht="15.75" customHeight="1">
      <c r="C352" s="1"/>
      <c r="D352" s="1"/>
    </row>
    <row r="353" ht="15.75" customHeight="1">
      <c r="C353" s="1"/>
      <c r="D353" s="1"/>
    </row>
    <row r="354" ht="15.75" customHeight="1">
      <c r="C354" s="1"/>
      <c r="D354" s="1"/>
    </row>
    <row r="355" ht="15.75" customHeight="1">
      <c r="C355" s="1"/>
      <c r="D355" s="1"/>
    </row>
    <row r="356" ht="15.75" customHeight="1">
      <c r="C356" s="1"/>
      <c r="D356" s="1"/>
    </row>
    <row r="357" ht="15.75" customHeight="1">
      <c r="C357" s="1"/>
      <c r="D357" s="1"/>
    </row>
    <row r="358" ht="15.75" customHeight="1">
      <c r="C358" s="1"/>
      <c r="D358" s="1"/>
    </row>
    <row r="359" ht="15.75" customHeight="1">
      <c r="C359" s="1"/>
      <c r="D359" s="1"/>
    </row>
    <row r="360" ht="15.75" customHeight="1">
      <c r="C360" s="1"/>
      <c r="D360" s="1"/>
    </row>
    <row r="361" ht="15.75" customHeight="1">
      <c r="C361" s="1"/>
      <c r="D361" s="1"/>
    </row>
    <row r="362" ht="15.75" customHeight="1">
      <c r="C362" s="1"/>
      <c r="D362" s="1"/>
    </row>
    <row r="363" ht="15.75" customHeight="1">
      <c r="C363" s="1"/>
      <c r="D363" s="1"/>
    </row>
    <row r="364" ht="15.75" customHeight="1">
      <c r="C364" s="1"/>
      <c r="D364" s="1"/>
    </row>
    <row r="365" ht="15.75" customHeight="1">
      <c r="C365" s="1"/>
      <c r="D365" s="1"/>
    </row>
    <row r="366" ht="15.75" customHeight="1">
      <c r="C366" s="1"/>
      <c r="D366" s="1"/>
    </row>
    <row r="367" ht="15.75" customHeight="1">
      <c r="C367" s="1"/>
      <c r="D367" s="1"/>
    </row>
    <row r="368" ht="15.75" customHeight="1">
      <c r="C368" s="1"/>
      <c r="D368" s="1"/>
    </row>
    <row r="369" ht="15.75" customHeight="1">
      <c r="C369" s="1"/>
      <c r="D369" s="1"/>
    </row>
    <row r="370" ht="15.75" customHeight="1">
      <c r="C370" s="1"/>
      <c r="D370" s="1"/>
    </row>
    <row r="371" ht="15.75" customHeight="1">
      <c r="C371" s="1"/>
      <c r="D371" s="1"/>
    </row>
    <row r="372" ht="15.75" customHeight="1">
      <c r="C372" s="1"/>
      <c r="D372" s="1"/>
    </row>
    <row r="373" ht="15.75" customHeight="1">
      <c r="C373" s="1"/>
      <c r="D373" s="1"/>
    </row>
    <row r="374" ht="15.75" customHeight="1">
      <c r="C374" s="1"/>
      <c r="D374" s="1"/>
    </row>
    <row r="375" ht="15.75" customHeight="1">
      <c r="C375" s="1"/>
      <c r="D375" s="1"/>
    </row>
    <row r="376" ht="15.75" customHeight="1">
      <c r="C376" s="1"/>
      <c r="D376" s="1"/>
    </row>
    <row r="377" ht="15.75" customHeight="1">
      <c r="C377" s="1"/>
      <c r="D377" s="1"/>
    </row>
    <row r="378" ht="15.75" customHeight="1">
      <c r="C378" s="1"/>
      <c r="D378" s="1"/>
    </row>
    <row r="379" ht="15.75" customHeight="1">
      <c r="C379" s="1"/>
      <c r="D379" s="1"/>
    </row>
    <row r="380" ht="15.75" customHeight="1">
      <c r="C380" s="1"/>
      <c r="D380" s="1"/>
    </row>
    <row r="381" ht="15.75" customHeight="1">
      <c r="C381" s="1"/>
      <c r="D381" s="1"/>
    </row>
    <row r="382" ht="15.75" customHeight="1">
      <c r="C382" s="1"/>
      <c r="D382" s="1"/>
    </row>
    <row r="383" ht="15.75" customHeight="1">
      <c r="C383" s="1"/>
      <c r="D383" s="1"/>
    </row>
    <row r="384" ht="15.75" customHeight="1">
      <c r="C384" s="1"/>
      <c r="D384" s="1"/>
    </row>
    <row r="385" ht="15.75" customHeight="1">
      <c r="C385" s="1"/>
      <c r="D385" s="1"/>
    </row>
    <row r="386" ht="15.75" customHeight="1">
      <c r="C386" s="1"/>
      <c r="D386" s="1"/>
    </row>
    <row r="387" ht="15.75" customHeight="1">
      <c r="C387" s="1"/>
      <c r="D387" s="1"/>
    </row>
    <row r="388" ht="15.75" customHeight="1">
      <c r="C388" s="1"/>
      <c r="D388" s="1"/>
    </row>
    <row r="389" ht="15.75" customHeight="1">
      <c r="C389" s="1"/>
      <c r="D389" s="1"/>
    </row>
    <row r="390" ht="15.75" customHeight="1">
      <c r="C390" s="1"/>
      <c r="D390" s="1"/>
    </row>
    <row r="391" ht="15.75" customHeight="1">
      <c r="C391" s="1"/>
      <c r="D391" s="1"/>
    </row>
    <row r="392" ht="15.75" customHeight="1">
      <c r="C392" s="1"/>
      <c r="D392" s="1"/>
    </row>
    <row r="393" ht="15.75" customHeight="1">
      <c r="C393" s="1"/>
      <c r="D393" s="1"/>
    </row>
    <row r="394" ht="15.75" customHeight="1">
      <c r="C394" s="1"/>
      <c r="D394" s="1"/>
    </row>
    <row r="395" ht="15.75" customHeight="1">
      <c r="C395" s="1"/>
      <c r="D395" s="1"/>
    </row>
    <row r="396" ht="15.75" customHeight="1">
      <c r="C396" s="1"/>
      <c r="D396" s="1"/>
    </row>
    <row r="397" ht="15.75" customHeight="1">
      <c r="C397" s="1"/>
      <c r="D397" s="1"/>
    </row>
    <row r="398" ht="15.75" customHeight="1">
      <c r="C398" s="1"/>
      <c r="D398" s="1"/>
    </row>
    <row r="399" ht="15.75" customHeight="1">
      <c r="C399" s="1"/>
      <c r="D399" s="1"/>
    </row>
    <row r="400" ht="15.75" customHeight="1">
      <c r="C400" s="1"/>
      <c r="D400" s="1"/>
    </row>
    <row r="401" ht="15.75" customHeight="1">
      <c r="C401" s="1"/>
      <c r="D401" s="1"/>
    </row>
    <row r="402" ht="15.75" customHeight="1">
      <c r="C402" s="1"/>
      <c r="D402" s="1"/>
    </row>
    <row r="403" ht="15.75" customHeight="1">
      <c r="C403" s="1"/>
      <c r="D403" s="1"/>
    </row>
    <row r="404" ht="15.75" customHeight="1">
      <c r="C404" s="1"/>
      <c r="D404" s="1"/>
    </row>
    <row r="405" ht="15.75" customHeight="1">
      <c r="C405" s="1"/>
      <c r="D405" s="1"/>
    </row>
    <row r="406" ht="15.75" customHeight="1">
      <c r="C406" s="1"/>
      <c r="D406" s="1"/>
    </row>
    <row r="407" ht="15.75" customHeight="1">
      <c r="C407" s="1"/>
      <c r="D407" s="1"/>
    </row>
    <row r="408" ht="15.75" customHeight="1">
      <c r="C408" s="1"/>
      <c r="D408" s="1"/>
    </row>
    <row r="409" ht="15.75" customHeight="1">
      <c r="C409" s="1"/>
      <c r="D409" s="1"/>
    </row>
    <row r="410" ht="15.75" customHeight="1">
      <c r="C410" s="1"/>
      <c r="D410" s="1"/>
    </row>
    <row r="411" ht="15.75" customHeight="1">
      <c r="C411" s="1"/>
      <c r="D411" s="1"/>
    </row>
    <row r="412" ht="15.75" customHeight="1">
      <c r="C412" s="1"/>
      <c r="D412" s="1"/>
    </row>
    <row r="413" ht="15.75" customHeight="1">
      <c r="C413" s="1"/>
      <c r="D413" s="1"/>
    </row>
    <row r="414" ht="15.75" customHeight="1">
      <c r="C414" s="1"/>
      <c r="D414" s="1"/>
    </row>
    <row r="415" ht="15.75" customHeight="1">
      <c r="C415" s="1"/>
      <c r="D415" s="1"/>
    </row>
    <row r="416" ht="15.75" customHeight="1">
      <c r="C416" s="1"/>
      <c r="D416" s="1"/>
    </row>
    <row r="417" ht="15.75" customHeight="1">
      <c r="C417" s="1"/>
      <c r="D417" s="1"/>
    </row>
    <row r="418" ht="15.75" customHeight="1">
      <c r="C418" s="1"/>
      <c r="D418" s="1"/>
    </row>
    <row r="419" ht="15.75" customHeight="1">
      <c r="C419" s="1"/>
      <c r="D419" s="1"/>
    </row>
    <row r="420" ht="15.75" customHeight="1">
      <c r="C420" s="1"/>
      <c r="D420" s="1"/>
    </row>
    <row r="421" ht="15.75" customHeight="1">
      <c r="C421" s="1"/>
      <c r="D421" s="1"/>
    </row>
    <row r="422" ht="15.75" customHeight="1">
      <c r="C422" s="1"/>
      <c r="D422" s="1"/>
    </row>
    <row r="423" ht="15.75" customHeight="1">
      <c r="C423" s="1"/>
      <c r="D423" s="1"/>
    </row>
    <row r="424" ht="15.75" customHeight="1">
      <c r="C424" s="1"/>
      <c r="D424" s="1"/>
    </row>
    <row r="425" ht="15.75" customHeight="1">
      <c r="C425" s="1"/>
      <c r="D425" s="1"/>
    </row>
    <row r="426" ht="15.75" customHeight="1">
      <c r="C426" s="1"/>
      <c r="D426" s="1"/>
    </row>
    <row r="427" ht="15.75" customHeight="1">
      <c r="C427" s="1"/>
      <c r="D427" s="1"/>
    </row>
    <row r="428" ht="15.75" customHeight="1">
      <c r="C428" s="1"/>
      <c r="D428" s="1"/>
    </row>
    <row r="429" ht="15.75" customHeight="1">
      <c r="C429" s="1"/>
      <c r="D429" s="1"/>
    </row>
    <row r="430" ht="15.75" customHeight="1">
      <c r="C430" s="1"/>
      <c r="D430" s="1"/>
    </row>
    <row r="431" ht="15.75" customHeight="1">
      <c r="C431" s="1"/>
      <c r="D431" s="1"/>
    </row>
    <row r="432" ht="15.75" customHeight="1">
      <c r="C432" s="1"/>
      <c r="D432" s="1"/>
    </row>
    <row r="433" ht="15.75" customHeight="1">
      <c r="C433" s="1"/>
      <c r="D433" s="1"/>
    </row>
    <row r="434" ht="15.75" customHeight="1">
      <c r="C434" s="1"/>
      <c r="D434" s="1"/>
    </row>
    <row r="435" ht="15.75" customHeight="1">
      <c r="C435" s="1"/>
      <c r="D435" s="1"/>
    </row>
    <row r="436" ht="15.75" customHeight="1">
      <c r="C436" s="1"/>
      <c r="D436" s="1"/>
    </row>
    <row r="437" ht="15.75" customHeight="1">
      <c r="C437" s="1"/>
      <c r="D437" s="1"/>
    </row>
    <row r="438" ht="15.75" customHeight="1">
      <c r="C438" s="1"/>
      <c r="D438" s="1"/>
    </row>
    <row r="439" ht="15.75" customHeight="1">
      <c r="C439" s="1"/>
      <c r="D439" s="1"/>
    </row>
    <row r="440" ht="15.75" customHeight="1">
      <c r="C440" s="1"/>
      <c r="D440" s="1"/>
    </row>
    <row r="441" ht="15.75" customHeight="1">
      <c r="C441" s="1"/>
      <c r="D441" s="1"/>
    </row>
    <row r="442" ht="15.75" customHeight="1">
      <c r="C442" s="1"/>
      <c r="D442" s="1"/>
    </row>
    <row r="443" ht="15.75" customHeight="1">
      <c r="C443" s="1"/>
      <c r="D443" s="1"/>
    </row>
    <row r="444" ht="15.75" customHeight="1">
      <c r="C444" s="1"/>
      <c r="D444" s="1"/>
    </row>
    <row r="445" ht="15.75" customHeight="1">
      <c r="C445" s="1"/>
      <c r="D445" s="1"/>
    </row>
    <row r="446" ht="15.75" customHeight="1">
      <c r="C446" s="1"/>
      <c r="D446" s="1"/>
    </row>
    <row r="447" ht="15.75" customHeight="1">
      <c r="C447" s="1"/>
      <c r="D447" s="1"/>
    </row>
    <row r="448" ht="15.75" customHeight="1">
      <c r="C448" s="1"/>
      <c r="D448" s="1"/>
    </row>
    <row r="449" ht="15.75" customHeight="1">
      <c r="C449" s="1"/>
      <c r="D449" s="1"/>
    </row>
    <row r="450" ht="15.75" customHeight="1">
      <c r="C450" s="1"/>
      <c r="D450" s="1"/>
    </row>
    <row r="451" ht="15.75" customHeight="1">
      <c r="C451" s="1"/>
      <c r="D451" s="1"/>
    </row>
    <row r="452" ht="15.75" customHeight="1">
      <c r="C452" s="1"/>
      <c r="D452" s="1"/>
    </row>
    <row r="453" ht="15.75" customHeight="1">
      <c r="C453" s="1"/>
      <c r="D453" s="1"/>
    </row>
    <row r="454" ht="15.75" customHeight="1">
      <c r="C454" s="1"/>
      <c r="D454" s="1"/>
    </row>
    <row r="455" ht="15.75" customHeight="1">
      <c r="C455" s="1"/>
      <c r="D455" s="1"/>
    </row>
    <row r="456" ht="15.75" customHeight="1">
      <c r="C456" s="1"/>
      <c r="D456" s="1"/>
    </row>
    <row r="457" ht="15.75" customHeight="1">
      <c r="C457" s="1"/>
      <c r="D457" s="1"/>
    </row>
    <row r="458" ht="15.75" customHeight="1">
      <c r="C458" s="1"/>
      <c r="D458" s="1"/>
    </row>
    <row r="459" ht="15.75" customHeight="1">
      <c r="C459" s="1"/>
      <c r="D459" s="1"/>
    </row>
    <row r="460" ht="15.75" customHeight="1">
      <c r="C460" s="1"/>
      <c r="D460" s="1"/>
    </row>
    <row r="461" ht="15.75" customHeight="1">
      <c r="C461" s="1"/>
      <c r="D461" s="1"/>
    </row>
    <row r="462" ht="15.75" customHeight="1">
      <c r="C462" s="1"/>
      <c r="D462" s="1"/>
    </row>
    <row r="463" ht="15.75" customHeight="1">
      <c r="C463" s="1"/>
      <c r="D463" s="1"/>
    </row>
    <row r="464" ht="15.75" customHeight="1">
      <c r="C464" s="1"/>
      <c r="D464" s="1"/>
    </row>
    <row r="465" ht="15.75" customHeight="1">
      <c r="C465" s="1"/>
      <c r="D465" s="1"/>
    </row>
    <row r="466" ht="15.75" customHeight="1">
      <c r="C466" s="1"/>
      <c r="D466" s="1"/>
    </row>
    <row r="467" ht="15.75" customHeight="1">
      <c r="C467" s="1"/>
      <c r="D467" s="1"/>
    </row>
    <row r="468" ht="15.75" customHeight="1">
      <c r="C468" s="1"/>
      <c r="D468" s="1"/>
    </row>
    <row r="469" ht="15.75" customHeight="1">
      <c r="C469" s="1"/>
      <c r="D469" s="1"/>
    </row>
    <row r="470" ht="15.75" customHeight="1">
      <c r="C470" s="1"/>
      <c r="D470" s="1"/>
    </row>
    <row r="471" ht="15.75" customHeight="1">
      <c r="C471" s="1"/>
      <c r="D471" s="1"/>
    </row>
    <row r="472" ht="15.75" customHeight="1">
      <c r="C472" s="1"/>
      <c r="D472" s="1"/>
    </row>
    <row r="473" ht="15.75" customHeight="1">
      <c r="C473" s="1"/>
      <c r="D473" s="1"/>
    </row>
    <row r="474" ht="15.75" customHeight="1">
      <c r="C474" s="1"/>
      <c r="D474" s="1"/>
    </row>
    <row r="475" ht="15.75" customHeight="1">
      <c r="C475" s="1"/>
      <c r="D475" s="1"/>
    </row>
    <row r="476" ht="15.75" customHeight="1">
      <c r="C476" s="1"/>
      <c r="D476" s="1"/>
    </row>
    <row r="477" ht="15.75" customHeight="1">
      <c r="C477" s="1"/>
      <c r="D477" s="1"/>
    </row>
    <row r="478" ht="15.75" customHeight="1">
      <c r="C478" s="1"/>
      <c r="D478" s="1"/>
    </row>
    <row r="479" ht="15.75" customHeight="1">
      <c r="C479" s="1"/>
      <c r="D479" s="1"/>
    </row>
    <row r="480" ht="15.75" customHeight="1">
      <c r="C480" s="1"/>
      <c r="D480" s="1"/>
    </row>
    <row r="481" ht="15.75" customHeight="1">
      <c r="C481" s="1"/>
      <c r="D481" s="1"/>
    </row>
    <row r="482" ht="15.75" customHeight="1">
      <c r="C482" s="1"/>
      <c r="D482" s="1"/>
    </row>
    <row r="483" ht="15.75" customHeight="1">
      <c r="C483" s="1"/>
      <c r="D483" s="1"/>
    </row>
    <row r="484" ht="15.75" customHeight="1">
      <c r="C484" s="1"/>
      <c r="D484" s="1"/>
    </row>
    <row r="485" ht="15.75" customHeight="1">
      <c r="C485" s="1"/>
      <c r="D485" s="1"/>
    </row>
    <row r="486" ht="15.75" customHeight="1">
      <c r="C486" s="1"/>
      <c r="D486" s="1"/>
    </row>
    <row r="487" ht="15.75" customHeight="1">
      <c r="C487" s="1"/>
      <c r="D487" s="1"/>
    </row>
    <row r="488" ht="15.75" customHeight="1">
      <c r="C488" s="1"/>
      <c r="D488" s="1"/>
    </row>
    <row r="489" ht="15.75" customHeight="1">
      <c r="C489" s="1"/>
      <c r="D489" s="1"/>
    </row>
    <row r="490" ht="15.75" customHeight="1">
      <c r="C490" s="1"/>
      <c r="D490" s="1"/>
    </row>
    <row r="491" ht="15.75" customHeight="1">
      <c r="C491" s="1"/>
      <c r="D491" s="1"/>
    </row>
    <row r="492" ht="15.75" customHeight="1">
      <c r="C492" s="1"/>
      <c r="D492" s="1"/>
    </row>
    <row r="493" ht="15.75" customHeight="1">
      <c r="C493" s="1"/>
      <c r="D493" s="1"/>
    </row>
    <row r="494" ht="15.75" customHeight="1">
      <c r="C494" s="1"/>
      <c r="D494" s="1"/>
    </row>
    <row r="495" ht="15.75" customHeight="1">
      <c r="C495" s="1"/>
      <c r="D495" s="1"/>
    </row>
    <row r="496" ht="15.75" customHeight="1">
      <c r="C496" s="1"/>
      <c r="D496" s="1"/>
    </row>
    <row r="497" ht="15.75" customHeight="1">
      <c r="C497" s="1"/>
      <c r="D497" s="1"/>
    </row>
    <row r="498" ht="15.75" customHeight="1">
      <c r="C498" s="1"/>
      <c r="D498" s="1"/>
    </row>
    <row r="499" ht="15.75" customHeight="1">
      <c r="C499" s="1"/>
      <c r="D499" s="1"/>
    </row>
    <row r="500" ht="15.75" customHeight="1">
      <c r="C500" s="1"/>
      <c r="D500" s="1"/>
    </row>
    <row r="501" ht="15.75" customHeight="1">
      <c r="C501" s="1"/>
      <c r="D501" s="1"/>
    </row>
    <row r="502" ht="15.75" customHeight="1">
      <c r="C502" s="1"/>
      <c r="D502" s="1"/>
    </row>
    <row r="503" ht="15.75" customHeight="1">
      <c r="C503" s="1"/>
      <c r="D503" s="1"/>
    </row>
    <row r="504" ht="15.75" customHeight="1">
      <c r="C504" s="1"/>
      <c r="D504" s="1"/>
    </row>
    <row r="505" ht="15.75" customHeight="1">
      <c r="C505" s="1"/>
      <c r="D505" s="1"/>
    </row>
    <row r="506" ht="15.75" customHeight="1">
      <c r="C506" s="1"/>
      <c r="D506" s="1"/>
    </row>
    <row r="507" ht="15.75" customHeight="1">
      <c r="C507" s="1"/>
      <c r="D507" s="1"/>
    </row>
    <row r="508" ht="15.75" customHeight="1">
      <c r="C508" s="1"/>
      <c r="D508" s="1"/>
    </row>
    <row r="509" ht="15.75" customHeight="1">
      <c r="C509" s="1"/>
      <c r="D509" s="1"/>
    </row>
    <row r="510" ht="15.75" customHeight="1">
      <c r="C510" s="1"/>
      <c r="D510" s="1"/>
    </row>
    <row r="511" ht="15.75" customHeight="1">
      <c r="C511" s="1"/>
      <c r="D511" s="1"/>
    </row>
    <row r="512" ht="15.75" customHeight="1">
      <c r="C512" s="1"/>
      <c r="D512" s="1"/>
    </row>
    <row r="513" ht="15.75" customHeight="1">
      <c r="C513" s="1"/>
      <c r="D513" s="1"/>
    </row>
    <row r="514" ht="15.75" customHeight="1">
      <c r="C514" s="1"/>
      <c r="D514" s="1"/>
    </row>
    <row r="515" ht="15.75" customHeight="1">
      <c r="C515" s="1"/>
      <c r="D515" s="1"/>
    </row>
    <row r="516" ht="15.75" customHeight="1">
      <c r="C516" s="1"/>
      <c r="D516" s="1"/>
    </row>
    <row r="517" ht="15.75" customHeight="1">
      <c r="C517" s="1"/>
      <c r="D517" s="1"/>
    </row>
    <row r="518" ht="15.75" customHeight="1">
      <c r="C518" s="1"/>
      <c r="D518" s="1"/>
    </row>
    <row r="519" ht="15.75" customHeight="1">
      <c r="C519" s="1"/>
      <c r="D519" s="1"/>
    </row>
    <row r="520" ht="15.75" customHeight="1">
      <c r="C520" s="1"/>
      <c r="D520" s="1"/>
    </row>
    <row r="521" ht="15.75" customHeight="1">
      <c r="C521" s="1"/>
      <c r="D521" s="1"/>
    </row>
    <row r="522" ht="15.75" customHeight="1">
      <c r="C522" s="1"/>
      <c r="D522" s="1"/>
    </row>
    <row r="523" ht="15.75" customHeight="1">
      <c r="C523" s="1"/>
      <c r="D523" s="1"/>
    </row>
    <row r="524" ht="15.75" customHeight="1">
      <c r="C524" s="1"/>
      <c r="D524" s="1"/>
    </row>
    <row r="525" ht="15.75" customHeight="1">
      <c r="C525" s="1"/>
      <c r="D525" s="1"/>
    </row>
    <row r="526" ht="15.75" customHeight="1">
      <c r="C526" s="1"/>
      <c r="D526" s="1"/>
    </row>
    <row r="527" ht="15.75" customHeight="1">
      <c r="C527" s="1"/>
      <c r="D527" s="1"/>
    </row>
    <row r="528" ht="15.75" customHeight="1">
      <c r="C528" s="1"/>
      <c r="D528" s="1"/>
    </row>
    <row r="529" ht="15.75" customHeight="1">
      <c r="C529" s="1"/>
      <c r="D529" s="1"/>
    </row>
    <row r="530" ht="15.75" customHeight="1">
      <c r="C530" s="1"/>
      <c r="D530" s="1"/>
    </row>
    <row r="531" ht="15.75" customHeight="1">
      <c r="C531" s="1"/>
      <c r="D531" s="1"/>
    </row>
    <row r="532" ht="15.75" customHeight="1">
      <c r="C532" s="1"/>
      <c r="D532" s="1"/>
    </row>
    <row r="533" ht="15.75" customHeight="1">
      <c r="C533" s="1"/>
      <c r="D533" s="1"/>
    </row>
    <row r="534" ht="15.75" customHeight="1">
      <c r="C534" s="1"/>
      <c r="D534" s="1"/>
    </row>
    <row r="535" ht="15.75" customHeight="1">
      <c r="C535" s="1"/>
      <c r="D535" s="1"/>
    </row>
    <row r="536" ht="15.75" customHeight="1">
      <c r="C536" s="1"/>
      <c r="D536" s="1"/>
    </row>
    <row r="537" ht="15.75" customHeight="1">
      <c r="C537" s="1"/>
      <c r="D537" s="1"/>
    </row>
    <row r="538" ht="15.75" customHeight="1">
      <c r="C538" s="1"/>
      <c r="D538" s="1"/>
    </row>
    <row r="539" ht="15.75" customHeight="1">
      <c r="C539" s="1"/>
      <c r="D539" s="1"/>
    </row>
    <row r="540" ht="15.75" customHeight="1">
      <c r="C540" s="1"/>
      <c r="D540" s="1"/>
    </row>
    <row r="541" ht="15.75" customHeight="1">
      <c r="C541" s="1"/>
      <c r="D541" s="1"/>
    </row>
    <row r="542" ht="15.75" customHeight="1">
      <c r="C542" s="1"/>
      <c r="D542" s="1"/>
    </row>
    <row r="543" ht="15.75" customHeight="1">
      <c r="C543" s="1"/>
      <c r="D543" s="1"/>
    </row>
    <row r="544" ht="15.75" customHeight="1">
      <c r="C544" s="1"/>
      <c r="D544" s="1"/>
    </row>
    <row r="545" ht="15.75" customHeight="1">
      <c r="C545" s="1"/>
      <c r="D545" s="1"/>
    </row>
    <row r="546" ht="15.75" customHeight="1">
      <c r="C546" s="1"/>
      <c r="D546" s="1"/>
    </row>
    <row r="547" ht="15.75" customHeight="1">
      <c r="C547" s="1"/>
      <c r="D547" s="1"/>
    </row>
    <row r="548" ht="15.75" customHeight="1">
      <c r="C548" s="1"/>
      <c r="D548" s="1"/>
    </row>
    <row r="549" ht="15.75" customHeight="1">
      <c r="C549" s="1"/>
      <c r="D549" s="1"/>
    </row>
    <row r="550" ht="15.75" customHeight="1">
      <c r="C550" s="1"/>
      <c r="D550" s="1"/>
    </row>
    <row r="551" ht="15.75" customHeight="1">
      <c r="C551" s="1"/>
      <c r="D551" s="1"/>
    </row>
    <row r="552" ht="15.75" customHeight="1">
      <c r="C552" s="1"/>
      <c r="D552" s="1"/>
    </row>
    <row r="553" ht="15.75" customHeight="1">
      <c r="C553" s="1"/>
      <c r="D553" s="1"/>
    </row>
    <row r="554" ht="15.75" customHeight="1">
      <c r="C554" s="1"/>
      <c r="D554" s="1"/>
    </row>
    <row r="555" ht="15.75" customHeight="1">
      <c r="C555" s="1"/>
      <c r="D555" s="1"/>
    </row>
    <row r="556" ht="15.75" customHeight="1">
      <c r="C556" s="1"/>
      <c r="D556" s="1"/>
    </row>
    <row r="557" ht="15.75" customHeight="1">
      <c r="C557" s="1"/>
      <c r="D557" s="1"/>
    </row>
    <row r="558" ht="15.75" customHeight="1">
      <c r="C558" s="1"/>
      <c r="D558" s="1"/>
    </row>
    <row r="559" ht="15.75" customHeight="1">
      <c r="C559" s="1"/>
      <c r="D559" s="1"/>
    </row>
    <row r="560" ht="15.75" customHeight="1">
      <c r="C560" s="1"/>
      <c r="D560" s="1"/>
    </row>
    <row r="561" ht="15.75" customHeight="1">
      <c r="C561" s="1"/>
      <c r="D561" s="1"/>
    </row>
    <row r="562" ht="15.75" customHeight="1">
      <c r="C562" s="1"/>
      <c r="D562" s="1"/>
    </row>
    <row r="563" ht="15.75" customHeight="1">
      <c r="C563" s="1"/>
      <c r="D563" s="1"/>
    </row>
    <row r="564" ht="15.75" customHeight="1">
      <c r="C564" s="1"/>
      <c r="D564" s="1"/>
    </row>
    <row r="565" ht="15.75" customHeight="1">
      <c r="C565" s="1"/>
      <c r="D565" s="1"/>
    </row>
    <row r="566" ht="15.75" customHeight="1">
      <c r="C566" s="1"/>
      <c r="D566" s="1"/>
    </row>
    <row r="567" ht="15.75" customHeight="1">
      <c r="C567" s="1"/>
      <c r="D567" s="1"/>
    </row>
    <row r="568" ht="15.75" customHeight="1">
      <c r="C568" s="1"/>
      <c r="D568" s="1"/>
    </row>
    <row r="569" ht="15.75" customHeight="1">
      <c r="C569" s="1"/>
      <c r="D569" s="1"/>
    </row>
    <row r="570" ht="15.75" customHeight="1">
      <c r="C570" s="1"/>
      <c r="D570" s="1"/>
    </row>
    <row r="571" ht="15.75" customHeight="1">
      <c r="C571" s="1"/>
      <c r="D571" s="1"/>
    </row>
    <row r="572" ht="15.75" customHeight="1">
      <c r="C572" s="1"/>
      <c r="D572" s="1"/>
    </row>
    <row r="573" ht="15.75" customHeight="1">
      <c r="C573" s="1"/>
      <c r="D573" s="1"/>
    </row>
    <row r="574" ht="15.75" customHeight="1">
      <c r="C574" s="1"/>
      <c r="D574" s="1"/>
    </row>
    <row r="575" ht="15.75" customHeight="1">
      <c r="C575" s="1"/>
      <c r="D575" s="1"/>
    </row>
    <row r="576" ht="15.75" customHeight="1">
      <c r="C576" s="1"/>
      <c r="D576" s="1"/>
    </row>
    <row r="577" ht="15.75" customHeight="1">
      <c r="C577" s="1"/>
      <c r="D577" s="1"/>
    </row>
    <row r="578" ht="15.75" customHeight="1">
      <c r="C578" s="1"/>
      <c r="D578" s="1"/>
    </row>
    <row r="579" ht="15.75" customHeight="1">
      <c r="C579" s="1"/>
      <c r="D579" s="1"/>
    </row>
    <row r="580" ht="15.75" customHeight="1">
      <c r="C580" s="1"/>
      <c r="D580" s="1"/>
    </row>
    <row r="581" ht="15.75" customHeight="1">
      <c r="C581" s="1"/>
      <c r="D581" s="1"/>
    </row>
    <row r="582" ht="15.75" customHeight="1">
      <c r="C582" s="1"/>
      <c r="D582" s="1"/>
    </row>
    <row r="583" ht="15.75" customHeight="1">
      <c r="C583" s="1"/>
      <c r="D583" s="1"/>
    </row>
    <row r="584" ht="15.75" customHeight="1">
      <c r="C584" s="1"/>
      <c r="D584" s="1"/>
    </row>
    <row r="585" ht="15.75" customHeight="1">
      <c r="C585" s="1"/>
      <c r="D585" s="1"/>
    </row>
    <row r="586" ht="15.75" customHeight="1">
      <c r="C586" s="1"/>
      <c r="D586" s="1"/>
    </row>
    <row r="587" ht="15.75" customHeight="1">
      <c r="C587" s="1"/>
      <c r="D587" s="1"/>
    </row>
    <row r="588" ht="15.75" customHeight="1">
      <c r="C588" s="1"/>
      <c r="D588" s="1"/>
    </row>
    <row r="589" ht="15.75" customHeight="1">
      <c r="C589" s="1"/>
      <c r="D589" s="1"/>
    </row>
    <row r="590" ht="15.75" customHeight="1">
      <c r="C590" s="1"/>
      <c r="D590" s="1"/>
    </row>
    <row r="591" ht="15.75" customHeight="1">
      <c r="C591" s="1"/>
      <c r="D591" s="1"/>
    </row>
    <row r="592" ht="15.75" customHeight="1">
      <c r="C592" s="1"/>
      <c r="D592" s="1"/>
    </row>
    <row r="593" ht="15.75" customHeight="1">
      <c r="C593" s="1"/>
      <c r="D593" s="1"/>
    </row>
    <row r="594" ht="15.75" customHeight="1">
      <c r="C594" s="1"/>
      <c r="D594" s="1"/>
    </row>
    <row r="595" ht="15.75" customHeight="1">
      <c r="C595" s="1"/>
      <c r="D595" s="1"/>
    </row>
    <row r="596" ht="15.75" customHeight="1">
      <c r="C596" s="1"/>
      <c r="D596" s="1"/>
    </row>
    <row r="597" ht="15.75" customHeight="1">
      <c r="C597" s="1"/>
      <c r="D597" s="1"/>
    </row>
    <row r="598" ht="15.75" customHeight="1">
      <c r="C598" s="1"/>
      <c r="D598" s="1"/>
    </row>
    <row r="599" ht="15.75" customHeight="1">
      <c r="C599" s="1"/>
      <c r="D599" s="1"/>
    </row>
    <row r="600" ht="15.75" customHeight="1">
      <c r="C600" s="1"/>
      <c r="D600" s="1"/>
    </row>
    <row r="601" ht="15.75" customHeight="1">
      <c r="C601" s="1"/>
      <c r="D601" s="1"/>
    </row>
    <row r="602" ht="15.75" customHeight="1">
      <c r="C602" s="1"/>
      <c r="D602" s="1"/>
    </row>
    <row r="603" ht="15.75" customHeight="1">
      <c r="C603" s="1"/>
      <c r="D603" s="1"/>
    </row>
    <row r="604" ht="15.75" customHeight="1">
      <c r="C604" s="1"/>
      <c r="D604" s="1"/>
    </row>
    <row r="605" ht="15.75" customHeight="1">
      <c r="C605" s="1"/>
      <c r="D605" s="1"/>
    </row>
    <row r="606" ht="15.75" customHeight="1">
      <c r="C606" s="1"/>
      <c r="D606" s="1"/>
    </row>
    <row r="607" ht="15.75" customHeight="1">
      <c r="C607" s="1"/>
      <c r="D607" s="1"/>
    </row>
    <row r="608" ht="15.75" customHeight="1">
      <c r="C608" s="1"/>
      <c r="D608" s="1"/>
    </row>
    <row r="609" ht="15.75" customHeight="1">
      <c r="C609" s="1"/>
      <c r="D609" s="1"/>
    </row>
    <row r="610" ht="15.75" customHeight="1">
      <c r="C610" s="1"/>
      <c r="D610" s="1"/>
    </row>
    <row r="611" ht="15.75" customHeight="1">
      <c r="C611" s="1"/>
      <c r="D611" s="1"/>
    </row>
    <row r="612" ht="15.75" customHeight="1">
      <c r="C612" s="1"/>
      <c r="D612" s="1"/>
    </row>
    <row r="613" ht="15.75" customHeight="1">
      <c r="C613" s="1"/>
      <c r="D613" s="1"/>
    </row>
    <row r="614" ht="15.75" customHeight="1">
      <c r="C614" s="1"/>
      <c r="D614" s="1"/>
    </row>
    <row r="615" ht="15.75" customHeight="1">
      <c r="C615" s="1"/>
      <c r="D615" s="1"/>
    </row>
    <row r="616" ht="15.75" customHeight="1">
      <c r="C616" s="1"/>
      <c r="D616" s="1"/>
    </row>
    <row r="617" ht="15.75" customHeight="1">
      <c r="C617" s="1"/>
      <c r="D617" s="1"/>
    </row>
    <row r="618" ht="15.75" customHeight="1">
      <c r="C618" s="1"/>
      <c r="D618" s="1"/>
    </row>
    <row r="619" ht="15.75" customHeight="1">
      <c r="C619" s="1"/>
      <c r="D619" s="1"/>
    </row>
    <row r="620" ht="15.75" customHeight="1">
      <c r="C620" s="1"/>
      <c r="D620" s="1"/>
    </row>
    <row r="621" ht="15.75" customHeight="1">
      <c r="C621" s="1"/>
      <c r="D621" s="1"/>
    </row>
    <row r="622" ht="15.75" customHeight="1">
      <c r="C622" s="1"/>
      <c r="D622" s="1"/>
    </row>
    <row r="623" ht="15.75" customHeight="1">
      <c r="C623" s="1"/>
      <c r="D623" s="1"/>
    </row>
    <row r="624" ht="15.75" customHeight="1">
      <c r="C624" s="1"/>
      <c r="D624" s="1"/>
    </row>
    <row r="625" ht="15.75" customHeight="1">
      <c r="C625" s="1"/>
      <c r="D625" s="1"/>
    </row>
    <row r="626" ht="15.75" customHeight="1">
      <c r="C626" s="1"/>
      <c r="D626" s="1"/>
    </row>
    <row r="627" ht="15.75" customHeight="1">
      <c r="C627" s="1"/>
      <c r="D627" s="1"/>
    </row>
    <row r="628" ht="15.75" customHeight="1">
      <c r="C628" s="1"/>
      <c r="D628" s="1"/>
    </row>
    <row r="629" ht="15.75" customHeight="1">
      <c r="C629" s="1"/>
      <c r="D629" s="1"/>
    </row>
    <row r="630" ht="15.75" customHeight="1">
      <c r="C630" s="1"/>
      <c r="D630" s="1"/>
    </row>
    <row r="631" ht="15.75" customHeight="1">
      <c r="C631" s="1"/>
      <c r="D631" s="1"/>
    </row>
    <row r="632" ht="15.75" customHeight="1">
      <c r="C632" s="1"/>
      <c r="D632" s="1"/>
    </row>
    <row r="633" ht="15.75" customHeight="1">
      <c r="C633" s="1"/>
      <c r="D633" s="1"/>
    </row>
    <row r="634" ht="15.75" customHeight="1">
      <c r="C634" s="1"/>
      <c r="D634" s="1"/>
    </row>
    <row r="635" ht="15.75" customHeight="1">
      <c r="C635" s="1"/>
      <c r="D635" s="1"/>
    </row>
    <row r="636" ht="15.75" customHeight="1">
      <c r="C636" s="1"/>
      <c r="D636" s="1"/>
    </row>
    <row r="637" ht="15.75" customHeight="1">
      <c r="C637" s="1"/>
      <c r="D637" s="1"/>
    </row>
    <row r="638" ht="15.75" customHeight="1">
      <c r="C638" s="1"/>
      <c r="D638" s="1"/>
    </row>
    <row r="639" ht="15.75" customHeight="1">
      <c r="C639" s="1"/>
      <c r="D639" s="1"/>
    </row>
    <row r="640" ht="15.75" customHeight="1">
      <c r="C640" s="1"/>
      <c r="D640" s="1"/>
    </row>
    <row r="641" ht="15.75" customHeight="1">
      <c r="C641" s="1"/>
      <c r="D641" s="1"/>
    </row>
    <row r="642" ht="15.75" customHeight="1">
      <c r="C642" s="1"/>
      <c r="D642" s="1"/>
    </row>
    <row r="643" ht="15.75" customHeight="1">
      <c r="C643" s="1"/>
      <c r="D643" s="1"/>
    </row>
    <row r="644" ht="15.75" customHeight="1">
      <c r="C644" s="1"/>
      <c r="D644" s="1"/>
    </row>
    <row r="645" ht="15.75" customHeight="1">
      <c r="C645" s="1"/>
      <c r="D645" s="1"/>
    </row>
    <row r="646" ht="15.75" customHeight="1">
      <c r="C646" s="1"/>
      <c r="D646" s="1"/>
    </row>
    <row r="647" ht="15.75" customHeight="1">
      <c r="C647" s="1"/>
      <c r="D647" s="1"/>
    </row>
    <row r="648" ht="15.75" customHeight="1">
      <c r="C648" s="1"/>
      <c r="D648" s="1"/>
    </row>
    <row r="649" ht="15.75" customHeight="1">
      <c r="C649" s="1"/>
      <c r="D649" s="1"/>
    </row>
    <row r="650" ht="15.75" customHeight="1">
      <c r="C650" s="1"/>
      <c r="D650" s="1"/>
    </row>
    <row r="651" ht="15.75" customHeight="1">
      <c r="C651" s="1"/>
      <c r="D651" s="1"/>
    </row>
    <row r="652" ht="15.75" customHeight="1">
      <c r="C652" s="1"/>
      <c r="D652" s="1"/>
    </row>
    <row r="653" ht="15.75" customHeight="1">
      <c r="C653" s="1"/>
      <c r="D653" s="1"/>
    </row>
    <row r="654" ht="15.75" customHeight="1">
      <c r="C654" s="1"/>
      <c r="D654" s="1"/>
    </row>
    <row r="655" ht="15.75" customHeight="1">
      <c r="C655" s="1"/>
      <c r="D655" s="1"/>
    </row>
    <row r="656" ht="15.75" customHeight="1">
      <c r="C656" s="1"/>
      <c r="D656" s="1"/>
    </row>
    <row r="657" ht="15.75" customHeight="1">
      <c r="C657" s="1"/>
      <c r="D657" s="1"/>
    </row>
    <row r="658" ht="15.75" customHeight="1">
      <c r="C658" s="1"/>
      <c r="D658" s="1"/>
    </row>
    <row r="659" ht="15.75" customHeight="1">
      <c r="C659" s="1"/>
      <c r="D659" s="1"/>
    </row>
    <row r="660" ht="15.75" customHeight="1">
      <c r="C660" s="1"/>
      <c r="D660" s="1"/>
    </row>
    <row r="661" ht="15.75" customHeight="1">
      <c r="C661" s="1"/>
      <c r="D661" s="1"/>
    </row>
    <row r="662" ht="15.75" customHeight="1">
      <c r="C662" s="1"/>
      <c r="D662" s="1"/>
    </row>
    <row r="663" ht="15.75" customHeight="1">
      <c r="C663" s="1"/>
      <c r="D663" s="1"/>
    </row>
    <row r="664" ht="15.75" customHeight="1">
      <c r="C664" s="1"/>
      <c r="D664" s="1"/>
    </row>
    <row r="665" ht="15.75" customHeight="1">
      <c r="C665" s="1"/>
      <c r="D665" s="1"/>
    </row>
    <row r="666" ht="15.75" customHeight="1">
      <c r="C666" s="1"/>
      <c r="D666" s="1"/>
    </row>
    <row r="667" ht="15.75" customHeight="1">
      <c r="C667" s="1"/>
      <c r="D667" s="1"/>
    </row>
    <row r="668" ht="15.75" customHeight="1">
      <c r="C668" s="1"/>
      <c r="D668" s="1"/>
    </row>
    <row r="669" ht="15.75" customHeight="1">
      <c r="C669" s="1"/>
      <c r="D669" s="1"/>
    </row>
    <row r="670" ht="15.75" customHeight="1">
      <c r="C670" s="1"/>
      <c r="D670" s="1"/>
    </row>
    <row r="671" ht="15.75" customHeight="1">
      <c r="C671" s="1"/>
      <c r="D671" s="1"/>
    </row>
    <row r="672" ht="15.75" customHeight="1">
      <c r="C672" s="1"/>
      <c r="D672" s="1"/>
    </row>
    <row r="673" ht="15.75" customHeight="1">
      <c r="C673" s="1"/>
      <c r="D673" s="1"/>
    </row>
    <row r="674" ht="15.75" customHeight="1">
      <c r="C674" s="1"/>
      <c r="D674" s="1"/>
    </row>
    <row r="675" ht="15.75" customHeight="1">
      <c r="C675" s="1"/>
      <c r="D675" s="1"/>
    </row>
    <row r="676" ht="15.75" customHeight="1">
      <c r="C676" s="1"/>
      <c r="D676" s="1"/>
    </row>
    <row r="677" ht="15.75" customHeight="1">
      <c r="C677" s="1"/>
      <c r="D677" s="1"/>
    </row>
    <row r="678" ht="15.75" customHeight="1">
      <c r="C678" s="1"/>
      <c r="D678" s="1"/>
    </row>
    <row r="679" ht="15.75" customHeight="1">
      <c r="C679" s="1"/>
      <c r="D679" s="1"/>
    </row>
    <row r="680" ht="15.75" customHeight="1">
      <c r="C680" s="1"/>
      <c r="D680" s="1"/>
    </row>
    <row r="681" ht="15.75" customHeight="1">
      <c r="C681" s="1"/>
      <c r="D681" s="1"/>
    </row>
    <row r="682" ht="15.75" customHeight="1">
      <c r="C682" s="1"/>
      <c r="D682" s="1"/>
    </row>
    <row r="683" ht="15.75" customHeight="1">
      <c r="C683" s="1"/>
      <c r="D683" s="1"/>
    </row>
    <row r="684" ht="15.75" customHeight="1">
      <c r="C684" s="1"/>
      <c r="D684" s="1"/>
    </row>
    <row r="685" ht="15.75" customHeight="1">
      <c r="C685" s="1"/>
      <c r="D685" s="1"/>
    </row>
    <row r="686" ht="15.75" customHeight="1">
      <c r="C686" s="1"/>
      <c r="D686" s="1"/>
    </row>
    <row r="687" ht="15.75" customHeight="1">
      <c r="C687" s="1"/>
      <c r="D687" s="1"/>
    </row>
    <row r="688" ht="15.75" customHeight="1">
      <c r="C688" s="1"/>
      <c r="D688" s="1"/>
    </row>
    <row r="689" ht="15.75" customHeight="1">
      <c r="C689" s="1"/>
      <c r="D689" s="1"/>
    </row>
    <row r="690" ht="15.75" customHeight="1">
      <c r="C690" s="1"/>
      <c r="D690" s="1"/>
    </row>
    <row r="691" ht="15.75" customHeight="1">
      <c r="C691" s="1"/>
      <c r="D691" s="1"/>
    </row>
    <row r="692" ht="15.75" customHeight="1">
      <c r="C692" s="1"/>
      <c r="D692" s="1"/>
    </row>
    <row r="693" ht="15.75" customHeight="1">
      <c r="C693" s="1"/>
      <c r="D693" s="1"/>
    </row>
    <row r="694" ht="15.75" customHeight="1">
      <c r="C694" s="1"/>
      <c r="D694" s="1"/>
    </row>
    <row r="695" ht="15.75" customHeight="1">
      <c r="C695" s="1"/>
      <c r="D695" s="1"/>
    </row>
    <row r="696" ht="15.75" customHeight="1">
      <c r="C696" s="1"/>
      <c r="D696" s="1"/>
    </row>
    <row r="697" ht="15.75" customHeight="1">
      <c r="C697" s="1"/>
      <c r="D697" s="1"/>
    </row>
    <row r="698" ht="15.75" customHeight="1">
      <c r="C698" s="1"/>
      <c r="D698" s="1"/>
    </row>
    <row r="699" ht="15.75" customHeight="1">
      <c r="C699" s="1"/>
      <c r="D699" s="1"/>
    </row>
    <row r="700" ht="15.75" customHeight="1">
      <c r="C700" s="1"/>
      <c r="D700" s="1"/>
    </row>
    <row r="701" ht="15.75" customHeight="1">
      <c r="C701" s="1"/>
      <c r="D701" s="1"/>
    </row>
    <row r="702" ht="15.75" customHeight="1">
      <c r="C702" s="1"/>
      <c r="D702" s="1"/>
    </row>
    <row r="703" ht="15.75" customHeight="1">
      <c r="C703" s="1"/>
      <c r="D703" s="1"/>
    </row>
    <row r="704" ht="15.75" customHeight="1">
      <c r="C704" s="1"/>
      <c r="D704" s="1"/>
    </row>
    <row r="705" ht="15.75" customHeight="1">
      <c r="C705" s="1"/>
      <c r="D705" s="1"/>
    </row>
    <row r="706" ht="15.75" customHeight="1">
      <c r="C706" s="1"/>
      <c r="D706" s="1"/>
    </row>
    <row r="707" ht="15.75" customHeight="1">
      <c r="C707" s="1"/>
      <c r="D707" s="1"/>
    </row>
    <row r="708" ht="15.75" customHeight="1">
      <c r="C708" s="1"/>
      <c r="D708" s="1"/>
    </row>
    <row r="709" ht="15.75" customHeight="1">
      <c r="C709" s="1"/>
      <c r="D709" s="1"/>
    </row>
    <row r="710" ht="15.75" customHeight="1">
      <c r="C710" s="1"/>
      <c r="D710" s="1"/>
    </row>
    <row r="711" ht="15.75" customHeight="1">
      <c r="C711" s="1"/>
      <c r="D711" s="1"/>
    </row>
    <row r="712" ht="15.75" customHeight="1">
      <c r="C712" s="1"/>
      <c r="D712" s="1"/>
    </row>
    <row r="713" ht="15.75" customHeight="1">
      <c r="C713" s="1"/>
      <c r="D713" s="1"/>
    </row>
    <row r="714" ht="15.75" customHeight="1">
      <c r="C714" s="1"/>
      <c r="D714" s="1"/>
    </row>
    <row r="715" ht="15.75" customHeight="1">
      <c r="C715" s="1"/>
      <c r="D715" s="1"/>
    </row>
    <row r="716" ht="15.75" customHeight="1">
      <c r="C716" s="1"/>
      <c r="D716" s="1"/>
    </row>
    <row r="717" ht="15.75" customHeight="1">
      <c r="C717" s="1"/>
      <c r="D717" s="1"/>
    </row>
    <row r="718" ht="15.75" customHeight="1">
      <c r="C718" s="1"/>
      <c r="D718" s="1"/>
    </row>
    <row r="719" ht="15.75" customHeight="1">
      <c r="C719" s="1"/>
      <c r="D719" s="1"/>
    </row>
    <row r="720" ht="15.75" customHeight="1">
      <c r="C720" s="1"/>
      <c r="D720" s="1"/>
    </row>
    <row r="721" ht="15.75" customHeight="1">
      <c r="C721" s="1"/>
      <c r="D721" s="1"/>
    </row>
    <row r="722" ht="15.75" customHeight="1">
      <c r="C722" s="1"/>
      <c r="D722" s="1"/>
    </row>
    <row r="723" ht="15.75" customHeight="1">
      <c r="C723" s="1"/>
      <c r="D723" s="1"/>
    </row>
    <row r="724" ht="15.75" customHeight="1">
      <c r="C724" s="1"/>
      <c r="D724" s="1"/>
    </row>
    <row r="725" ht="15.75" customHeight="1">
      <c r="C725" s="1"/>
      <c r="D725" s="1"/>
    </row>
    <row r="726" ht="15.75" customHeight="1">
      <c r="C726" s="1"/>
      <c r="D726" s="1"/>
    </row>
    <row r="727" ht="15.75" customHeight="1">
      <c r="C727" s="1"/>
      <c r="D727" s="1"/>
    </row>
    <row r="728" ht="15.75" customHeight="1">
      <c r="C728" s="1"/>
      <c r="D728" s="1"/>
    </row>
    <row r="729" ht="15.75" customHeight="1">
      <c r="C729" s="1"/>
      <c r="D729" s="1"/>
    </row>
    <row r="730" ht="15.75" customHeight="1">
      <c r="C730" s="1"/>
      <c r="D730" s="1"/>
    </row>
    <row r="731" ht="15.75" customHeight="1">
      <c r="C731" s="1"/>
      <c r="D731" s="1"/>
    </row>
    <row r="732" ht="15.75" customHeight="1">
      <c r="C732" s="1"/>
      <c r="D732" s="1"/>
    </row>
    <row r="733" ht="15.75" customHeight="1">
      <c r="C733" s="1"/>
      <c r="D733" s="1"/>
    </row>
    <row r="734" ht="15.75" customHeight="1">
      <c r="C734" s="1"/>
      <c r="D734" s="1"/>
    </row>
    <row r="735" ht="15.75" customHeight="1">
      <c r="C735" s="1"/>
      <c r="D735" s="1"/>
    </row>
    <row r="736" ht="15.75" customHeight="1">
      <c r="C736" s="1"/>
      <c r="D736" s="1"/>
    </row>
    <row r="737" ht="15.75" customHeight="1">
      <c r="C737" s="1"/>
      <c r="D737" s="1"/>
    </row>
    <row r="738" ht="15.75" customHeight="1">
      <c r="C738" s="1"/>
      <c r="D738" s="1"/>
    </row>
    <row r="739" ht="15.75" customHeight="1">
      <c r="C739" s="1"/>
      <c r="D739" s="1"/>
    </row>
    <row r="740" ht="15.75" customHeight="1">
      <c r="C740" s="1"/>
      <c r="D740" s="1"/>
    </row>
    <row r="741" ht="15.75" customHeight="1">
      <c r="C741" s="1"/>
      <c r="D741" s="1"/>
    </row>
    <row r="742" ht="15.75" customHeight="1">
      <c r="C742" s="1"/>
      <c r="D742" s="1"/>
    </row>
    <row r="743" ht="15.75" customHeight="1">
      <c r="C743" s="1"/>
      <c r="D743" s="1"/>
    </row>
    <row r="744" ht="15.75" customHeight="1">
      <c r="C744" s="1"/>
      <c r="D744" s="1"/>
    </row>
    <row r="745" ht="15.75" customHeight="1">
      <c r="C745" s="1"/>
      <c r="D745" s="1"/>
    </row>
    <row r="746" ht="15.75" customHeight="1">
      <c r="C746" s="1"/>
      <c r="D746" s="1"/>
    </row>
    <row r="747" ht="15.75" customHeight="1">
      <c r="C747" s="1"/>
      <c r="D747" s="1"/>
    </row>
    <row r="748" ht="15.75" customHeight="1">
      <c r="C748" s="1"/>
      <c r="D748" s="1"/>
    </row>
    <row r="749" ht="15.75" customHeight="1">
      <c r="C749" s="1"/>
      <c r="D749" s="1"/>
    </row>
    <row r="750" ht="15.75" customHeight="1">
      <c r="C750" s="1"/>
      <c r="D750" s="1"/>
    </row>
    <row r="751" ht="15.75" customHeight="1">
      <c r="C751" s="1"/>
      <c r="D751" s="1"/>
    </row>
    <row r="752" ht="15.75" customHeight="1">
      <c r="C752" s="1"/>
      <c r="D752" s="1"/>
    </row>
    <row r="753" ht="15.75" customHeight="1">
      <c r="C753" s="1"/>
      <c r="D753" s="1"/>
    </row>
    <row r="754" ht="15.75" customHeight="1">
      <c r="C754" s="1"/>
      <c r="D754" s="1"/>
    </row>
    <row r="755" ht="15.75" customHeight="1">
      <c r="C755" s="1"/>
      <c r="D755" s="1"/>
    </row>
    <row r="756" ht="15.75" customHeight="1">
      <c r="C756" s="1"/>
      <c r="D756" s="1"/>
    </row>
    <row r="757" ht="15.75" customHeight="1">
      <c r="C757" s="1"/>
      <c r="D757" s="1"/>
    </row>
    <row r="758" ht="15.75" customHeight="1">
      <c r="C758" s="1"/>
      <c r="D758" s="1"/>
    </row>
    <row r="759" ht="15.75" customHeight="1">
      <c r="C759" s="1"/>
      <c r="D759" s="1"/>
    </row>
    <row r="760" ht="15.75" customHeight="1">
      <c r="C760" s="1"/>
      <c r="D760" s="1"/>
    </row>
    <row r="761" ht="15.75" customHeight="1">
      <c r="C761" s="1"/>
      <c r="D761" s="1"/>
    </row>
    <row r="762" ht="15.75" customHeight="1">
      <c r="C762" s="1"/>
      <c r="D762" s="1"/>
    </row>
    <row r="763" ht="15.75" customHeight="1">
      <c r="C763" s="1"/>
      <c r="D763" s="1"/>
    </row>
    <row r="764" ht="15.75" customHeight="1">
      <c r="C764" s="1"/>
      <c r="D764" s="1"/>
    </row>
    <row r="765" ht="15.75" customHeight="1">
      <c r="C765" s="1"/>
      <c r="D765" s="1"/>
    </row>
    <row r="766" ht="15.75" customHeight="1">
      <c r="C766" s="1"/>
      <c r="D766" s="1"/>
    </row>
    <row r="767" ht="15.75" customHeight="1">
      <c r="C767" s="1"/>
      <c r="D767" s="1"/>
    </row>
    <row r="768" ht="15.75" customHeight="1">
      <c r="C768" s="1"/>
      <c r="D768" s="1"/>
    </row>
    <row r="769" ht="15.75" customHeight="1">
      <c r="C769" s="1"/>
      <c r="D769" s="1"/>
    </row>
    <row r="770" ht="15.75" customHeight="1">
      <c r="C770" s="1"/>
      <c r="D770" s="1"/>
    </row>
    <row r="771" ht="15.75" customHeight="1">
      <c r="C771" s="1"/>
      <c r="D771" s="1"/>
    </row>
    <row r="772" ht="15.75" customHeight="1">
      <c r="C772" s="1"/>
      <c r="D772" s="1"/>
    </row>
    <row r="773" ht="15.75" customHeight="1">
      <c r="C773" s="1"/>
      <c r="D773" s="1"/>
    </row>
    <row r="774" ht="15.75" customHeight="1">
      <c r="C774" s="1"/>
      <c r="D774" s="1"/>
    </row>
    <row r="775" ht="15.75" customHeight="1">
      <c r="C775" s="1"/>
      <c r="D775" s="1"/>
    </row>
    <row r="776" ht="15.75" customHeight="1">
      <c r="C776" s="1"/>
      <c r="D776" s="1"/>
    </row>
    <row r="777" ht="15.75" customHeight="1">
      <c r="C777" s="1"/>
      <c r="D777" s="1"/>
    </row>
    <row r="778" ht="15.75" customHeight="1">
      <c r="C778" s="1"/>
      <c r="D778" s="1"/>
    </row>
    <row r="779" ht="15.75" customHeight="1">
      <c r="C779" s="1"/>
      <c r="D779" s="1"/>
    </row>
    <row r="780" ht="15.75" customHeight="1">
      <c r="C780" s="1"/>
      <c r="D780" s="1"/>
    </row>
    <row r="781" ht="15.75" customHeight="1">
      <c r="C781" s="1"/>
      <c r="D781" s="1"/>
    </row>
    <row r="782" ht="15.75" customHeight="1">
      <c r="C782" s="1"/>
      <c r="D782" s="1"/>
    </row>
    <row r="783" ht="15.75" customHeight="1">
      <c r="C783" s="1"/>
      <c r="D783" s="1"/>
    </row>
    <row r="784" ht="15.75" customHeight="1">
      <c r="C784" s="1"/>
      <c r="D784" s="1"/>
    </row>
    <row r="785" ht="15.75" customHeight="1">
      <c r="C785" s="1"/>
      <c r="D785" s="1"/>
    </row>
    <row r="786" ht="15.75" customHeight="1">
      <c r="C786" s="1"/>
      <c r="D786" s="1"/>
    </row>
    <row r="787" ht="15.75" customHeight="1">
      <c r="C787" s="1"/>
      <c r="D787" s="1"/>
    </row>
    <row r="788" ht="15.75" customHeight="1">
      <c r="C788" s="1"/>
      <c r="D788" s="1"/>
    </row>
    <row r="789" ht="15.75" customHeight="1">
      <c r="C789" s="1"/>
      <c r="D789" s="1"/>
    </row>
    <row r="790" ht="15.75" customHeight="1">
      <c r="C790" s="1"/>
      <c r="D790" s="1"/>
    </row>
    <row r="791" ht="15.75" customHeight="1">
      <c r="C791" s="1"/>
      <c r="D791" s="1"/>
    </row>
    <row r="792" ht="15.75" customHeight="1">
      <c r="C792" s="1"/>
      <c r="D792" s="1"/>
    </row>
    <row r="793" ht="15.75" customHeight="1">
      <c r="C793" s="1"/>
      <c r="D793" s="1"/>
    </row>
    <row r="794" ht="15.75" customHeight="1">
      <c r="C794" s="1"/>
      <c r="D794" s="1"/>
    </row>
    <row r="795" ht="15.75" customHeight="1">
      <c r="C795" s="1"/>
      <c r="D795" s="1"/>
    </row>
    <row r="796" ht="15.75" customHeight="1">
      <c r="C796" s="1"/>
      <c r="D796" s="1"/>
    </row>
    <row r="797" ht="15.75" customHeight="1">
      <c r="C797" s="1"/>
      <c r="D797" s="1"/>
    </row>
    <row r="798" ht="15.75" customHeight="1">
      <c r="C798" s="1"/>
      <c r="D798" s="1"/>
    </row>
    <row r="799" ht="15.75" customHeight="1">
      <c r="C799" s="1"/>
      <c r="D799" s="1"/>
    </row>
    <row r="800" ht="15.75" customHeight="1">
      <c r="C800" s="1"/>
      <c r="D800" s="1"/>
    </row>
    <row r="801" ht="15.75" customHeight="1">
      <c r="C801" s="1"/>
      <c r="D801" s="1"/>
    </row>
    <row r="802" ht="15.75" customHeight="1">
      <c r="C802" s="1"/>
      <c r="D802" s="1"/>
    </row>
    <row r="803" ht="15.75" customHeight="1">
      <c r="C803" s="1"/>
      <c r="D803" s="1"/>
    </row>
    <row r="804" ht="15.75" customHeight="1">
      <c r="C804" s="1"/>
      <c r="D804" s="1"/>
    </row>
    <row r="805" ht="15.75" customHeight="1">
      <c r="C805" s="1"/>
      <c r="D805" s="1"/>
    </row>
    <row r="806" ht="15.75" customHeight="1">
      <c r="C806" s="1"/>
      <c r="D806" s="1"/>
    </row>
    <row r="807" ht="15.75" customHeight="1">
      <c r="C807" s="1"/>
      <c r="D807" s="1"/>
    </row>
    <row r="808" ht="15.75" customHeight="1">
      <c r="C808" s="1"/>
      <c r="D808" s="1"/>
    </row>
    <row r="809" ht="15.75" customHeight="1">
      <c r="C809" s="1"/>
      <c r="D809" s="1"/>
    </row>
    <row r="810" ht="15.75" customHeight="1">
      <c r="C810" s="1"/>
      <c r="D810" s="1"/>
    </row>
    <row r="811" ht="15.75" customHeight="1">
      <c r="C811" s="1"/>
      <c r="D811" s="1"/>
    </row>
    <row r="812" ht="15.75" customHeight="1">
      <c r="C812" s="1"/>
      <c r="D812" s="1"/>
    </row>
    <row r="813" ht="15.75" customHeight="1">
      <c r="C813" s="1"/>
      <c r="D813" s="1"/>
    </row>
    <row r="814" ht="15.75" customHeight="1">
      <c r="C814" s="1"/>
      <c r="D814" s="1"/>
    </row>
    <row r="815" ht="15.75" customHeight="1">
      <c r="C815" s="1"/>
      <c r="D815" s="1"/>
    </row>
    <row r="816" ht="15.75" customHeight="1">
      <c r="C816" s="1"/>
      <c r="D816" s="1"/>
    </row>
    <row r="817" ht="15.75" customHeight="1">
      <c r="C817" s="1"/>
      <c r="D817" s="1"/>
    </row>
    <row r="818" ht="15.75" customHeight="1">
      <c r="C818" s="1"/>
      <c r="D818" s="1"/>
    </row>
    <row r="819" ht="15.75" customHeight="1">
      <c r="C819" s="1"/>
      <c r="D819" s="1"/>
    </row>
    <row r="820" ht="15.75" customHeight="1">
      <c r="C820" s="1"/>
      <c r="D820" s="1"/>
    </row>
    <row r="821" ht="15.75" customHeight="1">
      <c r="C821" s="1"/>
      <c r="D821" s="1"/>
    </row>
    <row r="822" ht="15.75" customHeight="1">
      <c r="C822" s="1"/>
      <c r="D822" s="1"/>
    </row>
    <row r="823" ht="15.75" customHeight="1">
      <c r="C823" s="1"/>
      <c r="D823" s="1"/>
    </row>
    <row r="824" ht="15.75" customHeight="1">
      <c r="C824" s="1"/>
      <c r="D824" s="1"/>
    </row>
    <row r="825" ht="15.75" customHeight="1">
      <c r="C825" s="1"/>
      <c r="D825" s="1"/>
    </row>
    <row r="826" ht="15.75" customHeight="1">
      <c r="C826" s="1"/>
      <c r="D826" s="1"/>
    </row>
    <row r="827" ht="15.75" customHeight="1">
      <c r="C827" s="1"/>
      <c r="D827" s="1"/>
    </row>
    <row r="828" ht="15.75" customHeight="1">
      <c r="C828" s="1"/>
      <c r="D828" s="1"/>
    </row>
    <row r="829" ht="15.75" customHeight="1">
      <c r="C829" s="1"/>
      <c r="D829" s="1"/>
    </row>
    <row r="830" ht="15.75" customHeight="1">
      <c r="C830" s="1"/>
      <c r="D830" s="1"/>
    </row>
    <row r="831" ht="15.75" customHeight="1">
      <c r="C831" s="1"/>
      <c r="D831" s="1"/>
    </row>
    <row r="832" ht="15.75" customHeight="1">
      <c r="C832" s="1"/>
      <c r="D832" s="1"/>
    </row>
    <row r="833" ht="15.75" customHeight="1">
      <c r="C833" s="1"/>
      <c r="D833" s="1"/>
    </row>
    <row r="834" ht="15.75" customHeight="1">
      <c r="C834" s="1"/>
      <c r="D834" s="1"/>
    </row>
    <row r="835" ht="15.75" customHeight="1">
      <c r="C835" s="1"/>
      <c r="D835" s="1"/>
    </row>
    <row r="836" ht="15.75" customHeight="1">
      <c r="C836" s="1"/>
      <c r="D836" s="1"/>
    </row>
    <row r="837" ht="15.75" customHeight="1">
      <c r="C837" s="1"/>
      <c r="D837" s="1"/>
    </row>
    <row r="838" ht="15.75" customHeight="1">
      <c r="C838" s="1"/>
      <c r="D838" s="1"/>
    </row>
    <row r="839" ht="15.75" customHeight="1">
      <c r="C839" s="1"/>
      <c r="D839" s="1"/>
    </row>
    <row r="840" ht="15.75" customHeight="1">
      <c r="C840" s="1"/>
      <c r="D840" s="1"/>
    </row>
    <row r="841" ht="15.75" customHeight="1">
      <c r="C841" s="1"/>
      <c r="D841" s="1"/>
    </row>
    <row r="842" ht="15.75" customHeight="1">
      <c r="C842" s="1"/>
      <c r="D842" s="1"/>
    </row>
    <row r="843" ht="15.75" customHeight="1">
      <c r="C843" s="1"/>
      <c r="D843" s="1"/>
    </row>
    <row r="844" ht="15.75" customHeight="1">
      <c r="C844" s="1"/>
      <c r="D844" s="1"/>
    </row>
    <row r="845" ht="15.75" customHeight="1">
      <c r="C845" s="1"/>
      <c r="D845" s="1"/>
    </row>
    <row r="846" ht="15.75" customHeight="1">
      <c r="C846" s="1"/>
      <c r="D846" s="1"/>
    </row>
    <row r="847" ht="15.75" customHeight="1">
      <c r="C847" s="1"/>
      <c r="D847" s="1"/>
    </row>
    <row r="848" ht="15.75" customHeight="1">
      <c r="C848" s="1"/>
      <c r="D848" s="1"/>
    </row>
    <row r="849" ht="15.75" customHeight="1">
      <c r="C849" s="1"/>
      <c r="D849" s="1"/>
    </row>
    <row r="850" ht="15.75" customHeight="1">
      <c r="C850" s="1"/>
      <c r="D850" s="1"/>
    </row>
    <row r="851" ht="15.75" customHeight="1">
      <c r="C851" s="1"/>
      <c r="D851" s="1"/>
    </row>
    <row r="852" ht="15.75" customHeight="1">
      <c r="C852" s="1"/>
      <c r="D852" s="1"/>
    </row>
    <row r="853" ht="15.75" customHeight="1">
      <c r="C853" s="1"/>
      <c r="D853" s="1"/>
    </row>
    <row r="854" ht="15.75" customHeight="1">
      <c r="C854" s="1"/>
      <c r="D854" s="1"/>
    </row>
    <row r="855" ht="15.75" customHeight="1">
      <c r="C855" s="1"/>
      <c r="D855" s="1"/>
    </row>
    <row r="856" ht="15.75" customHeight="1">
      <c r="C856" s="1"/>
      <c r="D856" s="1"/>
    </row>
    <row r="857" ht="15.75" customHeight="1">
      <c r="C857" s="1"/>
      <c r="D857" s="1"/>
    </row>
    <row r="858" ht="15.75" customHeight="1">
      <c r="C858" s="1"/>
      <c r="D858" s="1"/>
    </row>
    <row r="859" ht="15.75" customHeight="1">
      <c r="C859" s="1"/>
      <c r="D859" s="1"/>
    </row>
    <row r="860" ht="15.75" customHeight="1">
      <c r="C860" s="1"/>
      <c r="D860" s="1"/>
    </row>
    <row r="861" ht="15.75" customHeight="1">
      <c r="C861" s="1"/>
      <c r="D861" s="1"/>
    </row>
    <row r="862" ht="15.75" customHeight="1">
      <c r="C862" s="1"/>
      <c r="D862" s="1"/>
    </row>
    <row r="863" ht="15.75" customHeight="1">
      <c r="C863" s="1"/>
      <c r="D863" s="1"/>
    </row>
    <row r="864" ht="15.75" customHeight="1">
      <c r="C864" s="1"/>
      <c r="D864" s="1"/>
    </row>
    <row r="865" ht="15.75" customHeight="1">
      <c r="C865" s="1"/>
      <c r="D865" s="1"/>
    </row>
    <row r="866" ht="15.75" customHeight="1">
      <c r="C866" s="1"/>
      <c r="D866" s="1"/>
    </row>
    <row r="867" ht="15.75" customHeight="1">
      <c r="C867" s="1"/>
      <c r="D867" s="1"/>
    </row>
    <row r="868" ht="15.75" customHeight="1">
      <c r="C868" s="1"/>
      <c r="D868" s="1"/>
    </row>
    <row r="869" ht="15.75" customHeight="1">
      <c r="C869" s="1"/>
      <c r="D869" s="1"/>
    </row>
    <row r="870" ht="15.75" customHeight="1">
      <c r="C870" s="1"/>
      <c r="D870" s="1"/>
    </row>
    <row r="871" ht="15.75" customHeight="1">
      <c r="C871" s="1"/>
      <c r="D871" s="1"/>
    </row>
    <row r="872" ht="15.75" customHeight="1">
      <c r="C872" s="1"/>
      <c r="D872" s="1"/>
    </row>
    <row r="873" ht="15.75" customHeight="1">
      <c r="C873" s="1"/>
      <c r="D873" s="1"/>
    </row>
    <row r="874" ht="15.75" customHeight="1">
      <c r="C874" s="1"/>
      <c r="D874" s="1"/>
    </row>
    <row r="875" ht="15.75" customHeight="1">
      <c r="C875" s="1"/>
      <c r="D875" s="1"/>
    </row>
    <row r="876" ht="15.75" customHeight="1">
      <c r="C876" s="1"/>
      <c r="D876" s="1"/>
    </row>
    <row r="877" ht="15.75" customHeight="1">
      <c r="C877" s="1"/>
      <c r="D877" s="1"/>
    </row>
    <row r="878" ht="15.75" customHeight="1">
      <c r="C878" s="1"/>
      <c r="D878" s="1"/>
    </row>
    <row r="879" ht="15.75" customHeight="1">
      <c r="C879" s="1"/>
      <c r="D879" s="1"/>
    </row>
    <row r="880" ht="15.75" customHeight="1">
      <c r="C880" s="1"/>
      <c r="D880" s="1"/>
    </row>
    <row r="881" ht="15.75" customHeight="1">
      <c r="C881" s="1"/>
      <c r="D881" s="1"/>
    </row>
    <row r="882" ht="15.75" customHeight="1">
      <c r="C882" s="1"/>
      <c r="D882" s="1"/>
    </row>
    <row r="883" ht="15.75" customHeight="1">
      <c r="C883" s="1"/>
      <c r="D883" s="1"/>
    </row>
    <row r="884" ht="15.75" customHeight="1">
      <c r="C884" s="1"/>
      <c r="D884" s="1"/>
    </row>
    <row r="885" ht="15.75" customHeight="1">
      <c r="C885" s="1"/>
      <c r="D885" s="1"/>
    </row>
    <row r="886" ht="15.75" customHeight="1">
      <c r="C886" s="1"/>
      <c r="D886" s="1"/>
    </row>
    <row r="887" ht="15.75" customHeight="1">
      <c r="C887" s="1"/>
      <c r="D887" s="1"/>
    </row>
    <row r="888" ht="15.75" customHeight="1">
      <c r="C888" s="1"/>
      <c r="D888" s="1"/>
    </row>
    <row r="889" ht="15.75" customHeight="1">
      <c r="C889" s="1"/>
      <c r="D889" s="1"/>
    </row>
    <row r="890" ht="15.75" customHeight="1">
      <c r="C890" s="1"/>
      <c r="D890" s="1"/>
    </row>
    <row r="891" ht="15.75" customHeight="1">
      <c r="C891" s="1"/>
      <c r="D891" s="1"/>
    </row>
    <row r="892" ht="15.75" customHeight="1">
      <c r="C892" s="1"/>
      <c r="D892" s="1"/>
    </row>
    <row r="893" ht="15.75" customHeight="1">
      <c r="C893" s="1"/>
      <c r="D893" s="1"/>
    </row>
    <row r="894" ht="15.75" customHeight="1">
      <c r="C894" s="1"/>
      <c r="D894" s="1"/>
    </row>
    <row r="895" ht="15.75" customHeight="1">
      <c r="C895" s="1"/>
      <c r="D895" s="1"/>
    </row>
    <row r="896" ht="15.75" customHeight="1">
      <c r="C896" s="1"/>
      <c r="D896" s="1"/>
    </row>
    <row r="897" ht="15.75" customHeight="1">
      <c r="C897" s="1"/>
      <c r="D897" s="1"/>
    </row>
    <row r="898" ht="15.75" customHeight="1">
      <c r="C898" s="1"/>
      <c r="D898" s="1"/>
    </row>
    <row r="899" ht="15.75" customHeight="1">
      <c r="C899" s="1"/>
      <c r="D899" s="1"/>
    </row>
    <row r="900" ht="15.75" customHeight="1">
      <c r="C900" s="1"/>
      <c r="D900" s="1"/>
    </row>
    <row r="901" ht="15.75" customHeight="1">
      <c r="C901" s="1"/>
      <c r="D901" s="1"/>
    </row>
    <row r="902" ht="15.75" customHeight="1">
      <c r="C902" s="1"/>
      <c r="D902" s="1"/>
    </row>
    <row r="903" ht="15.75" customHeight="1">
      <c r="C903" s="1"/>
      <c r="D903" s="1"/>
    </row>
    <row r="904" ht="15.75" customHeight="1">
      <c r="C904" s="1"/>
      <c r="D904" s="1"/>
    </row>
    <row r="905" ht="15.75" customHeight="1">
      <c r="C905" s="1"/>
      <c r="D905" s="1"/>
    </row>
    <row r="906" ht="15.75" customHeight="1">
      <c r="C906" s="1"/>
      <c r="D906" s="1"/>
    </row>
    <row r="907" ht="15.75" customHeight="1">
      <c r="C907" s="1"/>
      <c r="D907" s="1"/>
    </row>
    <row r="908" ht="15.75" customHeight="1">
      <c r="C908" s="1"/>
      <c r="D908" s="1"/>
    </row>
    <row r="909" ht="15.75" customHeight="1">
      <c r="C909" s="1"/>
      <c r="D909" s="1"/>
    </row>
    <row r="910" ht="15.75" customHeight="1">
      <c r="C910" s="1"/>
      <c r="D910" s="1"/>
    </row>
    <row r="911" ht="15.75" customHeight="1">
      <c r="C911" s="1"/>
      <c r="D911" s="1"/>
    </row>
    <row r="912" ht="15.75" customHeight="1">
      <c r="C912" s="1"/>
      <c r="D912" s="1"/>
    </row>
    <row r="913" ht="15.75" customHeight="1">
      <c r="C913" s="1"/>
      <c r="D913" s="1"/>
    </row>
    <row r="914" ht="15.75" customHeight="1">
      <c r="C914" s="1"/>
      <c r="D914" s="1"/>
    </row>
    <row r="915" ht="15.75" customHeight="1">
      <c r="C915" s="1"/>
      <c r="D915" s="1"/>
    </row>
    <row r="916" ht="15.75" customHeight="1">
      <c r="C916" s="1"/>
      <c r="D916" s="1"/>
    </row>
    <row r="917" ht="15.75" customHeight="1">
      <c r="C917" s="1"/>
      <c r="D917" s="1"/>
    </row>
    <row r="918" ht="15.75" customHeight="1">
      <c r="C918" s="1"/>
      <c r="D918" s="1"/>
    </row>
    <row r="919" ht="15.75" customHeight="1">
      <c r="C919" s="1"/>
      <c r="D919" s="1"/>
    </row>
    <row r="920" ht="15.75" customHeight="1">
      <c r="C920" s="1"/>
      <c r="D920" s="1"/>
    </row>
    <row r="921" ht="15.75" customHeight="1">
      <c r="C921" s="1"/>
      <c r="D921" s="1"/>
    </row>
    <row r="922" ht="15.75" customHeight="1">
      <c r="C922" s="1"/>
      <c r="D922" s="1"/>
    </row>
    <row r="923" ht="15.75" customHeight="1">
      <c r="C923" s="1"/>
      <c r="D923" s="1"/>
    </row>
    <row r="924" ht="15.75" customHeight="1">
      <c r="C924" s="1"/>
      <c r="D924" s="1"/>
    </row>
    <row r="925" ht="15.75" customHeight="1">
      <c r="C925" s="1"/>
      <c r="D925" s="1"/>
    </row>
    <row r="926" ht="15.75" customHeight="1">
      <c r="C926" s="1"/>
      <c r="D926" s="1"/>
    </row>
    <row r="927" ht="15.75" customHeight="1">
      <c r="C927" s="1"/>
      <c r="D927" s="1"/>
    </row>
    <row r="928" ht="15.75" customHeight="1">
      <c r="C928" s="1"/>
      <c r="D928" s="1"/>
    </row>
    <row r="929" ht="15.75" customHeight="1">
      <c r="C929" s="1"/>
      <c r="D929" s="1"/>
    </row>
    <row r="930" ht="15.75" customHeight="1">
      <c r="C930" s="1"/>
      <c r="D930" s="1"/>
    </row>
    <row r="931" ht="15.75" customHeight="1">
      <c r="C931" s="1"/>
      <c r="D931" s="1"/>
    </row>
    <row r="932" ht="15.75" customHeight="1">
      <c r="C932" s="1"/>
      <c r="D932" s="1"/>
    </row>
    <row r="933" ht="15.75" customHeight="1">
      <c r="C933" s="1"/>
      <c r="D933" s="1"/>
    </row>
    <row r="934" ht="15.75" customHeight="1">
      <c r="C934" s="1"/>
      <c r="D934" s="1"/>
    </row>
    <row r="935" ht="15.75" customHeight="1">
      <c r="C935" s="1"/>
      <c r="D935" s="1"/>
    </row>
    <row r="936" ht="15.75" customHeight="1">
      <c r="C936" s="1"/>
      <c r="D936" s="1"/>
    </row>
    <row r="937" ht="15.75" customHeight="1">
      <c r="C937" s="1"/>
      <c r="D937" s="1"/>
    </row>
    <row r="938" ht="15.75" customHeight="1">
      <c r="C938" s="1"/>
      <c r="D938" s="1"/>
    </row>
    <row r="939" ht="15.75" customHeight="1">
      <c r="C939" s="1"/>
      <c r="D939" s="1"/>
    </row>
    <row r="940" ht="15.75" customHeight="1">
      <c r="C940" s="1"/>
      <c r="D940" s="1"/>
    </row>
    <row r="941" ht="15.75" customHeight="1">
      <c r="C941" s="1"/>
      <c r="D941" s="1"/>
    </row>
    <row r="942" ht="15.75" customHeight="1">
      <c r="C942" s="1"/>
      <c r="D942" s="1"/>
    </row>
    <row r="943" ht="15.75" customHeight="1">
      <c r="C943" s="1"/>
      <c r="D943" s="1"/>
    </row>
    <row r="944" ht="15.75" customHeight="1">
      <c r="C944" s="1"/>
      <c r="D944" s="1"/>
    </row>
    <row r="945" ht="15.75" customHeight="1">
      <c r="C945" s="1"/>
      <c r="D945" s="1"/>
    </row>
    <row r="946" ht="15.75" customHeight="1">
      <c r="C946" s="1"/>
      <c r="D946" s="1"/>
    </row>
    <row r="947" ht="15.75" customHeight="1">
      <c r="C947" s="1"/>
      <c r="D947" s="1"/>
    </row>
    <row r="948" ht="15.75" customHeight="1">
      <c r="C948" s="1"/>
      <c r="D948" s="1"/>
    </row>
    <row r="949" ht="15.75" customHeight="1">
      <c r="C949" s="1"/>
      <c r="D949" s="1"/>
    </row>
    <row r="950" ht="15.75" customHeight="1">
      <c r="C950" s="1"/>
      <c r="D950" s="1"/>
    </row>
    <row r="951" ht="15.75" customHeight="1">
      <c r="C951" s="1"/>
      <c r="D951" s="1"/>
    </row>
    <row r="952" ht="15.75" customHeight="1">
      <c r="C952" s="1"/>
      <c r="D952" s="1"/>
    </row>
    <row r="953" ht="15.75" customHeight="1">
      <c r="C953" s="1"/>
      <c r="D953" s="1"/>
    </row>
    <row r="954" ht="15.75" customHeight="1">
      <c r="C954" s="1"/>
      <c r="D954" s="1"/>
    </row>
    <row r="955" ht="15.75" customHeight="1">
      <c r="C955" s="1"/>
      <c r="D955" s="1"/>
    </row>
    <row r="956" ht="15.75" customHeight="1">
      <c r="C956" s="1"/>
      <c r="D956" s="1"/>
    </row>
    <row r="957" ht="15.75" customHeight="1">
      <c r="C957" s="1"/>
      <c r="D957" s="1"/>
    </row>
    <row r="958" ht="15.75" customHeight="1">
      <c r="C958" s="1"/>
      <c r="D958" s="1"/>
    </row>
    <row r="959" ht="15.75" customHeight="1">
      <c r="C959" s="1"/>
      <c r="D959" s="1"/>
    </row>
    <row r="960" ht="15.75" customHeight="1">
      <c r="C960" s="1"/>
      <c r="D960" s="1"/>
    </row>
    <row r="961" ht="15.75" customHeight="1">
      <c r="C961" s="1"/>
      <c r="D961" s="1"/>
    </row>
    <row r="962" ht="15.75" customHeight="1">
      <c r="C962" s="1"/>
      <c r="D962" s="1"/>
    </row>
    <row r="963" ht="15.75" customHeight="1">
      <c r="C963" s="1"/>
      <c r="D963" s="1"/>
    </row>
    <row r="964" ht="15.75" customHeight="1">
      <c r="C964" s="1"/>
      <c r="D964" s="1"/>
    </row>
    <row r="965" ht="15.75" customHeight="1">
      <c r="C965" s="1"/>
      <c r="D965" s="1"/>
    </row>
    <row r="966" ht="15.75" customHeight="1">
      <c r="C966" s="1"/>
      <c r="D966" s="1"/>
    </row>
    <row r="967" ht="15.75" customHeight="1">
      <c r="C967" s="1"/>
      <c r="D967" s="1"/>
    </row>
    <row r="968" ht="15.75" customHeight="1">
      <c r="C968" s="1"/>
      <c r="D968" s="1"/>
    </row>
    <row r="969" ht="15.75" customHeight="1">
      <c r="C969" s="1"/>
      <c r="D969" s="1"/>
    </row>
    <row r="970" ht="15.75" customHeight="1">
      <c r="C970" s="1"/>
      <c r="D970" s="1"/>
    </row>
    <row r="971" ht="15.75" customHeight="1">
      <c r="C971" s="1"/>
      <c r="D971" s="1"/>
    </row>
    <row r="972" ht="15.75" customHeight="1">
      <c r="C972" s="1"/>
      <c r="D972" s="1"/>
    </row>
    <row r="973" ht="15.75" customHeight="1">
      <c r="C973" s="1"/>
      <c r="D973" s="1"/>
    </row>
    <row r="974" ht="15.75" customHeight="1">
      <c r="C974" s="1"/>
      <c r="D974" s="1"/>
    </row>
    <row r="975" ht="15.75" customHeight="1">
      <c r="C975" s="1"/>
      <c r="D975" s="1"/>
    </row>
    <row r="976" ht="15.75" customHeight="1">
      <c r="C976" s="1"/>
      <c r="D976" s="1"/>
    </row>
    <row r="977" ht="15.75" customHeight="1">
      <c r="C977" s="1"/>
      <c r="D977" s="1"/>
    </row>
    <row r="978" ht="15.75" customHeight="1">
      <c r="C978" s="1"/>
      <c r="D978" s="1"/>
    </row>
    <row r="979" ht="15.75" customHeight="1">
      <c r="C979" s="1"/>
      <c r="D979" s="1"/>
    </row>
    <row r="980" ht="15.75" customHeight="1">
      <c r="C980" s="1"/>
      <c r="D980" s="1"/>
    </row>
    <row r="981" ht="15.75" customHeight="1">
      <c r="C981" s="1"/>
      <c r="D981" s="1"/>
    </row>
    <row r="982" ht="15.75" customHeight="1">
      <c r="C982" s="1"/>
      <c r="D982" s="1"/>
    </row>
    <row r="983" ht="15.75" customHeight="1">
      <c r="C983" s="1"/>
      <c r="D983" s="1"/>
    </row>
    <row r="984" ht="15.75" customHeight="1">
      <c r="C984" s="1"/>
      <c r="D984" s="1"/>
    </row>
    <row r="985" ht="15.75" customHeight="1">
      <c r="C985" s="1"/>
      <c r="D985" s="1"/>
    </row>
    <row r="986" ht="15.75" customHeight="1">
      <c r="C986" s="1"/>
      <c r="D986" s="1"/>
    </row>
    <row r="987" ht="15.75" customHeight="1">
      <c r="C987" s="1"/>
      <c r="D987" s="1"/>
    </row>
    <row r="988" ht="15.75" customHeight="1">
      <c r="C988" s="1"/>
      <c r="D988" s="1"/>
    </row>
    <row r="989" ht="15.75" customHeight="1">
      <c r="C989" s="1"/>
      <c r="D989" s="1"/>
    </row>
    <row r="990" ht="15.75" customHeight="1">
      <c r="C990" s="1"/>
      <c r="D990" s="1"/>
    </row>
    <row r="991" ht="15.75" customHeight="1">
      <c r="C991" s="1"/>
      <c r="D991" s="1"/>
    </row>
    <row r="992" ht="15.75" customHeight="1">
      <c r="C992" s="1"/>
      <c r="D992" s="1"/>
    </row>
    <row r="993" ht="15.75" customHeight="1">
      <c r="C993" s="1"/>
      <c r="D993" s="1"/>
    </row>
    <row r="994" ht="15.75" customHeight="1">
      <c r="C994" s="1"/>
      <c r="D994" s="1"/>
    </row>
    <row r="995" ht="15.75" customHeight="1">
      <c r="C995" s="1"/>
      <c r="D995" s="1"/>
    </row>
    <row r="996" ht="15.75" customHeight="1">
      <c r="C996" s="1"/>
      <c r="D996" s="1"/>
    </row>
    <row r="997" ht="15.75" customHeight="1">
      <c r="C997" s="1"/>
      <c r="D997" s="1"/>
    </row>
    <row r="998" ht="15.75" customHeight="1">
      <c r="C998" s="1"/>
      <c r="D998" s="1"/>
    </row>
    <row r="999" ht="15.75" customHeight="1">
      <c r="C999" s="1"/>
      <c r="D999" s="1"/>
    </row>
    <row r="1000" ht="15.75" customHeight="1">
      <c r="C1000" s="1"/>
      <c r="D1000" s="1"/>
    </row>
  </sheetData>
  <mergeCells count="6">
    <mergeCell ref="H13:I13"/>
    <mergeCell ref="E15:E16"/>
    <mergeCell ref="H33:I33"/>
    <mergeCell ref="E35:E36"/>
    <mergeCell ref="H51:I51"/>
    <mergeCell ref="E53:E54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4" width="10.71"/>
    <col customWidth="1" min="5" max="5" width="38.14"/>
    <col customWidth="1" min="6" max="6" width="10.86"/>
    <col customWidth="1" min="7" max="7" width="9.57"/>
    <col customWidth="1" min="8" max="8" width="10.71"/>
    <col customWidth="1" min="9" max="9" width="9.71"/>
    <col customWidth="1" min="10" max="10" width="11.71"/>
    <col customWidth="1" min="11" max="11" width="6.29"/>
    <col customWidth="1" min="12" max="12" width="8.0"/>
    <col customWidth="1" min="13" max="13" width="11.71"/>
    <col customWidth="1" min="14" max="26" width="8.71"/>
  </cols>
  <sheetData>
    <row r="1">
      <c r="C1" s="1"/>
      <c r="D1" s="1"/>
    </row>
    <row r="2">
      <c r="C2" s="1"/>
      <c r="D2" s="1"/>
    </row>
    <row r="3">
      <c r="C3" s="2" t="s">
        <v>0</v>
      </c>
      <c r="D3" s="2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/>
      <c r="J3" s="3"/>
      <c r="K3" s="3" t="s">
        <v>14</v>
      </c>
      <c r="L3" s="3" t="s">
        <v>15</v>
      </c>
      <c r="M3" s="3" t="s">
        <v>16</v>
      </c>
    </row>
    <row r="4">
      <c r="C4" s="5">
        <v>45936.0</v>
      </c>
      <c r="D4" s="5">
        <v>45959.0</v>
      </c>
      <c r="E4" s="9" t="s">
        <v>79</v>
      </c>
      <c r="F4" s="7">
        <v>6840.4</v>
      </c>
      <c r="G4" s="7">
        <v>7007.5</v>
      </c>
      <c r="H4" s="7">
        <f t="shared" ref="H4:H9" si="1">G4-F4</f>
        <v>167.1</v>
      </c>
      <c r="I4" s="8">
        <v>380.0</v>
      </c>
      <c r="J4" s="8">
        <f t="shared" ref="J4:J9" si="2">H4*I4</f>
        <v>63498</v>
      </c>
      <c r="K4" s="7">
        <v>2872.0</v>
      </c>
      <c r="L4" s="7">
        <v>5.61</v>
      </c>
      <c r="M4" s="14">
        <f>K4*L4</f>
        <v>16111.92</v>
      </c>
    </row>
    <row r="5">
      <c r="C5" s="5"/>
      <c r="D5" s="5"/>
      <c r="E5" s="6" t="s">
        <v>30</v>
      </c>
      <c r="F5" s="7">
        <v>0.0</v>
      </c>
      <c r="G5" s="7"/>
      <c r="H5" s="7">
        <f t="shared" si="1"/>
        <v>0</v>
      </c>
      <c r="I5" s="7"/>
      <c r="J5" s="8">
        <f t="shared" si="2"/>
        <v>0</v>
      </c>
      <c r="K5" s="7"/>
      <c r="L5" s="7"/>
      <c r="M5" s="14"/>
    </row>
    <row r="6">
      <c r="C6" s="5"/>
      <c r="D6" s="5"/>
      <c r="E6" s="9"/>
      <c r="F6" s="7">
        <v>0.0</v>
      </c>
      <c r="G6" s="7"/>
      <c r="H6" s="7">
        <f t="shared" si="1"/>
        <v>0</v>
      </c>
      <c r="I6" s="7"/>
      <c r="J6" s="8">
        <f t="shared" si="2"/>
        <v>0</v>
      </c>
      <c r="K6" s="7"/>
      <c r="L6" s="7"/>
      <c r="M6" s="14"/>
    </row>
    <row r="7">
      <c r="C7" s="5"/>
      <c r="D7" s="5"/>
      <c r="E7" s="9"/>
      <c r="F7" s="7">
        <v>0.0</v>
      </c>
      <c r="G7" s="7"/>
      <c r="H7" s="7">
        <f t="shared" si="1"/>
        <v>0</v>
      </c>
      <c r="I7" s="7"/>
      <c r="J7" s="8">
        <f t="shared" si="2"/>
        <v>0</v>
      </c>
      <c r="K7" s="7"/>
      <c r="L7" s="7"/>
      <c r="M7" s="14"/>
    </row>
    <row r="8">
      <c r="C8" s="5"/>
      <c r="D8" s="5"/>
      <c r="E8" s="9"/>
      <c r="F8" s="7">
        <v>0.0</v>
      </c>
      <c r="G8" s="7"/>
      <c r="H8" s="7">
        <f t="shared" si="1"/>
        <v>0</v>
      </c>
      <c r="I8" s="7"/>
      <c r="J8" s="8">
        <f t="shared" si="2"/>
        <v>0</v>
      </c>
      <c r="K8" s="7"/>
      <c r="L8" s="7"/>
      <c r="M8" s="14"/>
    </row>
    <row r="9">
      <c r="C9" s="5"/>
      <c r="D9" s="5"/>
      <c r="E9" s="9"/>
      <c r="F9" s="7">
        <v>0.0</v>
      </c>
      <c r="G9" s="7"/>
      <c r="H9" s="7">
        <f t="shared" si="1"/>
        <v>0</v>
      </c>
      <c r="I9" s="7"/>
      <c r="J9" s="8">
        <f t="shared" si="2"/>
        <v>0</v>
      </c>
      <c r="K9" s="7"/>
      <c r="L9" s="7"/>
      <c r="M9" s="14"/>
    </row>
    <row r="10">
      <c r="C10" s="1"/>
      <c r="D10" s="1"/>
      <c r="I10" s="15" t="s">
        <v>11</v>
      </c>
      <c r="J10" s="11">
        <f>SUM(J4:J9)</f>
        <v>63498</v>
      </c>
      <c r="M10" s="16">
        <f>SUM(M4:M9)</f>
        <v>16111.92</v>
      </c>
    </row>
    <row r="11">
      <c r="C11" s="1"/>
      <c r="D11" s="1"/>
    </row>
    <row r="12">
      <c r="C12" s="1"/>
      <c r="D12" s="1"/>
      <c r="H12" s="17" t="s">
        <v>18</v>
      </c>
      <c r="I12" s="18"/>
      <c r="J12" s="19">
        <f>J10-M10</f>
        <v>47386.08</v>
      </c>
    </row>
    <row r="13">
      <c r="C13" s="1"/>
      <c r="D13" s="1"/>
    </row>
    <row r="14">
      <c r="C14" s="1"/>
      <c r="D14" s="1"/>
      <c r="E14" s="57" t="s">
        <v>12</v>
      </c>
    </row>
    <row r="15">
      <c r="C15" s="1"/>
      <c r="D15" s="1"/>
      <c r="E15" s="57" t="s">
        <v>80</v>
      </c>
    </row>
    <row r="16">
      <c r="C16" s="1"/>
      <c r="D16" s="1"/>
    </row>
    <row r="17">
      <c r="C17" s="1"/>
      <c r="D17" s="1"/>
    </row>
    <row r="18">
      <c r="C18" s="1"/>
      <c r="D18" s="1"/>
    </row>
    <row r="19">
      <c r="C19" s="1"/>
      <c r="D19" s="1"/>
    </row>
    <row r="20">
      <c r="C20" s="1"/>
      <c r="D20" s="1"/>
    </row>
    <row r="21" ht="15.75" customHeight="1">
      <c r="C21" s="2" t="s">
        <v>0</v>
      </c>
      <c r="D21" s="2" t="s">
        <v>1</v>
      </c>
      <c r="E21" s="3" t="s">
        <v>2</v>
      </c>
      <c r="F21" s="3" t="s">
        <v>3</v>
      </c>
      <c r="G21" s="3" t="s">
        <v>4</v>
      </c>
      <c r="H21" s="3" t="s">
        <v>5</v>
      </c>
      <c r="I21" s="3"/>
      <c r="J21" s="3"/>
      <c r="K21" s="3" t="s">
        <v>14</v>
      </c>
      <c r="L21" s="3" t="s">
        <v>15</v>
      </c>
      <c r="M21" s="3" t="s">
        <v>16</v>
      </c>
    </row>
    <row r="22" ht="15.75" customHeight="1">
      <c r="C22" s="22">
        <v>45978.0</v>
      </c>
      <c r="D22" s="22">
        <v>45981.0</v>
      </c>
      <c r="E22" s="6" t="s">
        <v>81</v>
      </c>
      <c r="F22" s="23">
        <v>7127.6</v>
      </c>
      <c r="G22" s="23">
        <v>7161.2</v>
      </c>
      <c r="H22" s="7">
        <f t="shared" ref="H22:H27" si="3">G22-F22</f>
        <v>33.6</v>
      </c>
      <c r="I22" s="8">
        <v>380.0</v>
      </c>
      <c r="J22" s="8">
        <f t="shared" ref="J22:J27" si="4">H22*I22</f>
        <v>12768</v>
      </c>
      <c r="K22" s="23">
        <v>745.0</v>
      </c>
      <c r="L22" s="23">
        <v>5.69</v>
      </c>
      <c r="M22" s="14">
        <f>K22*L22</f>
        <v>4239.05</v>
      </c>
    </row>
    <row r="23" ht="15.75" customHeight="1">
      <c r="C23" s="5"/>
      <c r="D23" s="5"/>
      <c r="E23" s="6" t="s">
        <v>82</v>
      </c>
      <c r="F23" s="7">
        <v>0.0</v>
      </c>
      <c r="G23" s="7"/>
      <c r="H23" s="7">
        <f t="shared" si="3"/>
        <v>0</v>
      </c>
      <c r="I23" s="7"/>
      <c r="J23" s="8">
        <f t="shared" si="4"/>
        <v>0</v>
      </c>
      <c r="K23" s="7"/>
      <c r="L23" s="7"/>
      <c r="M23" s="14"/>
    </row>
    <row r="24" ht="15.75" customHeight="1">
      <c r="C24" s="5"/>
      <c r="D24" s="5"/>
      <c r="E24" s="9"/>
      <c r="F24" s="7">
        <v>0.0</v>
      </c>
      <c r="G24" s="7"/>
      <c r="H24" s="7">
        <f t="shared" si="3"/>
        <v>0</v>
      </c>
      <c r="I24" s="7"/>
      <c r="J24" s="8">
        <f t="shared" si="4"/>
        <v>0</v>
      </c>
      <c r="K24" s="7"/>
      <c r="L24" s="7"/>
      <c r="M24" s="14"/>
    </row>
    <row r="25" ht="15.75" customHeight="1">
      <c r="C25" s="5"/>
      <c r="D25" s="5"/>
      <c r="E25" s="9"/>
      <c r="F25" s="7">
        <v>0.0</v>
      </c>
      <c r="G25" s="7"/>
      <c r="H25" s="7">
        <f t="shared" si="3"/>
        <v>0</v>
      </c>
      <c r="I25" s="7"/>
      <c r="J25" s="8">
        <f t="shared" si="4"/>
        <v>0</v>
      </c>
      <c r="K25" s="7"/>
      <c r="L25" s="7"/>
      <c r="M25" s="14"/>
    </row>
    <row r="26" ht="15.75" customHeight="1">
      <c r="C26" s="5"/>
      <c r="D26" s="5"/>
      <c r="E26" s="9"/>
      <c r="F26" s="7">
        <v>0.0</v>
      </c>
      <c r="G26" s="7"/>
      <c r="H26" s="7">
        <f t="shared" si="3"/>
        <v>0</v>
      </c>
      <c r="I26" s="7"/>
      <c r="J26" s="8">
        <f t="shared" si="4"/>
        <v>0</v>
      </c>
      <c r="K26" s="7"/>
      <c r="L26" s="7"/>
      <c r="M26" s="14"/>
    </row>
    <row r="27" ht="15.75" customHeight="1">
      <c r="C27" s="5"/>
      <c r="D27" s="5"/>
      <c r="E27" s="9"/>
      <c r="F27" s="7">
        <v>0.0</v>
      </c>
      <c r="G27" s="7"/>
      <c r="H27" s="7">
        <f t="shared" si="3"/>
        <v>0</v>
      </c>
      <c r="I27" s="7"/>
      <c r="J27" s="8">
        <f t="shared" si="4"/>
        <v>0</v>
      </c>
      <c r="K27" s="7"/>
      <c r="L27" s="7"/>
      <c r="M27" s="14"/>
    </row>
    <row r="28" ht="15.75" customHeight="1">
      <c r="C28" s="1"/>
      <c r="D28" s="1"/>
      <c r="I28" s="15" t="s">
        <v>11</v>
      </c>
      <c r="J28" s="11">
        <f>SUM(J22:J27)</f>
        <v>12768</v>
      </c>
      <c r="M28" s="16">
        <f>SUM(M22:M27)</f>
        <v>4239.05</v>
      </c>
    </row>
    <row r="29" ht="15.75" customHeight="1">
      <c r="C29" s="1"/>
      <c r="D29" s="1"/>
    </row>
    <row r="30" ht="15.75" customHeight="1">
      <c r="C30" s="1"/>
      <c r="D30" s="1"/>
      <c r="H30" s="17" t="s">
        <v>18</v>
      </c>
      <c r="I30" s="18"/>
      <c r="J30" s="19">
        <f>J28-M28</f>
        <v>8528.95</v>
      </c>
    </row>
    <row r="31" ht="15.75" customHeight="1">
      <c r="C31" s="1"/>
      <c r="D31" s="1"/>
    </row>
    <row r="32" ht="15.75" customHeight="1">
      <c r="C32" s="1"/>
      <c r="D32" s="1"/>
      <c r="E32" s="57" t="s">
        <v>12</v>
      </c>
    </row>
    <row r="33" ht="15.75" customHeight="1">
      <c r="C33" s="1"/>
      <c r="D33" s="1"/>
      <c r="E33" s="57" t="s">
        <v>80</v>
      </c>
    </row>
    <row r="34" ht="15.75" customHeight="1">
      <c r="C34" s="1"/>
      <c r="D34" s="1"/>
    </row>
    <row r="35" ht="15.75" customHeight="1">
      <c r="C35" s="1"/>
      <c r="D35" s="1"/>
    </row>
    <row r="36" ht="15.75" customHeight="1">
      <c r="C36" s="1"/>
      <c r="D36" s="1"/>
    </row>
    <row r="37" ht="15.75" customHeight="1">
      <c r="C37" s="1"/>
      <c r="D37" s="1"/>
    </row>
    <row r="38" ht="15.75" customHeight="1">
      <c r="C38" s="1"/>
      <c r="D38" s="1"/>
    </row>
    <row r="39" ht="15.75" customHeight="1">
      <c r="C39" s="1"/>
      <c r="D39" s="1"/>
    </row>
    <row r="40" ht="15.75" customHeight="1">
      <c r="C40" s="1"/>
      <c r="D40" s="1"/>
    </row>
    <row r="41" ht="15.75" customHeight="1">
      <c r="C41" s="1"/>
      <c r="D41" s="1"/>
    </row>
    <row r="42" ht="15.75" customHeight="1">
      <c r="C42" s="1"/>
      <c r="D42" s="1"/>
    </row>
    <row r="43" ht="15.75" customHeight="1">
      <c r="C43" s="1"/>
      <c r="D43" s="1"/>
    </row>
    <row r="44" ht="15.75" customHeight="1">
      <c r="C44" s="1"/>
      <c r="D44" s="1"/>
    </row>
    <row r="45" ht="15.75" customHeight="1">
      <c r="C45" s="1"/>
      <c r="D45" s="1"/>
    </row>
    <row r="46" ht="15.75" customHeight="1">
      <c r="C46" s="1"/>
      <c r="D46" s="1"/>
    </row>
    <row r="47" ht="15.75" customHeight="1">
      <c r="C47" s="1"/>
      <c r="D47" s="1"/>
    </row>
    <row r="48" ht="15.75" customHeight="1">
      <c r="C48" s="1"/>
      <c r="D48" s="1"/>
    </row>
    <row r="49" ht="15.75" customHeight="1">
      <c r="C49" s="1"/>
      <c r="D49" s="1"/>
    </row>
    <row r="50" ht="15.75" customHeight="1">
      <c r="C50" s="1"/>
      <c r="D50" s="1"/>
    </row>
    <row r="51" ht="15.75" customHeight="1">
      <c r="C51" s="1"/>
      <c r="D51" s="1"/>
    </row>
    <row r="52" ht="15.75" customHeight="1">
      <c r="C52" s="1"/>
      <c r="D52" s="1"/>
    </row>
    <row r="53" ht="15.75" customHeight="1">
      <c r="C53" s="1"/>
      <c r="D53" s="1"/>
    </row>
    <row r="54" ht="15.75" customHeight="1">
      <c r="C54" s="1"/>
      <c r="D54" s="1"/>
    </row>
    <row r="55" ht="15.75" customHeight="1">
      <c r="C55" s="1"/>
      <c r="D55" s="1"/>
    </row>
    <row r="56" ht="15.75" customHeight="1">
      <c r="C56" s="1"/>
      <c r="D56" s="1"/>
    </row>
    <row r="57" ht="15.75" customHeight="1">
      <c r="C57" s="1"/>
      <c r="D57" s="1"/>
    </row>
    <row r="58" ht="15.75" customHeight="1">
      <c r="C58" s="1"/>
      <c r="D58" s="1"/>
    </row>
    <row r="59" ht="15.75" customHeight="1">
      <c r="C59" s="1"/>
      <c r="D59" s="1"/>
    </row>
    <row r="60" ht="15.75" customHeight="1">
      <c r="C60" s="1"/>
      <c r="D60" s="1"/>
    </row>
    <row r="61" ht="15.75" customHeight="1">
      <c r="C61" s="1"/>
      <c r="D61" s="1"/>
    </row>
    <row r="62" ht="15.75" customHeight="1">
      <c r="C62" s="1"/>
      <c r="D62" s="1"/>
    </row>
    <row r="63" ht="15.75" customHeight="1">
      <c r="C63" s="1"/>
      <c r="D63" s="1"/>
    </row>
    <row r="64" ht="15.75" customHeight="1">
      <c r="C64" s="1"/>
      <c r="D64" s="1"/>
    </row>
    <row r="65" ht="15.75" customHeight="1">
      <c r="C65" s="1"/>
      <c r="D65" s="1"/>
    </row>
    <row r="66" ht="15.75" customHeight="1">
      <c r="C66" s="1"/>
      <c r="D66" s="1"/>
    </row>
    <row r="67" ht="15.75" customHeight="1">
      <c r="C67" s="1"/>
      <c r="D67" s="1"/>
    </row>
    <row r="68" ht="15.75" customHeight="1">
      <c r="C68" s="1"/>
      <c r="D68" s="1"/>
    </row>
    <row r="69" ht="15.75" customHeight="1">
      <c r="C69" s="1"/>
      <c r="D69" s="1"/>
    </row>
    <row r="70" ht="15.75" customHeight="1">
      <c r="C70" s="1"/>
      <c r="D70" s="1"/>
    </row>
    <row r="71" ht="15.75" customHeight="1">
      <c r="C71" s="1"/>
      <c r="D71" s="1"/>
    </row>
    <row r="72" ht="15.75" customHeight="1">
      <c r="C72" s="1"/>
      <c r="D72" s="1"/>
    </row>
    <row r="73" ht="15.75" customHeight="1">
      <c r="C73" s="1"/>
      <c r="D73" s="1"/>
    </row>
    <row r="74" ht="15.75" customHeight="1">
      <c r="C74" s="1"/>
      <c r="D74" s="1"/>
    </row>
    <row r="75" ht="15.75" customHeight="1">
      <c r="C75" s="1"/>
      <c r="D75" s="1"/>
    </row>
    <row r="76" ht="15.75" customHeight="1">
      <c r="C76" s="1"/>
      <c r="D76" s="1"/>
    </row>
    <row r="77" ht="15.75" customHeight="1">
      <c r="C77" s="1"/>
      <c r="D77" s="1"/>
    </row>
    <row r="78" ht="15.75" customHeight="1">
      <c r="C78" s="1"/>
      <c r="D78" s="1"/>
    </row>
    <row r="79" ht="15.75" customHeight="1">
      <c r="C79" s="1"/>
      <c r="D79" s="1"/>
    </row>
    <row r="80" ht="15.75" customHeight="1">
      <c r="C80" s="1"/>
      <c r="D80" s="1"/>
    </row>
    <row r="81" ht="15.75" customHeight="1">
      <c r="C81" s="1"/>
      <c r="D81" s="1"/>
    </row>
    <row r="82" ht="15.75" customHeight="1">
      <c r="C82" s="1"/>
      <c r="D82" s="1"/>
    </row>
    <row r="83" ht="15.75" customHeight="1">
      <c r="C83" s="1"/>
      <c r="D83" s="1"/>
    </row>
    <row r="84" ht="15.75" customHeight="1">
      <c r="C84" s="1"/>
      <c r="D84" s="1"/>
    </row>
    <row r="85" ht="15.75" customHeight="1">
      <c r="C85" s="1"/>
      <c r="D85" s="1"/>
    </row>
    <row r="86" ht="15.75" customHeight="1">
      <c r="C86" s="1"/>
      <c r="D86" s="1"/>
    </row>
    <row r="87" ht="15.75" customHeight="1">
      <c r="C87" s="1"/>
      <c r="D87" s="1"/>
    </row>
    <row r="88" ht="15.75" customHeight="1">
      <c r="C88" s="1"/>
      <c r="D88" s="1"/>
    </row>
    <row r="89" ht="15.75" customHeight="1">
      <c r="C89" s="1"/>
      <c r="D89" s="1"/>
    </row>
    <row r="90" ht="15.75" customHeight="1">
      <c r="C90" s="1"/>
      <c r="D90" s="1"/>
    </row>
    <row r="91" ht="15.75" customHeight="1">
      <c r="C91" s="1"/>
      <c r="D91" s="1"/>
    </row>
    <row r="92" ht="15.75" customHeight="1">
      <c r="C92" s="1"/>
      <c r="D92" s="1"/>
    </row>
    <row r="93" ht="15.75" customHeight="1">
      <c r="C93" s="1"/>
      <c r="D93" s="1"/>
    </row>
    <row r="94" ht="15.75" customHeight="1">
      <c r="C94" s="1"/>
      <c r="D94" s="1"/>
    </row>
    <row r="95" ht="15.75" customHeight="1">
      <c r="C95" s="1"/>
      <c r="D95" s="1"/>
    </row>
    <row r="96" ht="15.75" customHeight="1">
      <c r="C96" s="1"/>
      <c r="D96" s="1"/>
    </row>
    <row r="97" ht="15.75" customHeight="1">
      <c r="C97" s="1"/>
      <c r="D97" s="1"/>
    </row>
    <row r="98" ht="15.75" customHeight="1">
      <c r="C98" s="1"/>
      <c r="D98" s="1"/>
    </row>
    <row r="99" ht="15.75" customHeight="1">
      <c r="C99" s="1"/>
      <c r="D99" s="1"/>
    </row>
    <row r="100" ht="15.75" customHeight="1">
      <c r="C100" s="1"/>
      <c r="D100" s="1"/>
    </row>
    <row r="101" ht="15.75" customHeight="1">
      <c r="C101" s="1"/>
      <c r="D101" s="1"/>
    </row>
    <row r="102" ht="15.75" customHeight="1">
      <c r="C102" s="1"/>
      <c r="D102" s="1"/>
    </row>
    <row r="103" ht="15.75" customHeight="1">
      <c r="C103" s="1"/>
      <c r="D103" s="1"/>
    </row>
    <row r="104" ht="15.75" customHeight="1">
      <c r="C104" s="1"/>
      <c r="D104" s="1"/>
    </row>
    <row r="105" ht="15.75" customHeight="1">
      <c r="C105" s="1"/>
      <c r="D105" s="1"/>
    </row>
    <row r="106" ht="15.75" customHeight="1">
      <c r="C106" s="1"/>
      <c r="D106" s="1"/>
    </row>
    <row r="107" ht="15.75" customHeight="1">
      <c r="C107" s="1"/>
      <c r="D107" s="1"/>
    </row>
    <row r="108" ht="15.75" customHeight="1">
      <c r="C108" s="1"/>
      <c r="D108" s="1"/>
    </row>
    <row r="109" ht="15.75" customHeight="1">
      <c r="C109" s="1"/>
      <c r="D109" s="1"/>
    </row>
    <row r="110" ht="15.75" customHeight="1">
      <c r="C110" s="1"/>
      <c r="D110" s="1"/>
    </row>
    <row r="111" ht="15.75" customHeight="1">
      <c r="C111" s="1"/>
      <c r="D111" s="1"/>
    </row>
    <row r="112" ht="15.75" customHeight="1">
      <c r="C112" s="1"/>
      <c r="D112" s="1"/>
    </row>
    <row r="113" ht="15.75" customHeight="1">
      <c r="C113" s="1"/>
      <c r="D113" s="1"/>
    </row>
    <row r="114" ht="15.75" customHeight="1">
      <c r="C114" s="1"/>
      <c r="D114" s="1"/>
    </row>
    <row r="115" ht="15.75" customHeight="1">
      <c r="C115" s="1"/>
      <c r="D115" s="1"/>
    </row>
    <row r="116" ht="15.75" customHeight="1">
      <c r="C116" s="1"/>
      <c r="D116" s="1"/>
    </row>
    <row r="117" ht="15.75" customHeight="1">
      <c r="C117" s="1"/>
      <c r="D117" s="1"/>
    </row>
    <row r="118" ht="15.75" customHeight="1">
      <c r="C118" s="1"/>
      <c r="D118" s="1"/>
    </row>
    <row r="119" ht="15.75" customHeight="1">
      <c r="C119" s="1"/>
      <c r="D119" s="1"/>
    </row>
    <row r="120" ht="15.75" customHeight="1">
      <c r="C120" s="1"/>
      <c r="D120" s="1"/>
    </row>
    <row r="121" ht="15.75" customHeight="1">
      <c r="C121" s="1"/>
      <c r="D121" s="1"/>
    </row>
    <row r="122" ht="15.75" customHeight="1">
      <c r="C122" s="1"/>
      <c r="D122" s="1"/>
    </row>
    <row r="123" ht="15.75" customHeight="1">
      <c r="C123" s="1"/>
      <c r="D123" s="1"/>
    </row>
    <row r="124" ht="15.75" customHeight="1">
      <c r="C124" s="1"/>
      <c r="D124" s="1"/>
    </row>
    <row r="125" ht="15.75" customHeight="1">
      <c r="C125" s="1"/>
      <c r="D125" s="1"/>
    </row>
    <row r="126" ht="15.75" customHeight="1">
      <c r="C126" s="1"/>
      <c r="D126" s="1"/>
    </row>
    <row r="127" ht="15.75" customHeight="1">
      <c r="C127" s="1"/>
      <c r="D127" s="1"/>
    </row>
    <row r="128" ht="15.75" customHeight="1">
      <c r="C128" s="1"/>
      <c r="D128" s="1"/>
    </row>
    <row r="129" ht="15.75" customHeight="1">
      <c r="C129" s="1"/>
      <c r="D129" s="1"/>
    </row>
    <row r="130" ht="15.75" customHeight="1">
      <c r="C130" s="1"/>
      <c r="D130" s="1"/>
    </row>
    <row r="131" ht="15.75" customHeight="1">
      <c r="C131" s="1"/>
      <c r="D131" s="1"/>
    </row>
    <row r="132" ht="15.75" customHeight="1">
      <c r="C132" s="1"/>
      <c r="D132" s="1"/>
    </row>
    <row r="133" ht="15.75" customHeight="1">
      <c r="C133" s="1"/>
      <c r="D133" s="1"/>
    </row>
    <row r="134" ht="15.75" customHeight="1">
      <c r="C134" s="1"/>
      <c r="D134" s="1"/>
    </row>
    <row r="135" ht="15.75" customHeight="1">
      <c r="C135" s="1"/>
      <c r="D135" s="1"/>
    </row>
    <row r="136" ht="15.75" customHeight="1">
      <c r="C136" s="1"/>
      <c r="D136" s="1"/>
    </row>
    <row r="137" ht="15.75" customHeight="1">
      <c r="C137" s="1"/>
      <c r="D137" s="1"/>
    </row>
    <row r="138" ht="15.75" customHeight="1">
      <c r="C138" s="1"/>
      <c r="D138" s="1"/>
    </row>
    <row r="139" ht="15.75" customHeight="1">
      <c r="C139" s="1"/>
      <c r="D139" s="1"/>
    </row>
    <row r="140" ht="15.75" customHeight="1">
      <c r="C140" s="1"/>
      <c r="D140" s="1"/>
    </row>
    <row r="141" ht="15.75" customHeight="1">
      <c r="C141" s="1"/>
      <c r="D141" s="1"/>
    </row>
    <row r="142" ht="15.75" customHeight="1">
      <c r="C142" s="1"/>
      <c r="D142" s="1"/>
    </row>
    <row r="143" ht="15.75" customHeight="1">
      <c r="C143" s="1"/>
      <c r="D143" s="1"/>
    </row>
    <row r="144" ht="15.75" customHeight="1">
      <c r="C144" s="1"/>
      <c r="D144" s="1"/>
    </row>
    <row r="145" ht="15.75" customHeight="1">
      <c r="C145" s="1"/>
      <c r="D145" s="1"/>
    </row>
    <row r="146" ht="15.75" customHeight="1">
      <c r="C146" s="1"/>
      <c r="D146" s="1"/>
    </row>
    <row r="147" ht="15.75" customHeight="1">
      <c r="C147" s="1"/>
      <c r="D147" s="1"/>
    </row>
    <row r="148" ht="15.75" customHeight="1">
      <c r="C148" s="1"/>
      <c r="D148" s="1"/>
    </row>
    <row r="149" ht="15.75" customHeight="1">
      <c r="C149" s="1"/>
      <c r="D149" s="1"/>
    </row>
    <row r="150" ht="15.75" customHeight="1">
      <c r="C150" s="1"/>
      <c r="D150" s="1"/>
    </row>
    <row r="151" ht="15.75" customHeight="1">
      <c r="C151" s="1"/>
      <c r="D151" s="1"/>
    </row>
    <row r="152" ht="15.75" customHeight="1">
      <c r="C152" s="1"/>
      <c r="D152" s="1"/>
    </row>
    <row r="153" ht="15.75" customHeight="1">
      <c r="C153" s="1"/>
      <c r="D153" s="1"/>
    </row>
    <row r="154" ht="15.75" customHeight="1">
      <c r="C154" s="1"/>
      <c r="D154" s="1"/>
    </row>
    <row r="155" ht="15.75" customHeight="1">
      <c r="C155" s="1"/>
      <c r="D155" s="1"/>
    </row>
    <row r="156" ht="15.75" customHeight="1">
      <c r="C156" s="1"/>
      <c r="D156" s="1"/>
    </row>
    <row r="157" ht="15.75" customHeight="1">
      <c r="C157" s="1"/>
      <c r="D157" s="1"/>
    </row>
    <row r="158" ht="15.75" customHeight="1">
      <c r="C158" s="1"/>
      <c r="D158" s="1"/>
    </row>
    <row r="159" ht="15.75" customHeight="1">
      <c r="C159" s="1"/>
      <c r="D159" s="1"/>
    </row>
    <row r="160" ht="15.75" customHeight="1">
      <c r="C160" s="1"/>
      <c r="D160" s="1"/>
    </row>
    <row r="161" ht="15.75" customHeight="1">
      <c r="C161" s="1"/>
      <c r="D161" s="1"/>
    </row>
    <row r="162" ht="15.75" customHeight="1">
      <c r="C162" s="1"/>
      <c r="D162" s="1"/>
    </row>
    <row r="163" ht="15.75" customHeight="1">
      <c r="C163" s="1"/>
      <c r="D163" s="1"/>
    </row>
    <row r="164" ht="15.75" customHeight="1">
      <c r="C164" s="1"/>
      <c r="D164" s="1"/>
    </row>
    <row r="165" ht="15.75" customHeight="1">
      <c r="C165" s="1"/>
      <c r="D165" s="1"/>
    </row>
    <row r="166" ht="15.75" customHeight="1">
      <c r="C166" s="1"/>
      <c r="D166" s="1"/>
    </row>
    <row r="167" ht="15.75" customHeight="1">
      <c r="C167" s="1"/>
      <c r="D167" s="1"/>
    </row>
    <row r="168" ht="15.75" customHeight="1">
      <c r="C168" s="1"/>
      <c r="D168" s="1"/>
    </row>
    <row r="169" ht="15.75" customHeight="1">
      <c r="C169" s="1"/>
      <c r="D169" s="1"/>
    </row>
    <row r="170" ht="15.75" customHeight="1">
      <c r="C170" s="1"/>
      <c r="D170" s="1"/>
    </row>
    <row r="171" ht="15.75" customHeight="1">
      <c r="C171" s="1"/>
      <c r="D171" s="1"/>
    </row>
    <row r="172" ht="15.75" customHeight="1">
      <c r="C172" s="1"/>
      <c r="D172" s="1"/>
    </row>
    <row r="173" ht="15.75" customHeight="1">
      <c r="C173" s="1"/>
      <c r="D173" s="1"/>
    </row>
    <row r="174" ht="15.75" customHeight="1">
      <c r="C174" s="1"/>
      <c r="D174" s="1"/>
    </row>
    <row r="175" ht="15.75" customHeight="1">
      <c r="C175" s="1"/>
      <c r="D175" s="1"/>
    </row>
    <row r="176" ht="15.75" customHeight="1">
      <c r="C176" s="1"/>
      <c r="D176" s="1"/>
    </row>
    <row r="177" ht="15.75" customHeight="1">
      <c r="C177" s="1"/>
      <c r="D177" s="1"/>
    </row>
    <row r="178" ht="15.75" customHeight="1">
      <c r="C178" s="1"/>
      <c r="D178" s="1"/>
    </row>
    <row r="179" ht="15.75" customHeight="1">
      <c r="C179" s="1"/>
      <c r="D179" s="1"/>
    </row>
    <row r="180" ht="15.75" customHeight="1">
      <c r="C180" s="1"/>
      <c r="D180" s="1"/>
    </row>
    <row r="181" ht="15.75" customHeight="1">
      <c r="C181" s="1"/>
      <c r="D181" s="1"/>
    </row>
    <row r="182" ht="15.75" customHeight="1">
      <c r="C182" s="1"/>
      <c r="D182" s="1"/>
    </row>
    <row r="183" ht="15.75" customHeight="1">
      <c r="C183" s="1"/>
      <c r="D183" s="1"/>
    </row>
    <row r="184" ht="15.75" customHeight="1">
      <c r="C184" s="1"/>
      <c r="D184" s="1"/>
    </row>
    <row r="185" ht="15.75" customHeight="1">
      <c r="C185" s="1"/>
      <c r="D185" s="1"/>
    </row>
    <row r="186" ht="15.75" customHeight="1">
      <c r="C186" s="1"/>
      <c r="D186" s="1"/>
    </row>
    <row r="187" ht="15.75" customHeight="1">
      <c r="C187" s="1"/>
      <c r="D187" s="1"/>
    </row>
    <row r="188" ht="15.75" customHeight="1">
      <c r="C188" s="1"/>
      <c r="D188" s="1"/>
    </row>
    <row r="189" ht="15.75" customHeight="1">
      <c r="C189" s="1"/>
      <c r="D189" s="1"/>
    </row>
    <row r="190" ht="15.75" customHeight="1">
      <c r="C190" s="1"/>
      <c r="D190" s="1"/>
    </row>
    <row r="191" ht="15.75" customHeight="1">
      <c r="C191" s="1"/>
      <c r="D191" s="1"/>
    </row>
    <row r="192" ht="15.75" customHeight="1">
      <c r="C192" s="1"/>
      <c r="D192" s="1"/>
    </row>
    <row r="193" ht="15.75" customHeight="1">
      <c r="C193" s="1"/>
      <c r="D193" s="1"/>
    </row>
    <row r="194" ht="15.75" customHeight="1">
      <c r="C194" s="1"/>
      <c r="D194" s="1"/>
    </row>
    <row r="195" ht="15.75" customHeight="1">
      <c r="C195" s="1"/>
      <c r="D195" s="1"/>
    </row>
    <row r="196" ht="15.75" customHeight="1">
      <c r="C196" s="1"/>
      <c r="D196" s="1"/>
    </row>
    <row r="197" ht="15.75" customHeight="1">
      <c r="C197" s="1"/>
      <c r="D197" s="1"/>
    </row>
    <row r="198" ht="15.75" customHeight="1">
      <c r="C198" s="1"/>
      <c r="D198" s="1"/>
    </row>
    <row r="199" ht="15.75" customHeight="1">
      <c r="C199" s="1"/>
      <c r="D199" s="1"/>
    </row>
    <row r="200" ht="15.75" customHeight="1">
      <c r="C200" s="1"/>
      <c r="D200" s="1"/>
    </row>
    <row r="201" ht="15.75" customHeight="1">
      <c r="C201" s="1"/>
      <c r="D201" s="1"/>
    </row>
    <row r="202" ht="15.75" customHeight="1">
      <c r="C202" s="1"/>
      <c r="D202" s="1"/>
    </row>
    <row r="203" ht="15.75" customHeight="1">
      <c r="C203" s="1"/>
      <c r="D203" s="1"/>
    </row>
    <row r="204" ht="15.75" customHeight="1">
      <c r="C204" s="1"/>
      <c r="D204" s="1"/>
    </row>
    <row r="205" ht="15.75" customHeight="1">
      <c r="C205" s="1"/>
      <c r="D205" s="1"/>
    </row>
    <row r="206" ht="15.75" customHeight="1">
      <c r="C206" s="1"/>
      <c r="D206" s="1"/>
    </row>
    <row r="207" ht="15.75" customHeight="1">
      <c r="C207" s="1"/>
      <c r="D207" s="1"/>
    </row>
    <row r="208" ht="15.75" customHeight="1">
      <c r="C208" s="1"/>
      <c r="D208" s="1"/>
    </row>
    <row r="209" ht="15.75" customHeight="1">
      <c r="C209" s="1"/>
      <c r="D209" s="1"/>
    </row>
    <row r="210" ht="15.75" customHeight="1">
      <c r="C210" s="1"/>
      <c r="D210" s="1"/>
    </row>
    <row r="211" ht="15.75" customHeight="1">
      <c r="C211" s="1"/>
      <c r="D211" s="1"/>
    </row>
    <row r="212" ht="15.75" customHeight="1">
      <c r="C212" s="1"/>
      <c r="D212" s="1"/>
    </row>
    <row r="213" ht="15.75" customHeight="1">
      <c r="C213" s="1"/>
      <c r="D213" s="1"/>
    </row>
    <row r="214" ht="15.75" customHeight="1">
      <c r="C214" s="1"/>
      <c r="D214" s="1"/>
    </row>
    <row r="215" ht="15.75" customHeight="1">
      <c r="C215" s="1"/>
      <c r="D215" s="1"/>
    </row>
    <row r="216" ht="15.75" customHeight="1">
      <c r="C216" s="1"/>
      <c r="D216" s="1"/>
    </row>
    <row r="217" ht="15.75" customHeight="1">
      <c r="C217" s="1"/>
      <c r="D217" s="1"/>
    </row>
    <row r="218" ht="15.75" customHeight="1">
      <c r="C218" s="1"/>
      <c r="D218" s="1"/>
    </row>
    <row r="219" ht="15.75" customHeight="1">
      <c r="C219" s="1"/>
      <c r="D219" s="1"/>
    </row>
    <row r="220" ht="15.75" customHeight="1">
      <c r="C220" s="1"/>
      <c r="D220" s="1"/>
    </row>
    <row r="221" ht="15.75" customHeight="1">
      <c r="C221" s="1"/>
      <c r="D221" s="1"/>
    </row>
    <row r="222" ht="15.75" customHeight="1">
      <c r="C222" s="1"/>
      <c r="D222" s="1"/>
    </row>
    <row r="223" ht="15.75" customHeight="1">
      <c r="C223" s="1"/>
      <c r="D223" s="1"/>
    </row>
    <row r="224" ht="15.75" customHeight="1">
      <c r="C224" s="1"/>
      <c r="D224" s="1"/>
    </row>
    <row r="225" ht="15.75" customHeight="1">
      <c r="C225" s="1"/>
      <c r="D225" s="1"/>
    </row>
    <row r="226" ht="15.75" customHeight="1">
      <c r="C226" s="1"/>
      <c r="D226" s="1"/>
    </row>
    <row r="227" ht="15.75" customHeight="1">
      <c r="C227" s="1"/>
      <c r="D227" s="1"/>
    </row>
    <row r="228" ht="15.75" customHeight="1">
      <c r="C228" s="1"/>
      <c r="D228" s="1"/>
    </row>
    <row r="229" ht="15.75" customHeight="1">
      <c r="C229" s="1"/>
      <c r="D229" s="1"/>
    </row>
    <row r="230" ht="15.75" customHeight="1">
      <c r="C230" s="1"/>
      <c r="D230" s="1"/>
    </row>
    <row r="231" ht="15.75" customHeight="1">
      <c r="C231" s="1"/>
      <c r="D231" s="1"/>
    </row>
    <row r="232" ht="15.75" customHeight="1">
      <c r="C232" s="1"/>
      <c r="D232" s="1"/>
    </row>
    <row r="233" ht="15.75" customHeight="1">
      <c r="C233" s="1"/>
      <c r="D233" s="1"/>
    </row>
    <row r="234" ht="15.75" customHeight="1">
      <c r="C234" s="1"/>
      <c r="D234" s="1"/>
    </row>
    <row r="235" ht="15.75" customHeight="1">
      <c r="C235" s="1"/>
      <c r="D235" s="1"/>
    </row>
    <row r="236" ht="15.75" customHeight="1">
      <c r="C236" s="1"/>
      <c r="D236" s="1"/>
    </row>
    <row r="237" ht="15.75" customHeight="1">
      <c r="C237" s="1"/>
      <c r="D237" s="1"/>
    </row>
    <row r="238" ht="15.75" customHeight="1">
      <c r="C238" s="1"/>
      <c r="D238" s="1"/>
    </row>
    <row r="239" ht="15.75" customHeight="1">
      <c r="C239" s="1"/>
      <c r="D239" s="1"/>
    </row>
    <row r="240" ht="15.75" customHeight="1">
      <c r="C240" s="1"/>
      <c r="D240" s="1"/>
    </row>
    <row r="241" ht="15.75" customHeight="1">
      <c r="C241" s="1"/>
      <c r="D241" s="1"/>
    </row>
    <row r="242" ht="15.75" customHeight="1">
      <c r="C242" s="1"/>
      <c r="D242" s="1"/>
    </row>
    <row r="243" ht="15.75" customHeight="1">
      <c r="C243" s="1"/>
      <c r="D243" s="1"/>
    </row>
    <row r="244" ht="15.75" customHeight="1">
      <c r="C244" s="1"/>
      <c r="D244" s="1"/>
    </row>
    <row r="245" ht="15.75" customHeight="1">
      <c r="C245" s="1"/>
      <c r="D245" s="1"/>
    </row>
    <row r="246" ht="15.75" customHeight="1">
      <c r="C246" s="1"/>
      <c r="D246" s="1"/>
    </row>
    <row r="247" ht="15.75" customHeight="1">
      <c r="C247" s="1"/>
      <c r="D247" s="1"/>
    </row>
    <row r="248" ht="15.75" customHeight="1">
      <c r="C248" s="1"/>
      <c r="D248" s="1"/>
    </row>
    <row r="249" ht="15.75" customHeight="1">
      <c r="C249" s="1"/>
      <c r="D249" s="1"/>
    </row>
    <row r="250" ht="15.75" customHeight="1">
      <c r="C250" s="1"/>
      <c r="D250" s="1"/>
    </row>
    <row r="251" ht="15.75" customHeight="1">
      <c r="C251" s="1"/>
      <c r="D251" s="1"/>
    </row>
    <row r="252" ht="15.75" customHeight="1">
      <c r="C252" s="1"/>
      <c r="D252" s="1"/>
    </row>
    <row r="253" ht="15.75" customHeight="1">
      <c r="C253" s="1"/>
      <c r="D253" s="1"/>
    </row>
    <row r="254" ht="15.75" customHeight="1">
      <c r="C254" s="1"/>
      <c r="D254" s="1"/>
    </row>
    <row r="255" ht="15.75" customHeight="1">
      <c r="C255" s="1"/>
      <c r="D255" s="1"/>
    </row>
    <row r="256" ht="15.75" customHeight="1">
      <c r="C256" s="1"/>
      <c r="D256" s="1"/>
    </row>
    <row r="257" ht="15.75" customHeight="1">
      <c r="C257" s="1"/>
      <c r="D257" s="1"/>
    </row>
    <row r="258" ht="15.75" customHeight="1">
      <c r="C258" s="1"/>
      <c r="D258" s="1"/>
    </row>
    <row r="259" ht="15.75" customHeight="1">
      <c r="C259" s="1"/>
      <c r="D259" s="1"/>
    </row>
    <row r="260" ht="15.75" customHeight="1">
      <c r="C260" s="1"/>
      <c r="D260" s="1"/>
    </row>
    <row r="261" ht="15.75" customHeight="1">
      <c r="C261" s="1"/>
      <c r="D261" s="1"/>
    </row>
    <row r="262" ht="15.75" customHeight="1">
      <c r="C262" s="1"/>
      <c r="D262" s="1"/>
    </row>
    <row r="263" ht="15.75" customHeight="1">
      <c r="C263" s="1"/>
      <c r="D263" s="1"/>
    </row>
    <row r="264" ht="15.75" customHeight="1">
      <c r="C264" s="1"/>
      <c r="D264" s="1"/>
    </row>
    <row r="265" ht="15.75" customHeight="1">
      <c r="C265" s="1"/>
      <c r="D265" s="1"/>
    </row>
    <row r="266" ht="15.75" customHeight="1">
      <c r="C266" s="1"/>
      <c r="D266" s="1"/>
    </row>
    <row r="267" ht="15.75" customHeight="1">
      <c r="C267" s="1"/>
      <c r="D267" s="1"/>
    </row>
    <row r="268" ht="15.75" customHeight="1">
      <c r="C268" s="1"/>
      <c r="D268" s="1"/>
    </row>
    <row r="269" ht="15.75" customHeight="1">
      <c r="C269" s="1"/>
      <c r="D269" s="1"/>
    </row>
    <row r="270" ht="15.75" customHeight="1">
      <c r="C270" s="1"/>
      <c r="D270" s="1"/>
    </row>
    <row r="271" ht="15.75" customHeight="1">
      <c r="C271" s="1"/>
      <c r="D271" s="1"/>
    </row>
    <row r="272" ht="15.75" customHeight="1">
      <c r="C272" s="1"/>
      <c r="D272" s="1"/>
    </row>
    <row r="273" ht="15.75" customHeight="1">
      <c r="C273" s="1"/>
      <c r="D273" s="1"/>
    </row>
    <row r="274" ht="15.75" customHeight="1">
      <c r="C274" s="1"/>
      <c r="D274" s="1"/>
    </row>
    <row r="275" ht="15.75" customHeight="1">
      <c r="C275" s="1"/>
      <c r="D275" s="1"/>
    </row>
    <row r="276" ht="15.75" customHeight="1">
      <c r="C276" s="1"/>
      <c r="D276" s="1"/>
    </row>
    <row r="277" ht="15.75" customHeight="1">
      <c r="C277" s="1"/>
      <c r="D277" s="1"/>
    </row>
    <row r="278" ht="15.75" customHeight="1">
      <c r="C278" s="1"/>
      <c r="D278" s="1"/>
    </row>
    <row r="279" ht="15.75" customHeight="1">
      <c r="C279" s="1"/>
      <c r="D279" s="1"/>
    </row>
    <row r="280" ht="15.75" customHeight="1">
      <c r="C280" s="1"/>
      <c r="D280" s="1"/>
    </row>
    <row r="281" ht="15.75" customHeight="1">
      <c r="C281" s="1"/>
      <c r="D281" s="1"/>
    </row>
    <row r="282" ht="15.75" customHeight="1">
      <c r="C282" s="1"/>
      <c r="D282" s="1"/>
    </row>
    <row r="283" ht="15.75" customHeight="1">
      <c r="C283" s="1"/>
      <c r="D283" s="1"/>
    </row>
    <row r="284" ht="15.75" customHeight="1">
      <c r="C284" s="1"/>
      <c r="D284" s="1"/>
    </row>
    <row r="285" ht="15.75" customHeight="1">
      <c r="C285" s="1"/>
      <c r="D285" s="1"/>
    </row>
    <row r="286" ht="15.75" customHeight="1">
      <c r="C286" s="1"/>
      <c r="D286" s="1"/>
    </row>
    <row r="287" ht="15.75" customHeight="1">
      <c r="C287" s="1"/>
      <c r="D287" s="1"/>
    </row>
    <row r="288" ht="15.75" customHeight="1">
      <c r="C288" s="1"/>
      <c r="D288" s="1"/>
    </row>
    <row r="289" ht="15.75" customHeight="1">
      <c r="C289" s="1"/>
      <c r="D289" s="1"/>
    </row>
    <row r="290" ht="15.75" customHeight="1">
      <c r="C290" s="1"/>
      <c r="D290" s="1"/>
    </row>
    <row r="291" ht="15.75" customHeight="1">
      <c r="C291" s="1"/>
      <c r="D291" s="1"/>
    </row>
    <row r="292" ht="15.75" customHeight="1">
      <c r="C292" s="1"/>
      <c r="D292" s="1"/>
    </row>
    <row r="293" ht="15.75" customHeight="1">
      <c r="C293" s="1"/>
      <c r="D293" s="1"/>
    </row>
    <row r="294" ht="15.75" customHeight="1">
      <c r="C294" s="1"/>
      <c r="D294" s="1"/>
    </row>
    <row r="295" ht="15.75" customHeight="1">
      <c r="C295" s="1"/>
      <c r="D295" s="1"/>
    </row>
    <row r="296" ht="15.75" customHeight="1">
      <c r="C296" s="1"/>
      <c r="D296" s="1"/>
    </row>
    <row r="297" ht="15.75" customHeight="1">
      <c r="C297" s="1"/>
      <c r="D297" s="1"/>
    </row>
    <row r="298" ht="15.75" customHeight="1">
      <c r="C298" s="1"/>
      <c r="D298" s="1"/>
    </row>
    <row r="299" ht="15.75" customHeight="1">
      <c r="C299" s="1"/>
      <c r="D299" s="1"/>
    </row>
    <row r="300" ht="15.75" customHeight="1">
      <c r="C300" s="1"/>
      <c r="D300" s="1"/>
    </row>
    <row r="301" ht="15.75" customHeight="1">
      <c r="C301" s="1"/>
      <c r="D301" s="1"/>
    </row>
    <row r="302" ht="15.75" customHeight="1">
      <c r="C302" s="1"/>
      <c r="D302" s="1"/>
    </row>
    <row r="303" ht="15.75" customHeight="1">
      <c r="C303" s="1"/>
      <c r="D303" s="1"/>
    </row>
    <row r="304" ht="15.75" customHeight="1">
      <c r="C304" s="1"/>
      <c r="D304" s="1"/>
    </row>
    <row r="305" ht="15.75" customHeight="1">
      <c r="C305" s="1"/>
      <c r="D305" s="1"/>
    </row>
    <row r="306" ht="15.75" customHeight="1">
      <c r="C306" s="1"/>
      <c r="D306" s="1"/>
    </row>
    <row r="307" ht="15.75" customHeight="1">
      <c r="C307" s="1"/>
      <c r="D307" s="1"/>
    </row>
    <row r="308" ht="15.75" customHeight="1">
      <c r="C308" s="1"/>
      <c r="D308" s="1"/>
    </row>
    <row r="309" ht="15.75" customHeight="1">
      <c r="C309" s="1"/>
      <c r="D309" s="1"/>
    </row>
    <row r="310" ht="15.75" customHeight="1">
      <c r="C310" s="1"/>
      <c r="D310" s="1"/>
    </row>
    <row r="311" ht="15.75" customHeight="1">
      <c r="C311" s="1"/>
      <c r="D311" s="1"/>
    </row>
    <row r="312" ht="15.75" customHeight="1">
      <c r="C312" s="1"/>
      <c r="D312" s="1"/>
    </row>
    <row r="313" ht="15.75" customHeight="1">
      <c r="C313" s="1"/>
      <c r="D313" s="1"/>
    </row>
    <row r="314" ht="15.75" customHeight="1">
      <c r="C314" s="1"/>
      <c r="D314" s="1"/>
    </row>
    <row r="315" ht="15.75" customHeight="1">
      <c r="C315" s="1"/>
      <c r="D315" s="1"/>
    </row>
    <row r="316" ht="15.75" customHeight="1">
      <c r="C316" s="1"/>
      <c r="D316" s="1"/>
    </row>
    <row r="317" ht="15.75" customHeight="1">
      <c r="C317" s="1"/>
      <c r="D317" s="1"/>
    </row>
    <row r="318" ht="15.75" customHeight="1">
      <c r="C318" s="1"/>
      <c r="D318" s="1"/>
    </row>
    <row r="319" ht="15.75" customHeight="1">
      <c r="C319" s="1"/>
      <c r="D319" s="1"/>
    </row>
    <row r="320" ht="15.75" customHeight="1">
      <c r="C320" s="1"/>
      <c r="D320" s="1"/>
    </row>
    <row r="321" ht="15.75" customHeight="1">
      <c r="C321" s="1"/>
      <c r="D321" s="1"/>
    </row>
    <row r="322" ht="15.75" customHeight="1">
      <c r="C322" s="1"/>
      <c r="D322" s="1"/>
    </row>
    <row r="323" ht="15.75" customHeight="1">
      <c r="C323" s="1"/>
      <c r="D323" s="1"/>
    </row>
    <row r="324" ht="15.75" customHeight="1">
      <c r="C324" s="1"/>
      <c r="D324" s="1"/>
    </row>
    <row r="325" ht="15.75" customHeight="1">
      <c r="C325" s="1"/>
      <c r="D325" s="1"/>
    </row>
    <row r="326" ht="15.75" customHeight="1">
      <c r="C326" s="1"/>
      <c r="D326" s="1"/>
    </row>
    <row r="327" ht="15.75" customHeight="1">
      <c r="C327" s="1"/>
      <c r="D327" s="1"/>
    </row>
    <row r="328" ht="15.75" customHeight="1">
      <c r="C328" s="1"/>
      <c r="D328" s="1"/>
    </row>
    <row r="329" ht="15.75" customHeight="1">
      <c r="C329" s="1"/>
      <c r="D329" s="1"/>
    </row>
    <row r="330" ht="15.75" customHeight="1">
      <c r="C330" s="1"/>
      <c r="D330" s="1"/>
    </row>
    <row r="331" ht="15.75" customHeight="1">
      <c r="C331" s="1"/>
      <c r="D331" s="1"/>
    </row>
    <row r="332" ht="15.75" customHeight="1">
      <c r="C332" s="1"/>
      <c r="D332" s="1"/>
    </row>
    <row r="333" ht="15.75" customHeight="1">
      <c r="C333" s="1"/>
      <c r="D333" s="1"/>
    </row>
    <row r="334" ht="15.75" customHeight="1">
      <c r="C334" s="1"/>
      <c r="D334" s="1"/>
    </row>
    <row r="335" ht="15.75" customHeight="1">
      <c r="C335" s="1"/>
      <c r="D335" s="1"/>
    </row>
    <row r="336" ht="15.75" customHeight="1">
      <c r="C336" s="1"/>
      <c r="D336" s="1"/>
    </row>
    <row r="337" ht="15.75" customHeight="1">
      <c r="C337" s="1"/>
      <c r="D337" s="1"/>
    </row>
    <row r="338" ht="15.75" customHeight="1">
      <c r="C338" s="1"/>
      <c r="D338" s="1"/>
    </row>
    <row r="339" ht="15.75" customHeight="1">
      <c r="C339" s="1"/>
      <c r="D339" s="1"/>
    </row>
    <row r="340" ht="15.75" customHeight="1">
      <c r="C340" s="1"/>
      <c r="D340" s="1"/>
    </row>
    <row r="341" ht="15.75" customHeight="1">
      <c r="C341" s="1"/>
      <c r="D341" s="1"/>
    </row>
    <row r="342" ht="15.75" customHeight="1">
      <c r="C342" s="1"/>
      <c r="D342" s="1"/>
    </row>
    <row r="343" ht="15.75" customHeight="1">
      <c r="C343" s="1"/>
      <c r="D343" s="1"/>
    </row>
    <row r="344" ht="15.75" customHeight="1">
      <c r="C344" s="1"/>
      <c r="D344" s="1"/>
    </row>
    <row r="345" ht="15.75" customHeight="1">
      <c r="C345" s="1"/>
      <c r="D345" s="1"/>
    </row>
    <row r="346" ht="15.75" customHeight="1">
      <c r="C346" s="1"/>
      <c r="D346" s="1"/>
    </row>
    <row r="347" ht="15.75" customHeight="1">
      <c r="C347" s="1"/>
      <c r="D347" s="1"/>
    </row>
    <row r="348" ht="15.75" customHeight="1">
      <c r="C348" s="1"/>
      <c r="D348" s="1"/>
    </row>
    <row r="349" ht="15.75" customHeight="1">
      <c r="C349" s="1"/>
      <c r="D349" s="1"/>
    </row>
    <row r="350" ht="15.75" customHeight="1">
      <c r="C350" s="1"/>
      <c r="D350" s="1"/>
    </row>
    <row r="351" ht="15.75" customHeight="1">
      <c r="C351" s="1"/>
      <c r="D351" s="1"/>
    </row>
    <row r="352" ht="15.75" customHeight="1">
      <c r="C352" s="1"/>
      <c r="D352" s="1"/>
    </row>
    <row r="353" ht="15.75" customHeight="1">
      <c r="C353" s="1"/>
      <c r="D353" s="1"/>
    </row>
    <row r="354" ht="15.75" customHeight="1">
      <c r="C354" s="1"/>
      <c r="D354" s="1"/>
    </row>
    <row r="355" ht="15.75" customHeight="1">
      <c r="C355" s="1"/>
      <c r="D355" s="1"/>
    </row>
    <row r="356" ht="15.75" customHeight="1">
      <c r="C356" s="1"/>
      <c r="D356" s="1"/>
    </row>
    <row r="357" ht="15.75" customHeight="1">
      <c r="C357" s="1"/>
      <c r="D357" s="1"/>
    </row>
    <row r="358" ht="15.75" customHeight="1">
      <c r="C358" s="1"/>
      <c r="D358" s="1"/>
    </row>
    <row r="359" ht="15.75" customHeight="1">
      <c r="C359" s="1"/>
      <c r="D359" s="1"/>
    </row>
    <row r="360" ht="15.75" customHeight="1">
      <c r="C360" s="1"/>
      <c r="D360" s="1"/>
    </row>
    <row r="361" ht="15.75" customHeight="1">
      <c r="C361" s="1"/>
      <c r="D361" s="1"/>
    </row>
    <row r="362" ht="15.75" customHeight="1">
      <c r="C362" s="1"/>
      <c r="D362" s="1"/>
    </row>
    <row r="363" ht="15.75" customHeight="1">
      <c r="C363" s="1"/>
      <c r="D363" s="1"/>
    </row>
    <row r="364" ht="15.75" customHeight="1">
      <c r="C364" s="1"/>
      <c r="D364" s="1"/>
    </row>
    <row r="365" ht="15.75" customHeight="1">
      <c r="C365" s="1"/>
      <c r="D365" s="1"/>
    </row>
    <row r="366" ht="15.75" customHeight="1">
      <c r="C366" s="1"/>
      <c r="D366" s="1"/>
    </row>
    <row r="367" ht="15.75" customHeight="1">
      <c r="C367" s="1"/>
      <c r="D367" s="1"/>
    </row>
    <row r="368" ht="15.75" customHeight="1">
      <c r="C368" s="1"/>
      <c r="D368" s="1"/>
    </row>
    <row r="369" ht="15.75" customHeight="1">
      <c r="C369" s="1"/>
      <c r="D369" s="1"/>
    </row>
    <row r="370" ht="15.75" customHeight="1">
      <c r="C370" s="1"/>
      <c r="D370" s="1"/>
    </row>
    <row r="371" ht="15.75" customHeight="1">
      <c r="C371" s="1"/>
      <c r="D371" s="1"/>
    </row>
    <row r="372" ht="15.75" customHeight="1">
      <c r="C372" s="1"/>
      <c r="D372" s="1"/>
    </row>
    <row r="373" ht="15.75" customHeight="1">
      <c r="C373" s="1"/>
      <c r="D373" s="1"/>
    </row>
    <row r="374" ht="15.75" customHeight="1">
      <c r="C374" s="1"/>
      <c r="D374" s="1"/>
    </row>
    <row r="375" ht="15.75" customHeight="1">
      <c r="C375" s="1"/>
      <c r="D375" s="1"/>
    </row>
    <row r="376" ht="15.75" customHeight="1">
      <c r="C376" s="1"/>
      <c r="D376" s="1"/>
    </row>
    <row r="377" ht="15.75" customHeight="1">
      <c r="C377" s="1"/>
      <c r="D377" s="1"/>
    </row>
    <row r="378" ht="15.75" customHeight="1">
      <c r="C378" s="1"/>
      <c r="D378" s="1"/>
    </row>
    <row r="379" ht="15.75" customHeight="1">
      <c r="C379" s="1"/>
      <c r="D379" s="1"/>
    </row>
    <row r="380" ht="15.75" customHeight="1">
      <c r="C380" s="1"/>
      <c r="D380" s="1"/>
    </row>
    <row r="381" ht="15.75" customHeight="1">
      <c r="C381" s="1"/>
      <c r="D381" s="1"/>
    </row>
    <row r="382" ht="15.75" customHeight="1">
      <c r="C382" s="1"/>
      <c r="D382" s="1"/>
    </row>
    <row r="383" ht="15.75" customHeight="1">
      <c r="C383" s="1"/>
      <c r="D383" s="1"/>
    </row>
    <row r="384" ht="15.75" customHeight="1">
      <c r="C384" s="1"/>
      <c r="D384" s="1"/>
    </row>
    <row r="385" ht="15.75" customHeight="1">
      <c r="C385" s="1"/>
      <c r="D385" s="1"/>
    </row>
    <row r="386" ht="15.75" customHeight="1">
      <c r="C386" s="1"/>
      <c r="D386" s="1"/>
    </row>
    <row r="387" ht="15.75" customHeight="1">
      <c r="C387" s="1"/>
      <c r="D387" s="1"/>
    </row>
    <row r="388" ht="15.75" customHeight="1">
      <c r="C388" s="1"/>
      <c r="D388" s="1"/>
    </row>
    <row r="389" ht="15.75" customHeight="1">
      <c r="C389" s="1"/>
      <c r="D389" s="1"/>
    </row>
    <row r="390" ht="15.75" customHeight="1">
      <c r="C390" s="1"/>
      <c r="D390" s="1"/>
    </row>
    <row r="391" ht="15.75" customHeight="1">
      <c r="C391" s="1"/>
      <c r="D391" s="1"/>
    </row>
    <row r="392" ht="15.75" customHeight="1">
      <c r="C392" s="1"/>
      <c r="D392" s="1"/>
    </row>
    <row r="393" ht="15.75" customHeight="1">
      <c r="C393" s="1"/>
      <c r="D393" s="1"/>
    </row>
    <row r="394" ht="15.75" customHeight="1">
      <c r="C394" s="1"/>
      <c r="D394" s="1"/>
    </row>
    <row r="395" ht="15.75" customHeight="1">
      <c r="C395" s="1"/>
      <c r="D395" s="1"/>
    </row>
    <row r="396" ht="15.75" customHeight="1">
      <c r="C396" s="1"/>
      <c r="D396" s="1"/>
    </row>
    <row r="397" ht="15.75" customHeight="1">
      <c r="C397" s="1"/>
      <c r="D397" s="1"/>
    </row>
    <row r="398" ht="15.75" customHeight="1">
      <c r="C398" s="1"/>
      <c r="D398" s="1"/>
    </row>
    <row r="399" ht="15.75" customHeight="1">
      <c r="C399" s="1"/>
      <c r="D399" s="1"/>
    </row>
    <row r="400" ht="15.75" customHeight="1">
      <c r="C400" s="1"/>
      <c r="D400" s="1"/>
    </row>
    <row r="401" ht="15.75" customHeight="1">
      <c r="C401" s="1"/>
      <c r="D401" s="1"/>
    </row>
    <row r="402" ht="15.75" customHeight="1">
      <c r="C402" s="1"/>
      <c r="D402" s="1"/>
    </row>
    <row r="403" ht="15.75" customHeight="1">
      <c r="C403" s="1"/>
      <c r="D403" s="1"/>
    </row>
    <row r="404" ht="15.75" customHeight="1">
      <c r="C404" s="1"/>
      <c r="D404" s="1"/>
    </row>
    <row r="405" ht="15.75" customHeight="1">
      <c r="C405" s="1"/>
      <c r="D405" s="1"/>
    </row>
    <row r="406" ht="15.75" customHeight="1">
      <c r="C406" s="1"/>
      <c r="D406" s="1"/>
    </row>
    <row r="407" ht="15.75" customHeight="1">
      <c r="C407" s="1"/>
      <c r="D407" s="1"/>
    </row>
    <row r="408" ht="15.75" customHeight="1">
      <c r="C408" s="1"/>
      <c r="D408" s="1"/>
    </row>
    <row r="409" ht="15.75" customHeight="1">
      <c r="C409" s="1"/>
      <c r="D409" s="1"/>
    </row>
    <row r="410" ht="15.75" customHeight="1">
      <c r="C410" s="1"/>
      <c r="D410" s="1"/>
    </row>
    <row r="411" ht="15.75" customHeight="1">
      <c r="C411" s="1"/>
      <c r="D411" s="1"/>
    </row>
    <row r="412" ht="15.75" customHeight="1">
      <c r="C412" s="1"/>
      <c r="D412" s="1"/>
    </row>
    <row r="413" ht="15.75" customHeight="1">
      <c r="C413" s="1"/>
      <c r="D413" s="1"/>
    </row>
    <row r="414" ht="15.75" customHeight="1">
      <c r="C414" s="1"/>
      <c r="D414" s="1"/>
    </row>
    <row r="415" ht="15.75" customHeight="1">
      <c r="C415" s="1"/>
      <c r="D415" s="1"/>
    </row>
    <row r="416" ht="15.75" customHeight="1">
      <c r="C416" s="1"/>
      <c r="D416" s="1"/>
    </row>
    <row r="417" ht="15.75" customHeight="1">
      <c r="C417" s="1"/>
      <c r="D417" s="1"/>
    </row>
    <row r="418" ht="15.75" customHeight="1">
      <c r="C418" s="1"/>
      <c r="D418" s="1"/>
    </row>
    <row r="419" ht="15.75" customHeight="1">
      <c r="C419" s="1"/>
      <c r="D419" s="1"/>
    </row>
    <row r="420" ht="15.75" customHeight="1">
      <c r="C420" s="1"/>
      <c r="D420" s="1"/>
    </row>
    <row r="421" ht="15.75" customHeight="1">
      <c r="C421" s="1"/>
      <c r="D421" s="1"/>
    </row>
    <row r="422" ht="15.75" customHeight="1">
      <c r="C422" s="1"/>
      <c r="D422" s="1"/>
    </row>
    <row r="423" ht="15.75" customHeight="1">
      <c r="C423" s="1"/>
      <c r="D423" s="1"/>
    </row>
    <row r="424" ht="15.75" customHeight="1">
      <c r="C424" s="1"/>
      <c r="D424" s="1"/>
    </row>
    <row r="425" ht="15.75" customHeight="1">
      <c r="C425" s="1"/>
      <c r="D425" s="1"/>
    </row>
    <row r="426" ht="15.75" customHeight="1">
      <c r="C426" s="1"/>
      <c r="D426" s="1"/>
    </row>
    <row r="427" ht="15.75" customHeight="1">
      <c r="C427" s="1"/>
      <c r="D427" s="1"/>
    </row>
    <row r="428" ht="15.75" customHeight="1">
      <c r="C428" s="1"/>
      <c r="D428" s="1"/>
    </row>
    <row r="429" ht="15.75" customHeight="1">
      <c r="C429" s="1"/>
      <c r="D429" s="1"/>
    </row>
    <row r="430" ht="15.75" customHeight="1">
      <c r="C430" s="1"/>
      <c r="D430" s="1"/>
    </row>
    <row r="431" ht="15.75" customHeight="1">
      <c r="C431" s="1"/>
      <c r="D431" s="1"/>
    </row>
    <row r="432" ht="15.75" customHeight="1">
      <c r="C432" s="1"/>
      <c r="D432" s="1"/>
    </row>
    <row r="433" ht="15.75" customHeight="1">
      <c r="C433" s="1"/>
      <c r="D433" s="1"/>
    </row>
    <row r="434" ht="15.75" customHeight="1">
      <c r="C434" s="1"/>
      <c r="D434" s="1"/>
    </row>
    <row r="435" ht="15.75" customHeight="1">
      <c r="C435" s="1"/>
      <c r="D435" s="1"/>
    </row>
    <row r="436" ht="15.75" customHeight="1">
      <c r="C436" s="1"/>
      <c r="D436" s="1"/>
    </row>
    <row r="437" ht="15.75" customHeight="1">
      <c r="C437" s="1"/>
      <c r="D437" s="1"/>
    </row>
    <row r="438" ht="15.75" customHeight="1">
      <c r="C438" s="1"/>
      <c r="D438" s="1"/>
    </row>
    <row r="439" ht="15.75" customHeight="1">
      <c r="C439" s="1"/>
      <c r="D439" s="1"/>
    </row>
    <row r="440" ht="15.75" customHeight="1">
      <c r="C440" s="1"/>
      <c r="D440" s="1"/>
    </row>
    <row r="441" ht="15.75" customHeight="1">
      <c r="C441" s="1"/>
      <c r="D441" s="1"/>
    </row>
    <row r="442" ht="15.75" customHeight="1">
      <c r="C442" s="1"/>
      <c r="D442" s="1"/>
    </row>
    <row r="443" ht="15.75" customHeight="1">
      <c r="C443" s="1"/>
      <c r="D443" s="1"/>
    </row>
    <row r="444" ht="15.75" customHeight="1">
      <c r="C444" s="1"/>
      <c r="D444" s="1"/>
    </row>
    <row r="445" ht="15.75" customHeight="1">
      <c r="C445" s="1"/>
      <c r="D445" s="1"/>
    </row>
    <row r="446" ht="15.75" customHeight="1">
      <c r="C446" s="1"/>
      <c r="D446" s="1"/>
    </row>
    <row r="447" ht="15.75" customHeight="1">
      <c r="C447" s="1"/>
      <c r="D447" s="1"/>
    </row>
    <row r="448" ht="15.75" customHeight="1">
      <c r="C448" s="1"/>
      <c r="D448" s="1"/>
    </row>
    <row r="449" ht="15.75" customHeight="1">
      <c r="C449" s="1"/>
      <c r="D449" s="1"/>
    </row>
    <row r="450" ht="15.75" customHeight="1">
      <c r="C450" s="1"/>
      <c r="D450" s="1"/>
    </row>
    <row r="451" ht="15.75" customHeight="1">
      <c r="C451" s="1"/>
      <c r="D451" s="1"/>
    </row>
    <row r="452" ht="15.75" customHeight="1">
      <c r="C452" s="1"/>
      <c r="D452" s="1"/>
    </row>
    <row r="453" ht="15.75" customHeight="1">
      <c r="C453" s="1"/>
      <c r="D453" s="1"/>
    </row>
    <row r="454" ht="15.75" customHeight="1">
      <c r="C454" s="1"/>
      <c r="D454" s="1"/>
    </row>
    <row r="455" ht="15.75" customHeight="1">
      <c r="C455" s="1"/>
      <c r="D455" s="1"/>
    </row>
    <row r="456" ht="15.75" customHeight="1">
      <c r="C456" s="1"/>
      <c r="D456" s="1"/>
    </row>
    <row r="457" ht="15.75" customHeight="1">
      <c r="C457" s="1"/>
      <c r="D457" s="1"/>
    </row>
    <row r="458" ht="15.75" customHeight="1">
      <c r="C458" s="1"/>
      <c r="D458" s="1"/>
    </row>
    <row r="459" ht="15.75" customHeight="1">
      <c r="C459" s="1"/>
      <c r="D459" s="1"/>
    </row>
    <row r="460" ht="15.75" customHeight="1">
      <c r="C460" s="1"/>
      <c r="D460" s="1"/>
    </row>
    <row r="461" ht="15.75" customHeight="1">
      <c r="C461" s="1"/>
      <c r="D461" s="1"/>
    </row>
    <row r="462" ht="15.75" customHeight="1">
      <c r="C462" s="1"/>
      <c r="D462" s="1"/>
    </row>
    <row r="463" ht="15.75" customHeight="1">
      <c r="C463" s="1"/>
      <c r="D463" s="1"/>
    </row>
    <row r="464" ht="15.75" customHeight="1">
      <c r="C464" s="1"/>
      <c r="D464" s="1"/>
    </row>
    <row r="465" ht="15.75" customHeight="1">
      <c r="C465" s="1"/>
      <c r="D465" s="1"/>
    </row>
    <row r="466" ht="15.75" customHeight="1">
      <c r="C466" s="1"/>
      <c r="D466" s="1"/>
    </row>
    <row r="467" ht="15.75" customHeight="1">
      <c r="C467" s="1"/>
      <c r="D467" s="1"/>
    </row>
    <row r="468" ht="15.75" customHeight="1">
      <c r="C468" s="1"/>
      <c r="D468" s="1"/>
    </row>
    <row r="469" ht="15.75" customHeight="1">
      <c r="C469" s="1"/>
      <c r="D469" s="1"/>
    </row>
    <row r="470" ht="15.75" customHeight="1">
      <c r="C470" s="1"/>
      <c r="D470" s="1"/>
    </row>
    <row r="471" ht="15.75" customHeight="1">
      <c r="C471" s="1"/>
      <c r="D471" s="1"/>
    </row>
    <row r="472" ht="15.75" customHeight="1">
      <c r="C472" s="1"/>
      <c r="D472" s="1"/>
    </row>
    <row r="473" ht="15.75" customHeight="1">
      <c r="C473" s="1"/>
      <c r="D473" s="1"/>
    </row>
    <row r="474" ht="15.75" customHeight="1">
      <c r="C474" s="1"/>
      <c r="D474" s="1"/>
    </row>
    <row r="475" ht="15.75" customHeight="1">
      <c r="C475" s="1"/>
      <c r="D475" s="1"/>
    </row>
    <row r="476" ht="15.75" customHeight="1">
      <c r="C476" s="1"/>
      <c r="D476" s="1"/>
    </row>
    <row r="477" ht="15.75" customHeight="1">
      <c r="C477" s="1"/>
      <c r="D477" s="1"/>
    </row>
    <row r="478" ht="15.75" customHeight="1">
      <c r="C478" s="1"/>
      <c r="D478" s="1"/>
    </row>
    <row r="479" ht="15.75" customHeight="1">
      <c r="C479" s="1"/>
      <c r="D479" s="1"/>
    </row>
    <row r="480" ht="15.75" customHeight="1">
      <c r="C480" s="1"/>
      <c r="D480" s="1"/>
    </row>
    <row r="481" ht="15.75" customHeight="1">
      <c r="C481" s="1"/>
      <c r="D481" s="1"/>
    </row>
    <row r="482" ht="15.75" customHeight="1">
      <c r="C482" s="1"/>
      <c r="D482" s="1"/>
    </row>
    <row r="483" ht="15.75" customHeight="1">
      <c r="C483" s="1"/>
      <c r="D483" s="1"/>
    </row>
    <row r="484" ht="15.75" customHeight="1">
      <c r="C484" s="1"/>
      <c r="D484" s="1"/>
    </row>
    <row r="485" ht="15.75" customHeight="1">
      <c r="C485" s="1"/>
      <c r="D485" s="1"/>
    </row>
    <row r="486" ht="15.75" customHeight="1">
      <c r="C486" s="1"/>
      <c r="D486" s="1"/>
    </row>
    <row r="487" ht="15.75" customHeight="1">
      <c r="C487" s="1"/>
      <c r="D487" s="1"/>
    </row>
    <row r="488" ht="15.75" customHeight="1">
      <c r="C488" s="1"/>
      <c r="D488" s="1"/>
    </row>
    <row r="489" ht="15.75" customHeight="1">
      <c r="C489" s="1"/>
      <c r="D489" s="1"/>
    </row>
    <row r="490" ht="15.75" customHeight="1">
      <c r="C490" s="1"/>
      <c r="D490" s="1"/>
    </row>
    <row r="491" ht="15.75" customHeight="1">
      <c r="C491" s="1"/>
      <c r="D491" s="1"/>
    </row>
    <row r="492" ht="15.75" customHeight="1">
      <c r="C492" s="1"/>
      <c r="D492" s="1"/>
    </row>
    <row r="493" ht="15.75" customHeight="1">
      <c r="C493" s="1"/>
      <c r="D493" s="1"/>
    </row>
    <row r="494" ht="15.75" customHeight="1">
      <c r="C494" s="1"/>
      <c r="D494" s="1"/>
    </row>
    <row r="495" ht="15.75" customHeight="1">
      <c r="C495" s="1"/>
      <c r="D495" s="1"/>
    </row>
    <row r="496" ht="15.75" customHeight="1">
      <c r="C496" s="1"/>
      <c r="D496" s="1"/>
    </row>
    <row r="497" ht="15.75" customHeight="1">
      <c r="C497" s="1"/>
      <c r="D497" s="1"/>
    </row>
    <row r="498" ht="15.75" customHeight="1">
      <c r="C498" s="1"/>
      <c r="D498" s="1"/>
    </row>
    <row r="499" ht="15.75" customHeight="1">
      <c r="C499" s="1"/>
      <c r="D499" s="1"/>
    </row>
    <row r="500" ht="15.75" customHeight="1">
      <c r="C500" s="1"/>
      <c r="D500" s="1"/>
    </row>
    <row r="501" ht="15.75" customHeight="1">
      <c r="C501" s="1"/>
      <c r="D501" s="1"/>
    </row>
    <row r="502" ht="15.75" customHeight="1">
      <c r="C502" s="1"/>
      <c r="D502" s="1"/>
    </row>
    <row r="503" ht="15.75" customHeight="1">
      <c r="C503" s="1"/>
      <c r="D503" s="1"/>
    </row>
    <row r="504" ht="15.75" customHeight="1">
      <c r="C504" s="1"/>
      <c r="D504" s="1"/>
    </row>
    <row r="505" ht="15.75" customHeight="1">
      <c r="C505" s="1"/>
      <c r="D505" s="1"/>
    </row>
    <row r="506" ht="15.75" customHeight="1">
      <c r="C506" s="1"/>
      <c r="D506" s="1"/>
    </row>
    <row r="507" ht="15.75" customHeight="1">
      <c r="C507" s="1"/>
      <c r="D507" s="1"/>
    </row>
    <row r="508" ht="15.75" customHeight="1">
      <c r="C508" s="1"/>
      <c r="D508" s="1"/>
    </row>
    <row r="509" ht="15.75" customHeight="1">
      <c r="C509" s="1"/>
      <c r="D509" s="1"/>
    </row>
    <row r="510" ht="15.75" customHeight="1">
      <c r="C510" s="1"/>
      <c r="D510" s="1"/>
    </row>
    <row r="511" ht="15.75" customHeight="1">
      <c r="C511" s="1"/>
      <c r="D511" s="1"/>
    </row>
    <row r="512" ht="15.75" customHeight="1">
      <c r="C512" s="1"/>
      <c r="D512" s="1"/>
    </row>
    <row r="513" ht="15.75" customHeight="1">
      <c r="C513" s="1"/>
      <c r="D513" s="1"/>
    </row>
    <row r="514" ht="15.75" customHeight="1">
      <c r="C514" s="1"/>
      <c r="D514" s="1"/>
    </row>
    <row r="515" ht="15.75" customHeight="1">
      <c r="C515" s="1"/>
      <c r="D515" s="1"/>
    </row>
    <row r="516" ht="15.75" customHeight="1">
      <c r="C516" s="1"/>
      <c r="D516" s="1"/>
    </row>
    <row r="517" ht="15.75" customHeight="1">
      <c r="C517" s="1"/>
      <c r="D517" s="1"/>
    </row>
    <row r="518" ht="15.75" customHeight="1">
      <c r="C518" s="1"/>
      <c r="D518" s="1"/>
    </row>
    <row r="519" ht="15.75" customHeight="1">
      <c r="C519" s="1"/>
      <c r="D519" s="1"/>
    </row>
    <row r="520" ht="15.75" customHeight="1">
      <c r="C520" s="1"/>
      <c r="D520" s="1"/>
    </row>
    <row r="521" ht="15.75" customHeight="1">
      <c r="C521" s="1"/>
      <c r="D521" s="1"/>
    </row>
    <row r="522" ht="15.75" customHeight="1">
      <c r="C522" s="1"/>
      <c r="D522" s="1"/>
    </row>
    <row r="523" ht="15.75" customHeight="1">
      <c r="C523" s="1"/>
      <c r="D523" s="1"/>
    </row>
    <row r="524" ht="15.75" customHeight="1">
      <c r="C524" s="1"/>
      <c r="D524" s="1"/>
    </row>
    <row r="525" ht="15.75" customHeight="1">
      <c r="C525" s="1"/>
      <c r="D525" s="1"/>
    </row>
    <row r="526" ht="15.75" customHeight="1">
      <c r="C526" s="1"/>
      <c r="D526" s="1"/>
    </row>
    <row r="527" ht="15.75" customHeight="1">
      <c r="C527" s="1"/>
      <c r="D527" s="1"/>
    </row>
    <row r="528" ht="15.75" customHeight="1">
      <c r="C528" s="1"/>
      <c r="D528" s="1"/>
    </row>
    <row r="529" ht="15.75" customHeight="1">
      <c r="C529" s="1"/>
      <c r="D529" s="1"/>
    </row>
    <row r="530" ht="15.75" customHeight="1">
      <c r="C530" s="1"/>
      <c r="D530" s="1"/>
    </row>
    <row r="531" ht="15.75" customHeight="1">
      <c r="C531" s="1"/>
      <c r="D531" s="1"/>
    </row>
    <row r="532" ht="15.75" customHeight="1">
      <c r="C532" s="1"/>
      <c r="D532" s="1"/>
    </row>
    <row r="533" ht="15.75" customHeight="1">
      <c r="C533" s="1"/>
      <c r="D533" s="1"/>
    </row>
    <row r="534" ht="15.75" customHeight="1">
      <c r="C534" s="1"/>
      <c r="D534" s="1"/>
    </row>
    <row r="535" ht="15.75" customHeight="1">
      <c r="C535" s="1"/>
      <c r="D535" s="1"/>
    </row>
    <row r="536" ht="15.75" customHeight="1">
      <c r="C536" s="1"/>
      <c r="D536" s="1"/>
    </row>
    <row r="537" ht="15.75" customHeight="1">
      <c r="C537" s="1"/>
      <c r="D537" s="1"/>
    </row>
    <row r="538" ht="15.75" customHeight="1">
      <c r="C538" s="1"/>
      <c r="D538" s="1"/>
    </row>
    <row r="539" ht="15.75" customHeight="1">
      <c r="C539" s="1"/>
      <c r="D539" s="1"/>
    </row>
    <row r="540" ht="15.75" customHeight="1">
      <c r="C540" s="1"/>
      <c r="D540" s="1"/>
    </row>
    <row r="541" ht="15.75" customHeight="1">
      <c r="C541" s="1"/>
      <c r="D541" s="1"/>
    </row>
    <row r="542" ht="15.75" customHeight="1">
      <c r="C542" s="1"/>
      <c r="D542" s="1"/>
    </row>
    <row r="543" ht="15.75" customHeight="1">
      <c r="C543" s="1"/>
      <c r="D543" s="1"/>
    </row>
    <row r="544" ht="15.75" customHeight="1">
      <c r="C544" s="1"/>
      <c r="D544" s="1"/>
    </row>
    <row r="545" ht="15.75" customHeight="1">
      <c r="C545" s="1"/>
      <c r="D545" s="1"/>
    </row>
    <row r="546" ht="15.75" customHeight="1">
      <c r="C546" s="1"/>
      <c r="D546" s="1"/>
    </row>
    <row r="547" ht="15.75" customHeight="1">
      <c r="C547" s="1"/>
      <c r="D547" s="1"/>
    </row>
    <row r="548" ht="15.75" customHeight="1">
      <c r="C548" s="1"/>
      <c r="D548" s="1"/>
    </row>
    <row r="549" ht="15.75" customHeight="1">
      <c r="C549" s="1"/>
      <c r="D549" s="1"/>
    </row>
    <row r="550" ht="15.75" customHeight="1">
      <c r="C550" s="1"/>
      <c r="D550" s="1"/>
    </row>
    <row r="551" ht="15.75" customHeight="1">
      <c r="C551" s="1"/>
      <c r="D551" s="1"/>
    </row>
    <row r="552" ht="15.75" customHeight="1">
      <c r="C552" s="1"/>
      <c r="D552" s="1"/>
    </row>
    <row r="553" ht="15.75" customHeight="1">
      <c r="C553" s="1"/>
      <c r="D553" s="1"/>
    </row>
    <row r="554" ht="15.75" customHeight="1">
      <c r="C554" s="1"/>
      <c r="D554" s="1"/>
    </row>
    <row r="555" ht="15.75" customHeight="1">
      <c r="C555" s="1"/>
      <c r="D555" s="1"/>
    </row>
    <row r="556" ht="15.75" customHeight="1">
      <c r="C556" s="1"/>
      <c r="D556" s="1"/>
    </row>
    <row r="557" ht="15.75" customHeight="1">
      <c r="C557" s="1"/>
      <c r="D557" s="1"/>
    </row>
    <row r="558" ht="15.75" customHeight="1">
      <c r="C558" s="1"/>
      <c r="D558" s="1"/>
    </row>
    <row r="559" ht="15.75" customHeight="1">
      <c r="C559" s="1"/>
      <c r="D559" s="1"/>
    </row>
    <row r="560" ht="15.75" customHeight="1">
      <c r="C560" s="1"/>
      <c r="D560" s="1"/>
    </row>
    <row r="561" ht="15.75" customHeight="1">
      <c r="C561" s="1"/>
      <c r="D561" s="1"/>
    </row>
    <row r="562" ht="15.75" customHeight="1">
      <c r="C562" s="1"/>
      <c r="D562" s="1"/>
    </row>
    <row r="563" ht="15.75" customHeight="1">
      <c r="C563" s="1"/>
      <c r="D563" s="1"/>
    </row>
    <row r="564" ht="15.75" customHeight="1">
      <c r="C564" s="1"/>
      <c r="D564" s="1"/>
    </row>
    <row r="565" ht="15.75" customHeight="1">
      <c r="C565" s="1"/>
      <c r="D565" s="1"/>
    </row>
    <row r="566" ht="15.75" customHeight="1">
      <c r="C566" s="1"/>
      <c r="D566" s="1"/>
    </row>
    <row r="567" ht="15.75" customHeight="1">
      <c r="C567" s="1"/>
      <c r="D567" s="1"/>
    </row>
    <row r="568" ht="15.75" customHeight="1">
      <c r="C568" s="1"/>
      <c r="D568" s="1"/>
    </row>
    <row r="569" ht="15.75" customHeight="1">
      <c r="C569" s="1"/>
      <c r="D569" s="1"/>
    </row>
    <row r="570" ht="15.75" customHeight="1">
      <c r="C570" s="1"/>
      <c r="D570" s="1"/>
    </row>
    <row r="571" ht="15.75" customHeight="1">
      <c r="C571" s="1"/>
      <c r="D571" s="1"/>
    </row>
    <row r="572" ht="15.75" customHeight="1">
      <c r="C572" s="1"/>
      <c r="D572" s="1"/>
    </row>
    <row r="573" ht="15.75" customHeight="1">
      <c r="C573" s="1"/>
      <c r="D573" s="1"/>
    </row>
    <row r="574" ht="15.75" customHeight="1">
      <c r="C574" s="1"/>
      <c r="D574" s="1"/>
    </row>
    <row r="575" ht="15.75" customHeight="1">
      <c r="C575" s="1"/>
      <c r="D575" s="1"/>
    </row>
    <row r="576" ht="15.75" customHeight="1">
      <c r="C576" s="1"/>
      <c r="D576" s="1"/>
    </row>
    <row r="577" ht="15.75" customHeight="1">
      <c r="C577" s="1"/>
      <c r="D577" s="1"/>
    </row>
    <row r="578" ht="15.75" customHeight="1">
      <c r="C578" s="1"/>
      <c r="D578" s="1"/>
    </row>
    <row r="579" ht="15.75" customHeight="1">
      <c r="C579" s="1"/>
      <c r="D579" s="1"/>
    </row>
    <row r="580" ht="15.75" customHeight="1">
      <c r="C580" s="1"/>
      <c r="D580" s="1"/>
    </row>
    <row r="581" ht="15.75" customHeight="1">
      <c r="C581" s="1"/>
      <c r="D581" s="1"/>
    </row>
    <row r="582" ht="15.75" customHeight="1">
      <c r="C582" s="1"/>
      <c r="D582" s="1"/>
    </row>
    <row r="583" ht="15.75" customHeight="1">
      <c r="C583" s="1"/>
      <c r="D583" s="1"/>
    </row>
    <row r="584" ht="15.75" customHeight="1">
      <c r="C584" s="1"/>
      <c r="D584" s="1"/>
    </row>
    <row r="585" ht="15.75" customHeight="1">
      <c r="C585" s="1"/>
      <c r="D585" s="1"/>
    </row>
    <row r="586" ht="15.75" customHeight="1">
      <c r="C586" s="1"/>
      <c r="D586" s="1"/>
    </row>
    <row r="587" ht="15.75" customHeight="1">
      <c r="C587" s="1"/>
      <c r="D587" s="1"/>
    </row>
    <row r="588" ht="15.75" customHeight="1">
      <c r="C588" s="1"/>
      <c r="D588" s="1"/>
    </row>
    <row r="589" ht="15.75" customHeight="1">
      <c r="C589" s="1"/>
      <c r="D589" s="1"/>
    </row>
    <row r="590" ht="15.75" customHeight="1">
      <c r="C590" s="1"/>
      <c r="D590" s="1"/>
    </row>
    <row r="591" ht="15.75" customHeight="1">
      <c r="C591" s="1"/>
      <c r="D591" s="1"/>
    </row>
    <row r="592" ht="15.75" customHeight="1">
      <c r="C592" s="1"/>
      <c r="D592" s="1"/>
    </row>
    <row r="593" ht="15.75" customHeight="1">
      <c r="C593" s="1"/>
      <c r="D593" s="1"/>
    </row>
    <row r="594" ht="15.75" customHeight="1">
      <c r="C594" s="1"/>
      <c r="D594" s="1"/>
    </row>
    <row r="595" ht="15.75" customHeight="1">
      <c r="C595" s="1"/>
      <c r="D595" s="1"/>
    </row>
    <row r="596" ht="15.75" customHeight="1">
      <c r="C596" s="1"/>
      <c r="D596" s="1"/>
    </row>
    <row r="597" ht="15.75" customHeight="1">
      <c r="C597" s="1"/>
      <c r="D597" s="1"/>
    </row>
    <row r="598" ht="15.75" customHeight="1">
      <c r="C598" s="1"/>
      <c r="D598" s="1"/>
    </row>
    <row r="599" ht="15.75" customHeight="1">
      <c r="C599" s="1"/>
      <c r="D599" s="1"/>
    </row>
    <row r="600" ht="15.75" customHeight="1">
      <c r="C600" s="1"/>
      <c r="D600" s="1"/>
    </row>
    <row r="601" ht="15.75" customHeight="1">
      <c r="C601" s="1"/>
      <c r="D601" s="1"/>
    </row>
    <row r="602" ht="15.75" customHeight="1">
      <c r="C602" s="1"/>
      <c r="D602" s="1"/>
    </row>
    <row r="603" ht="15.75" customHeight="1">
      <c r="C603" s="1"/>
      <c r="D603" s="1"/>
    </row>
    <row r="604" ht="15.75" customHeight="1">
      <c r="C604" s="1"/>
      <c r="D604" s="1"/>
    </row>
    <row r="605" ht="15.75" customHeight="1">
      <c r="C605" s="1"/>
      <c r="D605" s="1"/>
    </row>
    <row r="606" ht="15.75" customHeight="1">
      <c r="C606" s="1"/>
      <c r="D606" s="1"/>
    </row>
    <row r="607" ht="15.75" customHeight="1">
      <c r="C607" s="1"/>
      <c r="D607" s="1"/>
    </row>
    <row r="608" ht="15.75" customHeight="1">
      <c r="C608" s="1"/>
      <c r="D608" s="1"/>
    </row>
    <row r="609" ht="15.75" customHeight="1">
      <c r="C609" s="1"/>
      <c r="D609" s="1"/>
    </row>
    <row r="610" ht="15.75" customHeight="1">
      <c r="C610" s="1"/>
      <c r="D610" s="1"/>
    </row>
    <row r="611" ht="15.75" customHeight="1">
      <c r="C611" s="1"/>
      <c r="D611" s="1"/>
    </row>
    <row r="612" ht="15.75" customHeight="1">
      <c r="C612" s="1"/>
      <c r="D612" s="1"/>
    </row>
    <row r="613" ht="15.75" customHeight="1">
      <c r="C613" s="1"/>
      <c r="D613" s="1"/>
    </row>
    <row r="614" ht="15.75" customHeight="1">
      <c r="C614" s="1"/>
      <c r="D614" s="1"/>
    </row>
    <row r="615" ht="15.75" customHeight="1">
      <c r="C615" s="1"/>
      <c r="D615" s="1"/>
    </row>
    <row r="616" ht="15.75" customHeight="1">
      <c r="C616" s="1"/>
      <c r="D616" s="1"/>
    </row>
    <row r="617" ht="15.75" customHeight="1">
      <c r="C617" s="1"/>
      <c r="D617" s="1"/>
    </row>
    <row r="618" ht="15.75" customHeight="1">
      <c r="C618" s="1"/>
      <c r="D618" s="1"/>
    </row>
    <row r="619" ht="15.75" customHeight="1">
      <c r="C619" s="1"/>
      <c r="D619" s="1"/>
    </row>
    <row r="620" ht="15.75" customHeight="1">
      <c r="C620" s="1"/>
      <c r="D620" s="1"/>
    </row>
    <row r="621" ht="15.75" customHeight="1">
      <c r="C621" s="1"/>
      <c r="D621" s="1"/>
    </row>
    <row r="622" ht="15.75" customHeight="1">
      <c r="C622" s="1"/>
      <c r="D622" s="1"/>
    </row>
    <row r="623" ht="15.75" customHeight="1">
      <c r="C623" s="1"/>
      <c r="D623" s="1"/>
    </row>
    <row r="624" ht="15.75" customHeight="1">
      <c r="C624" s="1"/>
      <c r="D624" s="1"/>
    </row>
    <row r="625" ht="15.75" customHeight="1">
      <c r="C625" s="1"/>
      <c r="D625" s="1"/>
    </row>
    <row r="626" ht="15.75" customHeight="1">
      <c r="C626" s="1"/>
      <c r="D626" s="1"/>
    </row>
    <row r="627" ht="15.75" customHeight="1">
      <c r="C627" s="1"/>
      <c r="D627" s="1"/>
    </row>
    <row r="628" ht="15.75" customHeight="1">
      <c r="C628" s="1"/>
      <c r="D628" s="1"/>
    </row>
    <row r="629" ht="15.75" customHeight="1">
      <c r="C629" s="1"/>
      <c r="D629" s="1"/>
    </row>
    <row r="630" ht="15.75" customHeight="1">
      <c r="C630" s="1"/>
      <c r="D630" s="1"/>
    </row>
    <row r="631" ht="15.75" customHeight="1">
      <c r="C631" s="1"/>
      <c r="D631" s="1"/>
    </row>
    <row r="632" ht="15.75" customHeight="1">
      <c r="C632" s="1"/>
      <c r="D632" s="1"/>
    </row>
    <row r="633" ht="15.75" customHeight="1">
      <c r="C633" s="1"/>
      <c r="D633" s="1"/>
    </row>
    <row r="634" ht="15.75" customHeight="1">
      <c r="C634" s="1"/>
      <c r="D634" s="1"/>
    </row>
    <row r="635" ht="15.75" customHeight="1">
      <c r="C635" s="1"/>
      <c r="D635" s="1"/>
    </row>
    <row r="636" ht="15.75" customHeight="1">
      <c r="C636" s="1"/>
      <c r="D636" s="1"/>
    </row>
    <row r="637" ht="15.75" customHeight="1">
      <c r="C637" s="1"/>
      <c r="D637" s="1"/>
    </row>
    <row r="638" ht="15.75" customHeight="1">
      <c r="C638" s="1"/>
      <c r="D638" s="1"/>
    </row>
    <row r="639" ht="15.75" customHeight="1">
      <c r="C639" s="1"/>
      <c r="D639" s="1"/>
    </row>
    <row r="640" ht="15.75" customHeight="1">
      <c r="C640" s="1"/>
      <c r="D640" s="1"/>
    </row>
    <row r="641" ht="15.75" customHeight="1">
      <c r="C641" s="1"/>
      <c r="D641" s="1"/>
    </row>
    <row r="642" ht="15.75" customHeight="1">
      <c r="C642" s="1"/>
      <c r="D642" s="1"/>
    </row>
    <row r="643" ht="15.75" customHeight="1">
      <c r="C643" s="1"/>
      <c r="D643" s="1"/>
    </row>
    <row r="644" ht="15.75" customHeight="1">
      <c r="C644" s="1"/>
      <c r="D644" s="1"/>
    </row>
    <row r="645" ht="15.75" customHeight="1">
      <c r="C645" s="1"/>
      <c r="D645" s="1"/>
    </row>
    <row r="646" ht="15.75" customHeight="1">
      <c r="C646" s="1"/>
      <c r="D646" s="1"/>
    </row>
    <row r="647" ht="15.75" customHeight="1">
      <c r="C647" s="1"/>
      <c r="D647" s="1"/>
    </row>
    <row r="648" ht="15.75" customHeight="1">
      <c r="C648" s="1"/>
      <c r="D648" s="1"/>
    </row>
    <row r="649" ht="15.75" customHeight="1">
      <c r="C649" s="1"/>
      <c r="D649" s="1"/>
    </row>
    <row r="650" ht="15.75" customHeight="1">
      <c r="C650" s="1"/>
      <c r="D650" s="1"/>
    </row>
    <row r="651" ht="15.75" customHeight="1">
      <c r="C651" s="1"/>
      <c r="D651" s="1"/>
    </row>
    <row r="652" ht="15.75" customHeight="1">
      <c r="C652" s="1"/>
      <c r="D652" s="1"/>
    </row>
    <row r="653" ht="15.75" customHeight="1">
      <c r="C653" s="1"/>
      <c r="D653" s="1"/>
    </row>
    <row r="654" ht="15.75" customHeight="1">
      <c r="C654" s="1"/>
      <c r="D654" s="1"/>
    </row>
    <row r="655" ht="15.75" customHeight="1">
      <c r="C655" s="1"/>
      <c r="D655" s="1"/>
    </row>
    <row r="656" ht="15.75" customHeight="1">
      <c r="C656" s="1"/>
      <c r="D656" s="1"/>
    </row>
    <row r="657" ht="15.75" customHeight="1">
      <c r="C657" s="1"/>
      <c r="D657" s="1"/>
    </row>
    <row r="658" ht="15.75" customHeight="1">
      <c r="C658" s="1"/>
      <c r="D658" s="1"/>
    </row>
    <row r="659" ht="15.75" customHeight="1">
      <c r="C659" s="1"/>
      <c r="D659" s="1"/>
    </row>
    <row r="660" ht="15.75" customHeight="1">
      <c r="C660" s="1"/>
      <c r="D660" s="1"/>
    </row>
    <row r="661" ht="15.75" customHeight="1">
      <c r="C661" s="1"/>
      <c r="D661" s="1"/>
    </row>
    <row r="662" ht="15.75" customHeight="1">
      <c r="C662" s="1"/>
      <c r="D662" s="1"/>
    </row>
    <row r="663" ht="15.75" customHeight="1">
      <c r="C663" s="1"/>
      <c r="D663" s="1"/>
    </row>
    <row r="664" ht="15.75" customHeight="1">
      <c r="C664" s="1"/>
      <c r="D664" s="1"/>
    </row>
    <row r="665" ht="15.75" customHeight="1">
      <c r="C665" s="1"/>
      <c r="D665" s="1"/>
    </row>
    <row r="666" ht="15.75" customHeight="1">
      <c r="C666" s="1"/>
      <c r="D666" s="1"/>
    </row>
    <row r="667" ht="15.75" customHeight="1">
      <c r="C667" s="1"/>
      <c r="D667" s="1"/>
    </row>
    <row r="668" ht="15.75" customHeight="1">
      <c r="C668" s="1"/>
      <c r="D668" s="1"/>
    </row>
    <row r="669" ht="15.75" customHeight="1">
      <c r="C669" s="1"/>
      <c r="D669" s="1"/>
    </row>
    <row r="670" ht="15.75" customHeight="1">
      <c r="C670" s="1"/>
      <c r="D670" s="1"/>
    </row>
    <row r="671" ht="15.75" customHeight="1">
      <c r="C671" s="1"/>
      <c r="D671" s="1"/>
    </row>
    <row r="672" ht="15.75" customHeight="1">
      <c r="C672" s="1"/>
      <c r="D672" s="1"/>
    </row>
    <row r="673" ht="15.75" customHeight="1">
      <c r="C673" s="1"/>
      <c r="D673" s="1"/>
    </row>
    <row r="674" ht="15.75" customHeight="1">
      <c r="C674" s="1"/>
      <c r="D674" s="1"/>
    </row>
    <row r="675" ht="15.75" customHeight="1">
      <c r="C675" s="1"/>
      <c r="D675" s="1"/>
    </row>
    <row r="676" ht="15.75" customHeight="1">
      <c r="C676" s="1"/>
      <c r="D676" s="1"/>
    </row>
    <row r="677" ht="15.75" customHeight="1">
      <c r="C677" s="1"/>
      <c r="D677" s="1"/>
    </row>
    <row r="678" ht="15.75" customHeight="1">
      <c r="C678" s="1"/>
      <c r="D678" s="1"/>
    </row>
    <row r="679" ht="15.75" customHeight="1">
      <c r="C679" s="1"/>
      <c r="D679" s="1"/>
    </row>
    <row r="680" ht="15.75" customHeight="1">
      <c r="C680" s="1"/>
      <c r="D680" s="1"/>
    </row>
    <row r="681" ht="15.75" customHeight="1">
      <c r="C681" s="1"/>
      <c r="D681" s="1"/>
    </row>
    <row r="682" ht="15.75" customHeight="1">
      <c r="C682" s="1"/>
      <c r="D682" s="1"/>
    </row>
    <row r="683" ht="15.75" customHeight="1">
      <c r="C683" s="1"/>
      <c r="D683" s="1"/>
    </row>
    <row r="684" ht="15.75" customHeight="1">
      <c r="C684" s="1"/>
      <c r="D684" s="1"/>
    </row>
    <row r="685" ht="15.75" customHeight="1">
      <c r="C685" s="1"/>
      <c r="D685" s="1"/>
    </row>
    <row r="686" ht="15.75" customHeight="1">
      <c r="C686" s="1"/>
      <c r="D686" s="1"/>
    </row>
    <row r="687" ht="15.75" customHeight="1">
      <c r="C687" s="1"/>
      <c r="D687" s="1"/>
    </row>
    <row r="688" ht="15.75" customHeight="1">
      <c r="C688" s="1"/>
      <c r="D688" s="1"/>
    </row>
    <row r="689" ht="15.75" customHeight="1">
      <c r="C689" s="1"/>
      <c r="D689" s="1"/>
    </row>
    <row r="690" ht="15.75" customHeight="1">
      <c r="C690" s="1"/>
      <c r="D690" s="1"/>
    </row>
    <row r="691" ht="15.75" customHeight="1">
      <c r="C691" s="1"/>
      <c r="D691" s="1"/>
    </row>
    <row r="692" ht="15.75" customHeight="1">
      <c r="C692" s="1"/>
      <c r="D692" s="1"/>
    </row>
    <row r="693" ht="15.75" customHeight="1">
      <c r="C693" s="1"/>
      <c r="D693" s="1"/>
    </row>
    <row r="694" ht="15.75" customHeight="1">
      <c r="C694" s="1"/>
      <c r="D694" s="1"/>
    </row>
    <row r="695" ht="15.75" customHeight="1">
      <c r="C695" s="1"/>
      <c r="D695" s="1"/>
    </row>
    <row r="696" ht="15.75" customHeight="1">
      <c r="C696" s="1"/>
      <c r="D696" s="1"/>
    </row>
    <row r="697" ht="15.75" customHeight="1">
      <c r="C697" s="1"/>
      <c r="D697" s="1"/>
    </row>
    <row r="698" ht="15.75" customHeight="1">
      <c r="C698" s="1"/>
      <c r="D698" s="1"/>
    </row>
    <row r="699" ht="15.75" customHeight="1">
      <c r="C699" s="1"/>
      <c r="D699" s="1"/>
    </row>
    <row r="700" ht="15.75" customHeight="1">
      <c r="C700" s="1"/>
      <c r="D700" s="1"/>
    </row>
    <row r="701" ht="15.75" customHeight="1">
      <c r="C701" s="1"/>
      <c r="D701" s="1"/>
    </row>
    <row r="702" ht="15.75" customHeight="1">
      <c r="C702" s="1"/>
      <c r="D702" s="1"/>
    </row>
    <row r="703" ht="15.75" customHeight="1">
      <c r="C703" s="1"/>
      <c r="D703" s="1"/>
    </row>
    <row r="704" ht="15.75" customHeight="1">
      <c r="C704" s="1"/>
      <c r="D704" s="1"/>
    </row>
    <row r="705" ht="15.75" customHeight="1">
      <c r="C705" s="1"/>
      <c r="D705" s="1"/>
    </row>
    <row r="706" ht="15.75" customHeight="1">
      <c r="C706" s="1"/>
      <c r="D706" s="1"/>
    </row>
    <row r="707" ht="15.75" customHeight="1">
      <c r="C707" s="1"/>
      <c r="D707" s="1"/>
    </row>
    <row r="708" ht="15.75" customHeight="1">
      <c r="C708" s="1"/>
      <c r="D708" s="1"/>
    </row>
    <row r="709" ht="15.75" customHeight="1">
      <c r="C709" s="1"/>
      <c r="D709" s="1"/>
    </row>
    <row r="710" ht="15.75" customHeight="1">
      <c r="C710" s="1"/>
      <c r="D710" s="1"/>
    </row>
    <row r="711" ht="15.75" customHeight="1">
      <c r="C711" s="1"/>
      <c r="D711" s="1"/>
    </row>
    <row r="712" ht="15.75" customHeight="1">
      <c r="C712" s="1"/>
      <c r="D712" s="1"/>
    </row>
    <row r="713" ht="15.75" customHeight="1">
      <c r="C713" s="1"/>
      <c r="D713" s="1"/>
    </row>
    <row r="714" ht="15.75" customHeight="1">
      <c r="C714" s="1"/>
      <c r="D714" s="1"/>
    </row>
    <row r="715" ht="15.75" customHeight="1">
      <c r="C715" s="1"/>
      <c r="D715" s="1"/>
    </row>
    <row r="716" ht="15.75" customHeight="1">
      <c r="C716" s="1"/>
      <c r="D716" s="1"/>
    </row>
    <row r="717" ht="15.75" customHeight="1">
      <c r="C717" s="1"/>
      <c r="D717" s="1"/>
    </row>
    <row r="718" ht="15.75" customHeight="1">
      <c r="C718" s="1"/>
      <c r="D718" s="1"/>
    </row>
    <row r="719" ht="15.75" customHeight="1">
      <c r="C719" s="1"/>
      <c r="D719" s="1"/>
    </row>
    <row r="720" ht="15.75" customHeight="1">
      <c r="C720" s="1"/>
      <c r="D720" s="1"/>
    </row>
    <row r="721" ht="15.75" customHeight="1">
      <c r="C721" s="1"/>
      <c r="D721" s="1"/>
    </row>
    <row r="722" ht="15.75" customHeight="1">
      <c r="C722" s="1"/>
      <c r="D722" s="1"/>
    </row>
    <row r="723" ht="15.75" customHeight="1">
      <c r="C723" s="1"/>
      <c r="D723" s="1"/>
    </row>
    <row r="724" ht="15.75" customHeight="1">
      <c r="C724" s="1"/>
      <c r="D724" s="1"/>
    </row>
    <row r="725" ht="15.75" customHeight="1">
      <c r="C725" s="1"/>
      <c r="D725" s="1"/>
    </row>
    <row r="726" ht="15.75" customHeight="1">
      <c r="C726" s="1"/>
      <c r="D726" s="1"/>
    </row>
    <row r="727" ht="15.75" customHeight="1">
      <c r="C727" s="1"/>
      <c r="D727" s="1"/>
    </row>
    <row r="728" ht="15.75" customHeight="1">
      <c r="C728" s="1"/>
      <c r="D728" s="1"/>
    </row>
    <row r="729" ht="15.75" customHeight="1">
      <c r="C729" s="1"/>
      <c r="D729" s="1"/>
    </row>
    <row r="730" ht="15.75" customHeight="1">
      <c r="C730" s="1"/>
      <c r="D730" s="1"/>
    </row>
    <row r="731" ht="15.75" customHeight="1">
      <c r="C731" s="1"/>
      <c r="D731" s="1"/>
    </row>
    <row r="732" ht="15.75" customHeight="1">
      <c r="C732" s="1"/>
      <c r="D732" s="1"/>
    </row>
    <row r="733" ht="15.75" customHeight="1">
      <c r="C733" s="1"/>
      <c r="D733" s="1"/>
    </row>
    <row r="734" ht="15.75" customHeight="1">
      <c r="C734" s="1"/>
      <c r="D734" s="1"/>
    </row>
    <row r="735" ht="15.75" customHeight="1">
      <c r="C735" s="1"/>
      <c r="D735" s="1"/>
    </row>
    <row r="736" ht="15.75" customHeight="1">
      <c r="C736" s="1"/>
      <c r="D736" s="1"/>
    </row>
    <row r="737" ht="15.75" customHeight="1">
      <c r="C737" s="1"/>
      <c r="D737" s="1"/>
    </row>
    <row r="738" ht="15.75" customHeight="1">
      <c r="C738" s="1"/>
      <c r="D738" s="1"/>
    </row>
    <row r="739" ht="15.75" customHeight="1">
      <c r="C739" s="1"/>
      <c r="D739" s="1"/>
    </row>
    <row r="740" ht="15.75" customHeight="1">
      <c r="C740" s="1"/>
      <c r="D740" s="1"/>
    </row>
    <row r="741" ht="15.75" customHeight="1">
      <c r="C741" s="1"/>
      <c r="D741" s="1"/>
    </row>
    <row r="742" ht="15.75" customHeight="1">
      <c r="C742" s="1"/>
      <c r="D742" s="1"/>
    </row>
    <row r="743" ht="15.75" customHeight="1">
      <c r="C743" s="1"/>
      <c r="D743" s="1"/>
    </row>
    <row r="744" ht="15.75" customHeight="1">
      <c r="C744" s="1"/>
      <c r="D744" s="1"/>
    </row>
    <row r="745" ht="15.75" customHeight="1">
      <c r="C745" s="1"/>
      <c r="D745" s="1"/>
    </row>
    <row r="746" ht="15.75" customHeight="1">
      <c r="C746" s="1"/>
      <c r="D746" s="1"/>
    </row>
    <row r="747" ht="15.75" customHeight="1">
      <c r="C747" s="1"/>
      <c r="D747" s="1"/>
    </row>
    <row r="748" ht="15.75" customHeight="1">
      <c r="C748" s="1"/>
      <c r="D748" s="1"/>
    </row>
    <row r="749" ht="15.75" customHeight="1">
      <c r="C749" s="1"/>
      <c r="D749" s="1"/>
    </row>
    <row r="750" ht="15.75" customHeight="1">
      <c r="C750" s="1"/>
      <c r="D750" s="1"/>
    </row>
    <row r="751" ht="15.75" customHeight="1">
      <c r="C751" s="1"/>
      <c r="D751" s="1"/>
    </row>
    <row r="752" ht="15.75" customHeight="1">
      <c r="C752" s="1"/>
      <c r="D752" s="1"/>
    </row>
    <row r="753" ht="15.75" customHeight="1">
      <c r="C753" s="1"/>
      <c r="D753" s="1"/>
    </row>
    <row r="754" ht="15.75" customHeight="1">
      <c r="C754" s="1"/>
      <c r="D754" s="1"/>
    </row>
    <row r="755" ht="15.75" customHeight="1">
      <c r="C755" s="1"/>
      <c r="D755" s="1"/>
    </row>
    <row r="756" ht="15.75" customHeight="1">
      <c r="C756" s="1"/>
      <c r="D756" s="1"/>
    </row>
    <row r="757" ht="15.75" customHeight="1">
      <c r="C757" s="1"/>
      <c r="D757" s="1"/>
    </row>
    <row r="758" ht="15.75" customHeight="1">
      <c r="C758" s="1"/>
      <c r="D758" s="1"/>
    </row>
    <row r="759" ht="15.75" customHeight="1">
      <c r="C759" s="1"/>
      <c r="D759" s="1"/>
    </row>
    <row r="760" ht="15.75" customHeight="1">
      <c r="C760" s="1"/>
      <c r="D760" s="1"/>
    </row>
    <row r="761" ht="15.75" customHeight="1">
      <c r="C761" s="1"/>
      <c r="D761" s="1"/>
    </row>
    <row r="762" ht="15.75" customHeight="1">
      <c r="C762" s="1"/>
      <c r="D762" s="1"/>
    </row>
    <row r="763" ht="15.75" customHeight="1">
      <c r="C763" s="1"/>
      <c r="D763" s="1"/>
    </row>
    <row r="764" ht="15.75" customHeight="1">
      <c r="C764" s="1"/>
      <c r="D764" s="1"/>
    </row>
    <row r="765" ht="15.75" customHeight="1">
      <c r="C765" s="1"/>
      <c r="D765" s="1"/>
    </row>
    <row r="766" ht="15.75" customHeight="1">
      <c r="C766" s="1"/>
      <c r="D766" s="1"/>
    </row>
    <row r="767" ht="15.75" customHeight="1">
      <c r="C767" s="1"/>
      <c r="D767" s="1"/>
    </row>
    <row r="768" ht="15.75" customHeight="1">
      <c r="C768" s="1"/>
      <c r="D768" s="1"/>
    </row>
    <row r="769" ht="15.75" customHeight="1">
      <c r="C769" s="1"/>
      <c r="D769" s="1"/>
    </row>
    <row r="770" ht="15.75" customHeight="1">
      <c r="C770" s="1"/>
      <c r="D770" s="1"/>
    </row>
    <row r="771" ht="15.75" customHeight="1">
      <c r="C771" s="1"/>
      <c r="D771" s="1"/>
    </row>
    <row r="772" ht="15.75" customHeight="1">
      <c r="C772" s="1"/>
      <c r="D772" s="1"/>
    </row>
    <row r="773" ht="15.75" customHeight="1">
      <c r="C773" s="1"/>
      <c r="D773" s="1"/>
    </row>
    <row r="774" ht="15.75" customHeight="1">
      <c r="C774" s="1"/>
      <c r="D774" s="1"/>
    </row>
    <row r="775" ht="15.75" customHeight="1">
      <c r="C775" s="1"/>
      <c r="D775" s="1"/>
    </row>
    <row r="776" ht="15.75" customHeight="1">
      <c r="C776" s="1"/>
      <c r="D776" s="1"/>
    </row>
    <row r="777" ht="15.75" customHeight="1">
      <c r="C777" s="1"/>
      <c r="D777" s="1"/>
    </row>
    <row r="778" ht="15.75" customHeight="1">
      <c r="C778" s="1"/>
      <c r="D778" s="1"/>
    </row>
    <row r="779" ht="15.75" customHeight="1">
      <c r="C779" s="1"/>
      <c r="D779" s="1"/>
    </row>
    <row r="780" ht="15.75" customHeight="1">
      <c r="C780" s="1"/>
      <c r="D780" s="1"/>
    </row>
    <row r="781" ht="15.75" customHeight="1">
      <c r="C781" s="1"/>
      <c r="D781" s="1"/>
    </row>
    <row r="782" ht="15.75" customHeight="1">
      <c r="C782" s="1"/>
      <c r="D782" s="1"/>
    </row>
    <row r="783" ht="15.75" customHeight="1">
      <c r="C783" s="1"/>
      <c r="D783" s="1"/>
    </row>
    <row r="784" ht="15.75" customHeight="1">
      <c r="C784" s="1"/>
      <c r="D784" s="1"/>
    </row>
    <row r="785" ht="15.75" customHeight="1">
      <c r="C785" s="1"/>
      <c r="D785" s="1"/>
    </row>
    <row r="786" ht="15.75" customHeight="1">
      <c r="C786" s="1"/>
      <c r="D786" s="1"/>
    </row>
    <row r="787" ht="15.75" customHeight="1">
      <c r="C787" s="1"/>
      <c r="D787" s="1"/>
    </row>
    <row r="788" ht="15.75" customHeight="1">
      <c r="C788" s="1"/>
      <c r="D788" s="1"/>
    </row>
    <row r="789" ht="15.75" customHeight="1">
      <c r="C789" s="1"/>
      <c r="D789" s="1"/>
    </row>
    <row r="790" ht="15.75" customHeight="1">
      <c r="C790" s="1"/>
      <c r="D790" s="1"/>
    </row>
    <row r="791" ht="15.75" customHeight="1">
      <c r="C791" s="1"/>
      <c r="D791" s="1"/>
    </row>
    <row r="792" ht="15.75" customHeight="1">
      <c r="C792" s="1"/>
      <c r="D792" s="1"/>
    </row>
    <row r="793" ht="15.75" customHeight="1">
      <c r="C793" s="1"/>
      <c r="D793" s="1"/>
    </row>
    <row r="794" ht="15.75" customHeight="1">
      <c r="C794" s="1"/>
      <c r="D794" s="1"/>
    </row>
    <row r="795" ht="15.75" customHeight="1">
      <c r="C795" s="1"/>
      <c r="D795" s="1"/>
    </row>
    <row r="796" ht="15.75" customHeight="1">
      <c r="C796" s="1"/>
      <c r="D796" s="1"/>
    </row>
    <row r="797" ht="15.75" customHeight="1">
      <c r="C797" s="1"/>
      <c r="D797" s="1"/>
    </row>
    <row r="798" ht="15.75" customHeight="1">
      <c r="C798" s="1"/>
      <c r="D798" s="1"/>
    </row>
    <row r="799" ht="15.75" customHeight="1">
      <c r="C799" s="1"/>
      <c r="D799" s="1"/>
    </row>
    <row r="800" ht="15.75" customHeight="1">
      <c r="C800" s="1"/>
      <c r="D800" s="1"/>
    </row>
    <row r="801" ht="15.75" customHeight="1">
      <c r="C801" s="1"/>
      <c r="D801" s="1"/>
    </row>
    <row r="802" ht="15.75" customHeight="1">
      <c r="C802" s="1"/>
      <c r="D802" s="1"/>
    </row>
    <row r="803" ht="15.75" customHeight="1">
      <c r="C803" s="1"/>
      <c r="D803" s="1"/>
    </row>
    <row r="804" ht="15.75" customHeight="1">
      <c r="C804" s="1"/>
      <c r="D804" s="1"/>
    </row>
    <row r="805" ht="15.75" customHeight="1">
      <c r="C805" s="1"/>
      <c r="D805" s="1"/>
    </row>
    <row r="806" ht="15.75" customHeight="1">
      <c r="C806" s="1"/>
      <c r="D806" s="1"/>
    </row>
    <row r="807" ht="15.75" customHeight="1">
      <c r="C807" s="1"/>
      <c r="D807" s="1"/>
    </row>
    <row r="808" ht="15.75" customHeight="1">
      <c r="C808" s="1"/>
      <c r="D808" s="1"/>
    </row>
    <row r="809" ht="15.75" customHeight="1">
      <c r="C809" s="1"/>
      <c r="D809" s="1"/>
    </row>
    <row r="810" ht="15.75" customHeight="1">
      <c r="C810" s="1"/>
      <c r="D810" s="1"/>
    </row>
    <row r="811" ht="15.75" customHeight="1">
      <c r="C811" s="1"/>
      <c r="D811" s="1"/>
    </row>
    <row r="812" ht="15.75" customHeight="1">
      <c r="C812" s="1"/>
      <c r="D812" s="1"/>
    </row>
    <row r="813" ht="15.75" customHeight="1">
      <c r="C813" s="1"/>
      <c r="D813" s="1"/>
    </row>
    <row r="814" ht="15.75" customHeight="1">
      <c r="C814" s="1"/>
      <c r="D814" s="1"/>
    </row>
    <row r="815" ht="15.75" customHeight="1">
      <c r="C815" s="1"/>
      <c r="D815" s="1"/>
    </row>
    <row r="816" ht="15.75" customHeight="1">
      <c r="C816" s="1"/>
      <c r="D816" s="1"/>
    </row>
    <row r="817" ht="15.75" customHeight="1">
      <c r="C817" s="1"/>
      <c r="D817" s="1"/>
    </row>
    <row r="818" ht="15.75" customHeight="1">
      <c r="C818" s="1"/>
      <c r="D818" s="1"/>
    </row>
    <row r="819" ht="15.75" customHeight="1">
      <c r="C819" s="1"/>
      <c r="D819" s="1"/>
    </row>
    <row r="820" ht="15.75" customHeight="1">
      <c r="C820" s="1"/>
      <c r="D820" s="1"/>
    </row>
    <row r="821" ht="15.75" customHeight="1">
      <c r="C821" s="1"/>
      <c r="D821" s="1"/>
    </row>
    <row r="822" ht="15.75" customHeight="1">
      <c r="C822" s="1"/>
      <c r="D822" s="1"/>
    </row>
    <row r="823" ht="15.75" customHeight="1">
      <c r="C823" s="1"/>
      <c r="D823" s="1"/>
    </row>
    <row r="824" ht="15.75" customHeight="1">
      <c r="C824" s="1"/>
      <c r="D824" s="1"/>
    </row>
    <row r="825" ht="15.75" customHeight="1">
      <c r="C825" s="1"/>
      <c r="D825" s="1"/>
    </row>
    <row r="826" ht="15.75" customHeight="1">
      <c r="C826" s="1"/>
      <c r="D826" s="1"/>
    </row>
    <row r="827" ht="15.75" customHeight="1">
      <c r="C827" s="1"/>
      <c r="D827" s="1"/>
    </row>
    <row r="828" ht="15.75" customHeight="1">
      <c r="C828" s="1"/>
      <c r="D828" s="1"/>
    </row>
    <row r="829" ht="15.75" customHeight="1">
      <c r="C829" s="1"/>
      <c r="D829" s="1"/>
    </row>
    <row r="830" ht="15.75" customHeight="1">
      <c r="C830" s="1"/>
      <c r="D830" s="1"/>
    </row>
    <row r="831" ht="15.75" customHeight="1">
      <c r="C831" s="1"/>
      <c r="D831" s="1"/>
    </row>
    <row r="832" ht="15.75" customHeight="1">
      <c r="C832" s="1"/>
      <c r="D832" s="1"/>
    </row>
    <row r="833" ht="15.75" customHeight="1">
      <c r="C833" s="1"/>
      <c r="D833" s="1"/>
    </row>
    <row r="834" ht="15.75" customHeight="1">
      <c r="C834" s="1"/>
      <c r="D834" s="1"/>
    </row>
    <row r="835" ht="15.75" customHeight="1">
      <c r="C835" s="1"/>
      <c r="D835" s="1"/>
    </row>
    <row r="836" ht="15.75" customHeight="1">
      <c r="C836" s="1"/>
      <c r="D836" s="1"/>
    </row>
    <row r="837" ht="15.75" customHeight="1">
      <c r="C837" s="1"/>
      <c r="D837" s="1"/>
    </row>
    <row r="838" ht="15.75" customHeight="1">
      <c r="C838" s="1"/>
      <c r="D838" s="1"/>
    </row>
    <row r="839" ht="15.75" customHeight="1">
      <c r="C839" s="1"/>
      <c r="D839" s="1"/>
    </row>
    <row r="840" ht="15.75" customHeight="1">
      <c r="C840" s="1"/>
      <c r="D840" s="1"/>
    </row>
    <row r="841" ht="15.75" customHeight="1">
      <c r="C841" s="1"/>
      <c r="D841" s="1"/>
    </row>
    <row r="842" ht="15.75" customHeight="1">
      <c r="C842" s="1"/>
      <c r="D842" s="1"/>
    </row>
    <row r="843" ht="15.75" customHeight="1">
      <c r="C843" s="1"/>
      <c r="D843" s="1"/>
    </row>
    <row r="844" ht="15.75" customHeight="1">
      <c r="C844" s="1"/>
      <c r="D844" s="1"/>
    </row>
    <row r="845" ht="15.75" customHeight="1">
      <c r="C845" s="1"/>
      <c r="D845" s="1"/>
    </row>
    <row r="846" ht="15.75" customHeight="1">
      <c r="C846" s="1"/>
      <c r="D846" s="1"/>
    </row>
    <row r="847" ht="15.75" customHeight="1">
      <c r="C847" s="1"/>
      <c r="D847" s="1"/>
    </row>
    <row r="848" ht="15.75" customHeight="1">
      <c r="C848" s="1"/>
      <c r="D848" s="1"/>
    </row>
    <row r="849" ht="15.75" customHeight="1">
      <c r="C849" s="1"/>
      <c r="D849" s="1"/>
    </row>
    <row r="850" ht="15.75" customHeight="1">
      <c r="C850" s="1"/>
      <c r="D850" s="1"/>
    </row>
    <row r="851" ht="15.75" customHeight="1">
      <c r="C851" s="1"/>
      <c r="D851" s="1"/>
    </row>
    <row r="852" ht="15.75" customHeight="1">
      <c r="C852" s="1"/>
      <c r="D852" s="1"/>
    </row>
    <row r="853" ht="15.75" customHeight="1">
      <c r="C853" s="1"/>
      <c r="D853" s="1"/>
    </row>
    <row r="854" ht="15.75" customHeight="1">
      <c r="C854" s="1"/>
      <c r="D854" s="1"/>
    </row>
    <row r="855" ht="15.75" customHeight="1">
      <c r="C855" s="1"/>
      <c r="D855" s="1"/>
    </row>
    <row r="856" ht="15.75" customHeight="1">
      <c r="C856" s="1"/>
      <c r="D856" s="1"/>
    </row>
    <row r="857" ht="15.75" customHeight="1">
      <c r="C857" s="1"/>
      <c r="D857" s="1"/>
    </row>
    <row r="858" ht="15.75" customHeight="1">
      <c r="C858" s="1"/>
      <c r="D858" s="1"/>
    </row>
    <row r="859" ht="15.75" customHeight="1">
      <c r="C859" s="1"/>
      <c r="D859" s="1"/>
    </row>
    <row r="860" ht="15.75" customHeight="1">
      <c r="C860" s="1"/>
      <c r="D860" s="1"/>
    </row>
    <row r="861" ht="15.75" customHeight="1">
      <c r="C861" s="1"/>
      <c r="D861" s="1"/>
    </row>
    <row r="862" ht="15.75" customHeight="1">
      <c r="C862" s="1"/>
      <c r="D862" s="1"/>
    </row>
    <row r="863" ht="15.75" customHeight="1">
      <c r="C863" s="1"/>
      <c r="D863" s="1"/>
    </row>
    <row r="864" ht="15.75" customHeight="1">
      <c r="C864" s="1"/>
      <c r="D864" s="1"/>
    </row>
    <row r="865" ht="15.75" customHeight="1">
      <c r="C865" s="1"/>
      <c r="D865" s="1"/>
    </row>
    <row r="866" ht="15.75" customHeight="1">
      <c r="C866" s="1"/>
      <c r="D866" s="1"/>
    </row>
    <row r="867" ht="15.75" customHeight="1">
      <c r="C867" s="1"/>
      <c r="D867" s="1"/>
    </row>
    <row r="868" ht="15.75" customHeight="1">
      <c r="C868" s="1"/>
      <c r="D868" s="1"/>
    </row>
    <row r="869" ht="15.75" customHeight="1">
      <c r="C869" s="1"/>
      <c r="D869" s="1"/>
    </row>
    <row r="870" ht="15.75" customHeight="1">
      <c r="C870" s="1"/>
      <c r="D870" s="1"/>
    </row>
    <row r="871" ht="15.75" customHeight="1">
      <c r="C871" s="1"/>
      <c r="D871" s="1"/>
    </row>
    <row r="872" ht="15.75" customHeight="1">
      <c r="C872" s="1"/>
      <c r="D872" s="1"/>
    </row>
    <row r="873" ht="15.75" customHeight="1">
      <c r="C873" s="1"/>
      <c r="D873" s="1"/>
    </row>
    <row r="874" ht="15.75" customHeight="1">
      <c r="C874" s="1"/>
      <c r="D874" s="1"/>
    </row>
    <row r="875" ht="15.75" customHeight="1">
      <c r="C875" s="1"/>
      <c r="D875" s="1"/>
    </row>
    <row r="876" ht="15.75" customHeight="1">
      <c r="C876" s="1"/>
      <c r="D876" s="1"/>
    </row>
    <row r="877" ht="15.75" customHeight="1">
      <c r="C877" s="1"/>
      <c r="D877" s="1"/>
    </row>
    <row r="878" ht="15.75" customHeight="1">
      <c r="C878" s="1"/>
      <c r="D878" s="1"/>
    </row>
    <row r="879" ht="15.75" customHeight="1">
      <c r="C879" s="1"/>
      <c r="D879" s="1"/>
    </row>
    <row r="880" ht="15.75" customHeight="1">
      <c r="C880" s="1"/>
      <c r="D880" s="1"/>
    </row>
    <row r="881" ht="15.75" customHeight="1">
      <c r="C881" s="1"/>
      <c r="D881" s="1"/>
    </row>
    <row r="882" ht="15.75" customHeight="1">
      <c r="C882" s="1"/>
      <c r="D882" s="1"/>
    </row>
    <row r="883" ht="15.75" customHeight="1">
      <c r="C883" s="1"/>
      <c r="D883" s="1"/>
    </row>
    <row r="884" ht="15.75" customHeight="1">
      <c r="C884" s="1"/>
      <c r="D884" s="1"/>
    </row>
    <row r="885" ht="15.75" customHeight="1">
      <c r="C885" s="1"/>
      <c r="D885" s="1"/>
    </row>
    <row r="886" ht="15.75" customHeight="1">
      <c r="C886" s="1"/>
      <c r="D886" s="1"/>
    </row>
    <row r="887" ht="15.75" customHeight="1">
      <c r="C887" s="1"/>
      <c r="D887" s="1"/>
    </row>
    <row r="888" ht="15.75" customHeight="1">
      <c r="C888" s="1"/>
      <c r="D888" s="1"/>
    </row>
    <row r="889" ht="15.75" customHeight="1">
      <c r="C889" s="1"/>
      <c r="D889" s="1"/>
    </row>
    <row r="890" ht="15.75" customHeight="1">
      <c r="C890" s="1"/>
      <c r="D890" s="1"/>
    </row>
    <row r="891" ht="15.75" customHeight="1">
      <c r="C891" s="1"/>
      <c r="D891" s="1"/>
    </row>
    <row r="892" ht="15.75" customHeight="1">
      <c r="C892" s="1"/>
      <c r="D892" s="1"/>
    </row>
    <row r="893" ht="15.75" customHeight="1">
      <c r="C893" s="1"/>
      <c r="D893" s="1"/>
    </row>
    <row r="894" ht="15.75" customHeight="1">
      <c r="C894" s="1"/>
      <c r="D894" s="1"/>
    </row>
    <row r="895" ht="15.75" customHeight="1">
      <c r="C895" s="1"/>
      <c r="D895" s="1"/>
    </row>
    <row r="896" ht="15.75" customHeight="1">
      <c r="C896" s="1"/>
      <c r="D896" s="1"/>
    </row>
    <row r="897" ht="15.75" customHeight="1">
      <c r="C897" s="1"/>
      <c r="D897" s="1"/>
    </row>
    <row r="898" ht="15.75" customHeight="1">
      <c r="C898" s="1"/>
      <c r="D898" s="1"/>
    </row>
    <row r="899" ht="15.75" customHeight="1">
      <c r="C899" s="1"/>
      <c r="D899" s="1"/>
    </row>
    <row r="900" ht="15.75" customHeight="1">
      <c r="C900" s="1"/>
      <c r="D900" s="1"/>
    </row>
    <row r="901" ht="15.75" customHeight="1">
      <c r="C901" s="1"/>
      <c r="D901" s="1"/>
    </row>
    <row r="902" ht="15.75" customHeight="1">
      <c r="C902" s="1"/>
      <c r="D902" s="1"/>
    </row>
    <row r="903" ht="15.75" customHeight="1">
      <c r="C903" s="1"/>
      <c r="D903" s="1"/>
    </row>
    <row r="904" ht="15.75" customHeight="1">
      <c r="C904" s="1"/>
      <c r="D904" s="1"/>
    </row>
    <row r="905" ht="15.75" customHeight="1">
      <c r="C905" s="1"/>
      <c r="D905" s="1"/>
    </row>
    <row r="906" ht="15.75" customHeight="1">
      <c r="C906" s="1"/>
      <c r="D906" s="1"/>
    </row>
    <row r="907" ht="15.75" customHeight="1">
      <c r="C907" s="1"/>
      <c r="D907" s="1"/>
    </row>
    <row r="908" ht="15.75" customHeight="1">
      <c r="C908" s="1"/>
      <c r="D908" s="1"/>
    </row>
    <row r="909" ht="15.75" customHeight="1">
      <c r="C909" s="1"/>
      <c r="D909" s="1"/>
    </row>
    <row r="910" ht="15.75" customHeight="1">
      <c r="C910" s="1"/>
      <c r="D910" s="1"/>
    </row>
    <row r="911" ht="15.75" customHeight="1">
      <c r="C911" s="1"/>
      <c r="D911" s="1"/>
    </row>
    <row r="912" ht="15.75" customHeight="1">
      <c r="C912" s="1"/>
      <c r="D912" s="1"/>
    </row>
    <row r="913" ht="15.75" customHeight="1">
      <c r="C913" s="1"/>
      <c r="D913" s="1"/>
    </row>
    <row r="914" ht="15.75" customHeight="1">
      <c r="C914" s="1"/>
      <c r="D914" s="1"/>
    </row>
    <row r="915" ht="15.75" customHeight="1">
      <c r="C915" s="1"/>
      <c r="D915" s="1"/>
    </row>
    <row r="916" ht="15.75" customHeight="1">
      <c r="C916" s="1"/>
      <c r="D916" s="1"/>
    </row>
    <row r="917" ht="15.75" customHeight="1">
      <c r="C917" s="1"/>
      <c r="D917" s="1"/>
    </row>
    <row r="918" ht="15.75" customHeight="1">
      <c r="C918" s="1"/>
      <c r="D918" s="1"/>
    </row>
    <row r="919" ht="15.75" customHeight="1">
      <c r="C919" s="1"/>
      <c r="D919" s="1"/>
    </row>
    <row r="920" ht="15.75" customHeight="1">
      <c r="C920" s="1"/>
      <c r="D920" s="1"/>
    </row>
    <row r="921" ht="15.75" customHeight="1">
      <c r="C921" s="1"/>
      <c r="D921" s="1"/>
    </row>
    <row r="922" ht="15.75" customHeight="1">
      <c r="C922" s="1"/>
      <c r="D922" s="1"/>
    </row>
    <row r="923" ht="15.75" customHeight="1">
      <c r="C923" s="1"/>
      <c r="D923" s="1"/>
    </row>
    <row r="924" ht="15.75" customHeight="1">
      <c r="C924" s="1"/>
      <c r="D924" s="1"/>
    </row>
    <row r="925" ht="15.75" customHeight="1">
      <c r="C925" s="1"/>
      <c r="D925" s="1"/>
    </row>
    <row r="926" ht="15.75" customHeight="1">
      <c r="C926" s="1"/>
      <c r="D926" s="1"/>
    </row>
    <row r="927" ht="15.75" customHeight="1">
      <c r="C927" s="1"/>
      <c r="D927" s="1"/>
    </row>
    <row r="928" ht="15.75" customHeight="1">
      <c r="C928" s="1"/>
      <c r="D928" s="1"/>
    </row>
    <row r="929" ht="15.75" customHeight="1">
      <c r="C929" s="1"/>
      <c r="D929" s="1"/>
    </row>
    <row r="930" ht="15.75" customHeight="1">
      <c r="C930" s="1"/>
      <c r="D930" s="1"/>
    </row>
    <row r="931" ht="15.75" customHeight="1">
      <c r="C931" s="1"/>
      <c r="D931" s="1"/>
    </row>
    <row r="932" ht="15.75" customHeight="1">
      <c r="C932" s="1"/>
      <c r="D932" s="1"/>
    </row>
    <row r="933" ht="15.75" customHeight="1">
      <c r="C933" s="1"/>
      <c r="D933" s="1"/>
    </row>
    <row r="934" ht="15.75" customHeight="1">
      <c r="C934" s="1"/>
      <c r="D934" s="1"/>
    </row>
    <row r="935" ht="15.75" customHeight="1">
      <c r="C935" s="1"/>
      <c r="D935" s="1"/>
    </row>
    <row r="936" ht="15.75" customHeight="1">
      <c r="C936" s="1"/>
      <c r="D936" s="1"/>
    </row>
    <row r="937" ht="15.75" customHeight="1">
      <c r="C937" s="1"/>
      <c r="D937" s="1"/>
    </row>
    <row r="938" ht="15.75" customHeight="1">
      <c r="C938" s="1"/>
      <c r="D938" s="1"/>
    </row>
    <row r="939" ht="15.75" customHeight="1">
      <c r="C939" s="1"/>
      <c r="D939" s="1"/>
    </row>
    <row r="940" ht="15.75" customHeight="1">
      <c r="C940" s="1"/>
      <c r="D940" s="1"/>
    </row>
    <row r="941" ht="15.75" customHeight="1">
      <c r="C941" s="1"/>
      <c r="D941" s="1"/>
    </row>
    <row r="942" ht="15.75" customHeight="1">
      <c r="C942" s="1"/>
      <c r="D942" s="1"/>
    </row>
    <row r="943" ht="15.75" customHeight="1">
      <c r="C943" s="1"/>
      <c r="D943" s="1"/>
    </row>
    <row r="944" ht="15.75" customHeight="1">
      <c r="C944" s="1"/>
      <c r="D944" s="1"/>
    </row>
    <row r="945" ht="15.75" customHeight="1">
      <c r="C945" s="1"/>
      <c r="D945" s="1"/>
    </row>
    <row r="946" ht="15.75" customHeight="1">
      <c r="C946" s="1"/>
      <c r="D946" s="1"/>
    </row>
    <row r="947" ht="15.75" customHeight="1">
      <c r="C947" s="1"/>
      <c r="D947" s="1"/>
    </row>
    <row r="948" ht="15.75" customHeight="1">
      <c r="C948" s="1"/>
      <c r="D948" s="1"/>
    </row>
    <row r="949" ht="15.75" customHeight="1">
      <c r="C949" s="1"/>
      <c r="D949" s="1"/>
    </row>
    <row r="950" ht="15.75" customHeight="1">
      <c r="C950" s="1"/>
      <c r="D950" s="1"/>
    </row>
    <row r="951" ht="15.75" customHeight="1">
      <c r="C951" s="1"/>
      <c r="D951" s="1"/>
    </row>
    <row r="952" ht="15.75" customHeight="1">
      <c r="C952" s="1"/>
      <c r="D952" s="1"/>
    </row>
    <row r="953" ht="15.75" customHeight="1">
      <c r="C953" s="1"/>
      <c r="D953" s="1"/>
    </row>
    <row r="954" ht="15.75" customHeight="1">
      <c r="C954" s="1"/>
      <c r="D954" s="1"/>
    </row>
    <row r="955" ht="15.75" customHeight="1">
      <c r="C955" s="1"/>
      <c r="D955" s="1"/>
    </row>
    <row r="956" ht="15.75" customHeight="1">
      <c r="C956" s="1"/>
      <c r="D956" s="1"/>
    </row>
    <row r="957" ht="15.75" customHeight="1">
      <c r="C957" s="1"/>
      <c r="D957" s="1"/>
    </row>
    <row r="958" ht="15.75" customHeight="1">
      <c r="C958" s="1"/>
      <c r="D958" s="1"/>
    </row>
    <row r="959" ht="15.75" customHeight="1">
      <c r="C959" s="1"/>
      <c r="D959" s="1"/>
    </row>
    <row r="960" ht="15.75" customHeight="1">
      <c r="C960" s="1"/>
      <c r="D960" s="1"/>
    </row>
    <row r="961" ht="15.75" customHeight="1">
      <c r="C961" s="1"/>
      <c r="D961" s="1"/>
    </row>
    <row r="962" ht="15.75" customHeight="1">
      <c r="C962" s="1"/>
      <c r="D962" s="1"/>
    </row>
    <row r="963" ht="15.75" customHeight="1">
      <c r="C963" s="1"/>
      <c r="D963" s="1"/>
    </row>
    <row r="964" ht="15.75" customHeight="1">
      <c r="C964" s="1"/>
      <c r="D964" s="1"/>
    </row>
    <row r="965" ht="15.75" customHeight="1">
      <c r="C965" s="1"/>
      <c r="D965" s="1"/>
    </row>
    <row r="966" ht="15.75" customHeight="1">
      <c r="C966" s="1"/>
      <c r="D966" s="1"/>
    </row>
    <row r="967" ht="15.75" customHeight="1">
      <c r="C967" s="1"/>
      <c r="D967" s="1"/>
    </row>
    <row r="968" ht="15.75" customHeight="1">
      <c r="C968" s="1"/>
      <c r="D968" s="1"/>
    </row>
    <row r="969" ht="15.75" customHeight="1">
      <c r="C969" s="1"/>
      <c r="D969" s="1"/>
    </row>
    <row r="970" ht="15.75" customHeight="1">
      <c r="C970" s="1"/>
      <c r="D970" s="1"/>
    </row>
    <row r="971" ht="15.75" customHeight="1">
      <c r="C971" s="1"/>
      <c r="D971" s="1"/>
    </row>
    <row r="972" ht="15.75" customHeight="1">
      <c r="C972" s="1"/>
      <c r="D972" s="1"/>
    </row>
    <row r="973" ht="15.75" customHeight="1">
      <c r="C973" s="1"/>
      <c r="D973" s="1"/>
    </row>
    <row r="974" ht="15.75" customHeight="1">
      <c r="C974" s="1"/>
      <c r="D974" s="1"/>
    </row>
    <row r="975" ht="15.75" customHeight="1">
      <c r="C975" s="1"/>
      <c r="D975" s="1"/>
    </row>
    <row r="976" ht="15.75" customHeight="1">
      <c r="C976" s="1"/>
      <c r="D976" s="1"/>
    </row>
    <row r="977" ht="15.75" customHeight="1">
      <c r="C977" s="1"/>
      <c r="D977" s="1"/>
    </row>
    <row r="978" ht="15.75" customHeight="1">
      <c r="C978" s="1"/>
      <c r="D978" s="1"/>
    </row>
    <row r="979" ht="15.75" customHeight="1">
      <c r="C979" s="1"/>
      <c r="D979" s="1"/>
    </row>
    <row r="980" ht="15.75" customHeight="1">
      <c r="C980" s="1"/>
      <c r="D980" s="1"/>
    </row>
    <row r="981" ht="15.75" customHeight="1">
      <c r="C981" s="1"/>
      <c r="D981" s="1"/>
    </row>
    <row r="982" ht="15.75" customHeight="1">
      <c r="C982" s="1"/>
      <c r="D982" s="1"/>
    </row>
    <row r="983" ht="15.75" customHeight="1">
      <c r="C983" s="1"/>
      <c r="D983" s="1"/>
    </row>
    <row r="984" ht="15.75" customHeight="1">
      <c r="C984" s="1"/>
      <c r="D984" s="1"/>
    </row>
    <row r="985" ht="15.75" customHeight="1">
      <c r="C985" s="1"/>
      <c r="D985" s="1"/>
    </row>
    <row r="986" ht="15.75" customHeight="1">
      <c r="C986" s="1"/>
      <c r="D986" s="1"/>
    </row>
    <row r="987" ht="15.75" customHeight="1">
      <c r="C987" s="1"/>
      <c r="D987" s="1"/>
    </row>
    <row r="988" ht="15.75" customHeight="1">
      <c r="C988" s="1"/>
      <c r="D988" s="1"/>
    </row>
    <row r="989" ht="15.75" customHeight="1">
      <c r="C989" s="1"/>
      <c r="D989" s="1"/>
    </row>
    <row r="990" ht="15.75" customHeight="1">
      <c r="C990" s="1"/>
      <c r="D990" s="1"/>
    </row>
    <row r="991" ht="15.75" customHeight="1">
      <c r="C991" s="1"/>
      <c r="D991" s="1"/>
    </row>
    <row r="992" ht="15.75" customHeight="1">
      <c r="C992" s="1"/>
      <c r="D992" s="1"/>
    </row>
    <row r="993" ht="15.75" customHeight="1">
      <c r="C993" s="1"/>
      <c r="D993" s="1"/>
    </row>
    <row r="994" ht="15.75" customHeight="1">
      <c r="C994" s="1"/>
      <c r="D994" s="1"/>
    </row>
    <row r="995" ht="15.75" customHeight="1">
      <c r="C995" s="1"/>
      <c r="D995" s="1"/>
    </row>
    <row r="996" ht="15.75" customHeight="1">
      <c r="C996" s="1"/>
      <c r="D996" s="1"/>
    </row>
    <row r="997" ht="15.75" customHeight="1">
      <c r="C997" s="1"/>
      <c r="D997" s="1"/>
    </row>
    <row r="998" ht="15.75" customHeight="1">
      <c r="C998" s="1"/>
      <c r="D998" s="1"/>
    </row>
    <row r="999" ht="15.75" customHeight="1">
      <c r="C999" s="1"/>
      <c r="D999" s="1"/>
    </row>
    <row r="1000" ht="15.75" customHeight="1">
      <c r="C1000" s="1"/>
      <c r="D1000" s="1"/>
    </row>
  </sheetData>
  <mergeCells count="2">
    <mergeCell ref="H12:I12"/>
    <mergeCell ref="H30:I30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4" width="10.71"/>
    <col customWidth="1" min="5" max="5" width="40.71"/>
    <col customWidth="1" min="6" max="6" width="10.86"/>
    <col customWidth="1" min="7" max="7" width="9.57"/>
    <col customWidth="1" min="8" max="8" width="10.71"/>
    <col customWidth="1" min="9" max="9" width="8.71"/>
    <col customWidth="1" min="10" max="10" width="13.43"/>
    <col customWidth="1" min="11" max="11" width="6.29"/>
    <col customWidth="1" min="12" max="12" width="8.0"/>
    <col customWidth="1" min="13" max="13" width="11.71"/>
    <col customWidth="1" min="14" max="26" width="8.71"/>
  </cols>
  <sheetData>
    <row r="1">
      <c r="C1" s="1"/>
      <c r="D1" s="1"/>
    </row>
    <row r="2">
      <c r="C2" s="1"/>
      <c r="D2" s="1"/>
    </row>
    <row r="3">
      <c r="C3" s="1"/>
      <c r="D3" s="1"/>
      <c r="N3" s="10" t="s">
        <v>83</v>
      </c>
    </row>
    <row r="4">
      <c r="C4" s="2" t="s">
        <v>0</v>
      </c>
      <c r="D4" s="2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/>
      <c r="J4" s="3"/>
      <c r="K4" s="3" t="s">
        <v>14</v>
      </c>
      <c r="L4" s="3" t="s">
        <v>15</v>
      </c>
      <c r="M4" s="3" t="s">
        <v>16</v>
      </c>
    </row>
    <row r="5">
      <c r="C5" s="5">
        <v>45931.0</v>
      </c>
      <c r="D5" s="5">
        <v>45961.0</v>
      </c>
      <c r="E5" s="9" t="s">
        <v>84</v>
      </c>
      <c r="F5" s="7">
        <v>7006.0</v>
      </c>
      <c r="G5" s="7">
        <v>7251.1</v>
      </c>
      <c r="H5" s="7">
        <f t="shared" ref="H5:H10" si="1">G5-F5</f>
        <v>245.1</v>
      </c>
      <c r="I5" s="8">
        <v>400.0</v>
      </c>
      <c r="J5" s="8">
        <f t="shared" ref="J5:J10" si="2">H5*I5</f>
        <v>98040</v>
      </c>
      <c r="K5" s="7">
        <v>3145.0</v>
      </c>
      <c r="L5" s="7"/>
      <c r="M5" s="14">
        <f>K5*L5</f>
        <v>0</v>
      </c>
    </row>
    <row r="6">
      <c r="C6" s="5"/>
      <c r="D6" s="5"/>
      <c r="E6" s="9" t="s">
        <v>53</v>
      </c>
      <c r="F6" s="7">
        <v>0.0</v>
      </c>
      <c r="G6" s="7"/>
      <c r="H6" s="7">
        <f t="shared" si="1"/>
        <v>0</v>
      </c>
      <c r="I6" s="7"/>
      <c r="J6" s="8">
        <f t="shared" si="2"/>
        <v>0</v>
      </c>
      <c r="K6" s="7"/>
      <c r="L6" s="7"/>
      <c r="M6" s="14"/>
    </row>
    <row r="7">
      <c r="C7" s="5"/>
      <c r="D7" s="5"/>
      <c r="E7" s="9"/>
      <c r="F7" s="7">
        <v>0.0</v>
      </c>
      <c r="G7" s="7"/>
      <c r="H7" s="7">
        <f t="shared" si="1"/>
        <v>0</v>
      </c>
      <c r="I7" s="7"/>
      <c r="J7" s="8">
        <f t="shared" si="2"/>
        <v>0</v>
      </c>
      <c r="K7" s="7"/>
      <c r="L7" s="7"/>
      <c r="M7" s="14"/>
    </row>
    <row r="8">
      <c r="C8" s="5"/>
      <c r="D8" s="5"/>
      <c r="E8" s="9"/>
      <c r="F8" s="7">
        <v>0.0</v>
      </c>
      <c r="G8" s="7"/>
      <c r="H8" s="7">
        <f t="shared" si="1"/>
        <v>0</v>
      </c>
      <c r="I8" s="7"/>
      <c r="J8" s="8">
        <f t="shared" si="2"/>
        <v>0</v>
      </c>
      <c r="K8" s="7"/>
      <c r="L8" s="7"/>
      <c r="M8" s="14"/>
    </row>
    <row r="9">
      <c r="C9" s="5"/>
      <c r="D9" s="5"/>
      <c r="E9" s="9"/>
      <c r="F9" s="7">
        <v>0.0</v>
      </c>
      <c r="G9" s="7"/>
      <c r="H9" s="7">
        <f t="shared" si="1"/>
        <v>0</v>
      </c>
      <c r="I9" s="7"/>
      <c r="J9" s="8">
        <f t="shared" si="2"/>
        <v>0</v>
      </c>
      <c r="K9" s="7"/>
      <c r="L9" s="7"/>
      <c r="M9" s="14"/>
    </row>
    <row r="10">
      <c r="C10" s="5"/>
      <c r="D10" s="5"/>
      <c r="E10" s="9"/>
      <c r="F10" s="7">
        <v>0.0</v>
      </c>
      <c r="G10" s="7"/>
      <c r="H10" s="7">
        <f t="shared" si="1"/>
        <v>0</v>
      </c>
      <c r="I10" s="7"/>
      <c r="J10" s="8">
        <f t="shared" si="2"/>
        <v>0</v>
      </c>
      <c r="K10" s="7"/>
      <c r="L10" s="7"/>
      <c r="M10" s="14"/>
    </row>
    <row r="11">
      <c r="C11" s="1"/>
      <c r="D11" s="1"/>
      <c r="I11" s="15" t="s">
        <v>11</v>
      </c>
      <c r="J11" s="11">
        <f>SUM(J5:J10)</f>
        <v>98040</v>
      </c>
      <c r="M11" s="16">
        <f>SUM(M5:M10)</f>
        <v>0</v>
      </c>
    </row>
    <row r="12">
      <c r="C12" s="1"/>
      <c r="D12" s="1"/>
    </row>
    <row r="13">
      <c r="C13" s="1"/>
      <c r="D13" s="1"/>
      <c r="H13" s="17" t="s">
        <v>18</v>
      </c>
      <c r="I13" s="18"/>
      <c r="J13" s="19">
        <f>J11-M11</f>
        <v>98040</v>
      </c>
    </row>
    <row r="14">
      <c r="C14" s="1"/>
      <c r="D14" s="1"/>
    </row>
    <row r="15">
      <c r="C15" s="1"/>
      <c r="D15" s="1"/>
      <c r="E15" s="57" t="s">
        <v>12</v>
      </c>
    </row>
    <row r="16">
      <c r="C16" s="1"/>
      <c r="D16" s="1"/>
      <c r="E16" s="57" t="s">
        <v>80</v>
      </c>
    </row>
    <row r="17">
      <c r="C17" s="1"/>
      <c r="D17" s="1"/>
    </row>
    <row r="18">
      <c r="C18" s="1"/>
      <c r="D18" s="1"/>
    </row>
    <row r="19">
      <c r="C19" s="1"/>
      <c r="D19" s="1"/>
    </row>
    <row r="20">
      <c r="C20" s="1"/>
      <c r="D20" s="1"/>
    </row>
    <row r="21" ht="15.75" customHeight="1">
      <c r="C21" s="1"/>
      <c r="D21" s="1"/>
    </row>
    <row r="22" ht="15.75" customHeight="1">
      <c r="C22" s="1"/>
      <c r="D22" s="1"/>
    </row>
    <row r="23" ht="15.75" customHeight="1">
      <c r="C23" s="1"/>
      <c r="D23" s="1"/>
    </row>
    <row r="24" ht="15.75" customHeight="1">
      <c r="C24" s="1"/>
      <c r="D24" s="1"/>
    </row>
    <row r="25" ht="15.75" customHeight="1">
      <c r="C25" s="2" t="s">
        <v>0</v>
      </c>
      <c r="D25" s="2" t="s">
        <v>1</v>
      </c>
      <c r="E25" s="3" t="s">
        <v>85</v>
      </c>
      <c r="F25" s="3" t="s">
        <v>3</v>
      </c>
      <c r="G25" s="3" t="s">
        <v>4</v>
      </c>
      <c r="H25" s="3" t="s">
        <v>5</v>
      </c>
      <c r="I25" s="3" t="s">
        <v>86</v>
      </c>
      <c r="J25" s="3"/>
      <c r="K25" s="3" t="s">
        <v>14</v>
      </c>
      <c r="L25" s="3" t="s">
        <v>15</v>
      </c>
      <c r="M25" s="3" t="s">
        <v>16</v>
      </c>
    </row>
    <row r="26" ht="15.75" customHeight="1">
      <c r="C26" s="5">
        <v>45898.0</v>
      </c>
      <c r="D26" s="5">
        <v>45905.0</v>
      </c>
      <c r="E26" s="9" t="s">
        <v>87</v>
      </c>
      <c r="F26" s="7">
        <v>6767.2</v>
      </c>
      <c r="G26" s="7">
        <v>6830.9</v>
      </c>
      <c r="H26" s="7">
        <f t="shared" ref="H26:H31" si="3">G26-F26</f>
        <v>63.7</v>
      </c>
      <c r="I26" s="8">
        <v>400.0</v>
      </c>
      <c r="J26" s="8">
        <f t="shared" ref="J26:J29" si="4">H26*I26</f>
        <v>25480</v>
      </c>
      <c r="K26" s="7"/>
      <c r="L26" s="7"/>
      <c r="M26" s="14">
        <f t="shared" ref="M26:M29" si="5">K26*L26</f>
        <v>0</v>
      </c>
    </row>
    <row r="27" ht="15.75" customHeight="1">
      <c r="C27" s="5">
        <v>45908.0</v>
      </c>
      <c r="D27" s="5">
        <v>45930.0</v>
      </c>
      <c r="E27" s="9" t="s">
        <v>88</v>
      </c>
      <c r="F27" s="7">
        <v>6832.5</v>
      </c>
      <c r="G27" s="7">
        <v>7006.0</v>
      </c>
      <c r="H27" s="7">
        <f t="shared" si="3"/>
        <v>173.5</v>
      </c>
      <c r="I27" s="14">
        <v>400.0</v>
      </c>
      <c r="J27" s="8">
        <f t="shared" si="4"/>
        <v>69400</v>
      </c>
      <c r="K27" s="7">
        <v>2103.0</v>
      </c>
      <c r="L27" s="7"/>
      <c r="M27" s="14">
        <f t="shared" si="5"/>
        <v>0</v>
      </c>
    </row>
    <row r="28" ht="15.75" customHeight="1">
      <c r="C28" s="5">
        <v>45931.0</v>
      </c>
      <c r="D28" s="5">
        <v>45961.0</v>
      </c>
      <c r="E28" s="9" t="s">
        <v>89</v>
      </c>
      <c r="F28" s="7">
        <v>7006.0</v>
      </c>
      <c r="G28" s="7">
        <v>7251.0</v>
      </c>
      <c r="H28" s="7">
        <f t="shared" si="3"/>
        <v>245</v>
      </c>
      <c r="I28" s="14">
        <v>400.0</v>
      </c>
      <c r="J28" s="8">
        <f t="shared" si="4"/>
        <v>98000</v>
      </c>
      <c r="K28" s="7">
        <v>3275.0</v>
      </c>
      <c r="L28" s="7"/>
      <c r="M28" s="14">
        <f t="shared" si="5"/>
        <v>0</v>
      </c>
    </row>
    <row r="29" ht="15.75" customHeight="1">
      <c r="C29" s="5">
        <v>45962.0</v>
      </c>
      <c r="D29" s="5">
        <v>45968.0</v>
      </c>
      <c r="E29" s="9" t="s">
        <v>88</v>
      </c>
      <c r="F29" s="7">
        <v>7251.0</v>
      </c>
      <c r="G29" s="7">
        <v>7293.0</v>
      </c>
      <c r="H29" s="7">
        <f t="shared" si="3"/>
        <v>42</v>
      </c>
      <c r="I29" s="14">
        <v>400.0</v>
      </c>
      <c r="J29" s="8">
        <f t="shared" si="4"/>
        <v>16800</v>
      </c>
      <c r="K29" s="7">
        <v>585.0</v>
      </c>
      <c r="L29" s="7"/>
      <c r="M29" s="14">
        <f t="shared" si="5"/>
        <v>0</v>
      </c>
    </row>
    <row r="30" ht="15.75" customHeight="1">
      <c r="C30" s="5"/>
      <c r="D30" s="5"/>
      <c r="E30" s="9"/>
      <c r="F30" s="7">
        <v>0.0</v>
      </c>
      <c r="G30" s="7"/>
      <c r="H30" s="7">
        <f t="shared" si="3"/>
        <v>0</v>
      </c>
      <c r="I30" s="14"/>
      <c r="J30" s="8">
        <v>0.0</v>
      </c>
      <c r="K30" s="7"/>
      <c r="L30" s="7"/>
      <c r="M30" s="14"/>
    </row>
    <row r="31" ht="15.75" customHeight="1">
      <c r="C31" s="5"/>
      <c r="D31" s="5"/>
      <c r="E31" s="9" t="s">
        <v>90</v>
      </c>
      <c r="F31" s="7">
        <v>0.0</v>
      </c>
      <c r="G31" s="7"/>
      <c r="H31" s="7">
        <f t="shared" si="3"/>
        <v>0</v>
      </c>
      <c r="I31" s="14"/>
      <c r="J31" s="8">
        <v>100000.0</v>
      </c>
      <c r="K31" s="7"/>
      <c r="L31" s="7"/>
      <c r="M31" s="14"/>
    </row>
    <row r="32" ht="15.75" customHeight="1">
      <c r="C32" s="1"/>
      <c r="D32" s="1"/>
      <c r="I32" s="15" t="s">
        <v>11</v>
      </c>
      <c r="J32" s="11">
        <f>SUM(J26:J29)-J31</f>
        <v>109680</v>
      </c>
      <c r="M32" s="16">
        <f>SUM(M26:M31)</f>
        <v>0</v>
      </c>
    </row>
    <row r="33" ht="15.75" customHeight="1">
      <c r="C33" s="1"/>
      <c r="D33" s="1"/>
    </row>
    <row r="34" ht="15.75" customHeight="1">
      <c r="C34" s="1"/>
      <c r="D34" s="1"/>
    </row>
    <row r="35" ht="15.75" customHeight="1">
      <c r="C35" s="1"/>
      <c r="D35" s="1"/>
    </row>
    <row r="36" ht="15.75" customHeight="1">
      <c r="C36" s="1"/>
      <c r="D36" s="1"/>
      <c r="H36" s="58" t="s">
        <v>18</v>
      </c>
      <c r="I36" s="59"/>
      <c r="J36" s="60">
        <f>J32-M32</f>
        <v>109680</v>
      </c>
    </row>
    <row r="37" ht="15.75" customHeight="1">
      <c r="C37" s="1"/>
      <c r="D37" s="1"/>
    </row>
    <row r="38" ht="15.75" customHeight="1">
      <c r="C38" s="1"/>
      <c r="D38" s="1"/>
    </row>
    <row r="39" ht="15.75" customHeight="1">
      <c r="C39" s="1"/>
      <c r="D39" s="1"/>
      <c r="E39" s="57" t="s">
        <v>12</v>
      </c>
    </row>
    <row r="40" ht="15.75" customHeight="1">
      <c r="C40" s="1"/>
      <c r="D40" s="1"/>
      <c r="E40" s="57" t="s">
        <v>80</v>
      </c>
    </row>
    <row r="41" ht="15.75" customHeight="1">
      <c r="C41" s="1"/>
      <c r="D41" s="1"/>
    </row>
    <row r="42" ht="15.75" customHeight="1">
      <c r="C42" s="1"/>
      <c r="D42" s="1"/>
    </row>
    <row r="43" ht="15.75" customHeight="1">
      <c r="C43" s="1"/>
      <c r="D43" s="1"/>
    </row>
    <row r="44" ht="15.75" customHeight="1">
      <c r="C44" s="1"/>
      <c r="D44" s="1"/>
    </row>
    <row r="45" ht="15.75" customHeight="1">
      <c r="C45" s="1"/>
      <c r="D45" s="1"/>
    </row>
    <row r="46" ht="15.75" customHeight="1">
      <c r="C46" s="1"/>
      <c r="D46" s="1"/>
    </row>
    <row r="47" ht="15.75" customHeight="1">
      <c r="C47" s="1"/>
      <c r="D47" s="1"/>
    </row>
    <row r="48" ht="15.75" customHeight="1">
      <c r="C48" s="1"/>
      <c r="D48" s="1"/>
    </row>
    <row r="49" ht="15.75" customHeight="1">
      <c r="C49" s="1"/>
      <c r="D49" s="1"/>
    </row>
    <row r="50" ht="15.75" customHeight="1">
      <c r="C50" s="1"/>
      <c r="D50" s="1"/>
    </row>
    <row r="51" ht="15.75" customHeight="1">
      <c r="C51" s="1"/>
      <c r="D51" s="1"/>
    </row>
    <row r="52" ht="15.75" customHeight="1">
      <c r="C52" s="1"/>
      <c r="D52" s="1"/>
    </row>
    <row r="53" ht="15.75" customHeight="1">
      <c r="C53" s="1"/>
      <c r="D53" s="1"/>
    </row>
    <row r="54" ht="15.75" customHeight="1">
      <c r="C54" s="1"/>
      <c r="D54" s="1"/>
    </row>
    <row r="55" ht="15.75" customHeight="1">
      <c r="C55" s="1"/>
      <c r="D55" s="1"/>
    </row>
    <row r="56" ht="15.75" customHeight="1">
      <c r="C56" s="1"/>
      <c r="D56" s="1"/>
    </row>
    <row r="57" ht="15.75" customHeight="1">
      <c r="C57" s="1"/>
      <c r="D57" s="1"/>
    </row>
    <row r="58" ht="15.75" customHeight="1">
      <c r="C58" s="1"/>
      <c r="D58" s="1"/>
    </row>
    <row r="59" ht="15.75" customHeight="1">
      <c r="C59" s="1"/>
      <c r="D59" s="1"/>
    </row>
    <row r="60" ht="15.75" customHeight="1">
      <c r="C60" s="1"/>
      <c r="D60" s="1"/>
    </row>
    <row r="61" ht="15.75" customHeight="1">
      <c r="C61" s="1"/>
      <c r="D61" s="1"/>
    </row>
    <row r="62" ht="15.75" customHeight="1">
      <c r="C62" s="1"/>
      <c r="D62" s="1"/>
    </row>
    <row r="63" ht="15.75" customHeight="1">
      <c r="C63" s="1"/>
      <c r="D63" s="1"/>
    </row>
    <row r="64" ht="15.75" customHeight="1">
      <c r="C64" s="1"/>
      <c r="D64" s="1"/>
    </row>
    <row r="65" ht="15.75" customHeight="1">
      <c r="C65" s="1"/>
      <c r="D65" s="1"/>
    </row>
    <row r="66" ht="15.75" customHeight="1">
      <c r="C66" s="1"/>
      <c r="D66" s="1"/>
    </row>
    <row r="67" ht="15.75" customHeight="1">
      <c r="C67" s="1"/>
      <c r="D67" s="1"/>
    </row>
    <row r="68" ht="15.75" customHeight="1">
      <c r="C68" s="1"/>
      <c r="D68" s="1"/>
    </row>
    <row r="69" ht="15.75" customHeight="1">
      <c r="C69" s="1"/>
      <c r="D69" s="1"/>
    </row>
    <row r="70" ht="15.75" customHeight="1">
      <c r="C70" s="1"/>
      <c r="D70" s="1"/>
    </row>
    <row r="71" ht="15.75" customHeight="1">
      <c r="C71" s="1"/>
      <c r="D71" s="1"/>
    </row>
    <row r="72" ht="15.75" customHeight="1">
      <c r="C72" s="1"/>
      <c r="D72" s="1"/>
    </row>
    <row r="73" ht="15.75" customHeight="1">
      <c r="C73" s="1"/>
      <c r="D73" s="1"/>
    </row>
    <row r="74" ht="15.75" customHeight="1">
      <c r="C74" s="1"/>
      <c r="D74" s="1"/>
    </row>
    <row r="75" ht="15.75" customHeight="1">
      <c r="C75" s="1"/>
      <c r="D75" s="1"/>
    </row>
    <row r="76" ht="15.75" customHeight="1">
      <c r="C76" s="1"/>
      <c r="D76" s="1"/>
    </row>
    <row r="77" ht="15.75" customHeight="1">
      <c r="C77" s="1"/>
      <c r="D77" s="1"/>
    </row>
    <row r="78" ht="15.75" customHeight="1">
      <c r="C78" s="1"/>
      <c r="D78" s="1"/>
    </row>
    <row r="79" ht="15.75" customHeight="1">
      <c r="C79" s="1"/>
      <c r="D79" s="1"/>
    </row>
    <row r="80" ht="15.75" customHeight="1">
      <c r="C80" s="1"/>
      <c r="D80" s="1"/>
    </row>
    <row r="81" ht="15.75" customHeight="1">
      <c r="C81" s="1"/>
      <c r="D81" s="1"/>
    </row>
    <row r="82" ht="15.75" customHeight="1">
      <c r="C82" s="1"/>
      <c r="D82" s="1"/>
    </row>
    <row r="83" ht="15.75" customHeight="1">
      <c r="C83" s="1"/>
      <c r="D83" s="1"/>
    </row>
    <row r="84" ht="15.75" customHeight="1">
      <c r="C84" s="1"/>
      <c r="D84" s="1"/>
    </row>
    <row r="85" ht="15.75" customHeight="1">
      <c r="C85" s="1"/>
      <c r="D85" s="1"/>
    </row>
    <row r="86" ht="15.75" customHeight="1">
      <c r="C86" s="1"/>
      <c r="D86" s="1"/>
    </row>
    <row r="87" ht="15.75" customHeight="1">
      <c r="C87" s="1"/>
      <c r="D87" s="1"/>
    </row>
    <row r="88" ht="15.75" customHeight="1">
      <c r="C88" s="1"/>
      <c r="D88" s="1"/>
    </row>
    <row r="89" ht="15.75" customHeight="1">
      <c r="C89" s="1"/>
      <c r="D89" s="1"/>
    </row>
    <row r="90" ht="15.75" customHeight="1">
      <c r="C90" s="1"/>
      <c r="D90" s="1"/>
    </row>
    <row r="91" ht="15.75" customHeight="1">
      <c r="C91" s="1"/>
      <c r="D91" s="1"/>
    </row>
    <row r="92" ht="15.75" customHeight="1">
      <c r="C92" s="1"/>
      <c r="D92" s="1"/>
    </row>
    <row r="93" ht="15.75" customHeight="1">
      <c r="C93" s="1"/>
      <c r="D93" s="1"/>
    </row>
    <row r="94" ht="15.75" customHeight="1">
      <c r="C94" s="1"/>
      <c r="D94" s="1"/>
    </row>
    <row r="95" ht="15.75" customHeight="1">
      <c r="C95" s="1"/>
      <c r="D95" s="1"/>
    </row>
    <row r="96" ht="15.75" customHeight="1">
      <c r="C96" s="1"/>
      <c r="D96" s="1"/>
    </row>
    <row r="97" ht="15.75" customHeight="1">
      <c r="C97" s="1"/>
      <c r="D97" s="1"/>
    </row>
    <row r="98" ht="15.75" customHeight="1">
      <c r="C98" s="1"/>
      <c r="D98" s="1"/>
    </row>
    <row r="99" ht="15.75" customHeight="1">
      <c r="C99" s="1"/>
      <c r="D99" s="1"/>
    </row>
    <row r="100" ht="15.75" customHeight="1">
      <c r="C100" s="1"/>
      <c r="D100" s="1"/>
    </row>
    <row r="101" ht="15.75" customHeight="1">
      <c r="C101" s="1"/>
      <c r="D101" s="1"/>
    </row>
    <row r="102" ht="15.75" customHeight="1">
      <c r="C102" s="1"/>
      <c r="D102" s="1"/>
    </row>
    <row r="103" ht="15.75" customHeight="1">
      <c r="C103" s="1"/>
      <c r="D103" s="1"/>
    </row>
    <row r="104" ht="15.75" customHeight="1">
      <c r="C104" s="1"/>
      <c r="D104" s="1"/>
    </row>
    <row r="105" ht="15.75" customHeight="1">
      <c r="C105" s="1"/>
      <c r="D105" s="1"/>
    </row>
    <row r="106" ht="15.75" customHeight="1">
      <c r="C106" s="1"/>
      <c r="D106" s="1"/>
    </row>
    <row r="107" ht="15.75" customHeight="1">
      <c r="C107" s="1"/>
      <c r="D107" s="1"/>
    </row>
    <row r="108" ht="15.75" customHeight="1">
      <c r="C108" s="1"/>
      <c r="D108" s="1"/>
    </row>
    <row r="109" ht="15.75" customHeight="1">
      <c r="C109" s="1"/>
      <c r="D109" s="1"/>
    </row>
    <row r="110" ht="15.75" customHeight="1">
      <c r="C110" s="1"/>
      <c r="D110" s="1"/>
    </row>
    <row r="111" ht="15.75" customHeight="1">
      <c r="C111" s="1"/>
      <c r="D111" s="1"/>
    </row>
    <row r="112" ht="15.75" customHeight="1">
      <c r="C112" s="1"/>
      <c r="D112" s="1"/>
    </row>
    <row r="113" ht="15.75" customHeight="1">
      <c r="C113" s="1"/>
      <c r="D113" s="1"/>
    </row>
    <row r="114" ht="15.75" customHeight="1">
      <c r="C114" s="1"/>
      <c r="D114" s="1"/>
    </row>
    <row r="115" ht="15.75" customHeight="1">
      <c r="C115" s="1"/>
      <c r="D115" s="1"/>
    </row>
    <row r="116" ht="15.75" customHeight="1">
      <c r="C116" s="1"/>
      <c r="D116" s="1"/>
    </row>
    <row r="117" ht="15.75" customHeight="1">
      <c r="C117" s="1"/>
      <c r="D117" s="1"/>
    </row>
    <row r="118" ht="15.75" customHeight="1">
      <c r="C118" s="1"/>
      <c r="D118" s="1"/>
    </row>
    <row r="119" ht="15.75" customHeight="1">
      <c r="C119" s="1"/>
      <c r="D119" s="1"/>
    </row>
    <row r="120" ht="15.75" customHeight="1">
      <c r="C120" s="1"/>
      <c r="D120" s="1"/>
    </row>
    <row r="121" ht="15.75" customHeight="1">
      <c r="C121" s="1"/>
      <c r="D121" s="1"/>
    </row>
    <row r="122" ht="15.75" customHeight="1">
      <c r="C122" s="1"/>
      <c r="D122" s="1"/>
    </row>
    <row r="123" ht="15.75" customHeight="1">
      <c r="C123" s="1"/>
      <c r="D123" s="1"/>
    </row>
    <row r="124" ht="15.75" customHeight="1">
      <c r="C124" s="1"/>
      <c r="D124" s="1"/>
    </row>
    <row r="125" ht="15.75" customHeight="1">
      <c r="C125" s="1"/>
      <c r="D125" s="1"/>
    </row>
    <row r="126" ht="15.75" customHeight="1">
      <c r="C126" s="1"/>
      <c r="D126" s="1"/>
    </row>
    <row r="127" ht="15.75" customHeight="1">
      <c r="C127" s="1"/>
      <c r="D127" s="1"/>
    </row>
    <row r="128" ht="15.75" customHeight="1">
      <c r="C128" s="1"/>
      <c r="D128" s="1"/>
    </row>
    <row r="129" ht="15.75" customHeight="1">
      <c r="C129" s="1"/>
      <c r="D129" s="1"/>
    </row>
    <row r="130" ht="15.75" customHeight="1">
      <c r="C130" s="1"/>
      <c r="D130" s="1"/>
    </row>
    <row r="131" ht="15.75" customHeight="1">
      <c r="C131" s="1"/>
      <c r="D131" s="1"/>
    </row>
    <row r="132" ht="15.75" customHeight="1">
      <c r="C132" s="1"/>
      <c r="D132" s="1"/>
    </row>
    <row r="133" ht="15.75" customHeight="1">
      <c r="C133" s="1"/>
      <c r="D133" s="1"/>
    </row>
    <row r="134" ht="15.75" customHeight="1">
      <c r="C134" s="1"/>
      <c r="D134" s="1"/>
    </row>
    <row r="135" ht="15.75" customHeight="1">
      <c r="C135" s="1"/>
      <c r="D135" s="1"/>
    </row>
    <row r="136" ht="15.75" customHeight="1">
      <c r="C136" s="1"/>
      <c r="D136" s="1"/>
    </row>
    <row r="137" ht="15.75" customHeight="1">
      <c r="C137" s="1"/>
      <c r="D137" s="1"/>
    </row>
    <row r="138" ht="15.75" customHeight="1">
      <c r="C138" s="1"/>
      <c r="D138" s="1"/>
    </row>
    <row r="139" ht="15.75" customHeight="1">
      <c r="C139" s="1"/>
      <c r="D139" s="1"/>
    </row>
    <row r="140" ht="15.75" customHeight="1">
      <c r="C140" s="1"/>
      <c r="D140" s="1"/>
    </row>
    <row r="141" ht="15.75" customHeight="1">
      <c r="C141" s="1"/>
      <c r="D141" s="1"/>
    </row>
    <row r="142" ht="15.75" customHeight="1">
      <c r="C142" s="1"/>
      <c r="D142" s="1"/>
    </row>
    <row r="143" ht="15.75" customHeight="1">
      <c r="C143" s="1"/>
      <c r="D143" s="1"/>
    </row>
    <row r="144" ht="15.75" customHeight="1">
      <c r="C144" s="1"/>
      <c r="D144" s="1"/>
    </row>
    <row r="145" ht="15.75" customHeight="1">
      <c r="C145" s="1"/>
      <c r="D145" s="1"/>
    </row>
    <row r="146" ht="15.75" customHeight="1">
      <c r="C146" s="1"/>
      <c r="D146" s="1"/>
    </row>
    <row r="147" ht="15.75" customHeight="1">
      <c r="C147" s="1"/>
      <c r="D147" s="1"/>
    </row>
    <row r="148" ht="15.75" customHeight="1">
      <c r="C148" s="1"/>
      <c r="D148" s="1"/>
    </row>
    <row r="149" ht="15.75" customHeight="1">
      <c r="C149" s="1"/>
      <c r="D149" s="1"/>
    </row>
    <row r="150" ht="15.75" customHeight="1">
      <c r="C150" s="1"/>
      <c r="D150" s="1"/>
    </row>
    <row r="151" ht="15.75" customHeight="1">
      <c r="C151" s="1"/>
      <c r="D151" s="1"/>
    </row>
    <row r="152" ht="15.75" customHeight="1">
      <c r="C152" s="1"/>
      <c r="D152" s="1"/>
    </row>
    <row r="153" ht="15.75" customHeight="1">
      <c r="C153" s="1"/>
      <c r="D153" s="1"/>
    </row>
    <row r="154" ht="15.75" customHeight="1">
      <c r="C154" s="1"/>
      <c r="D154" s="1"/>
    </row>
    <row r="155" ht="15.75" customHeight="1">
      <c r="C155" s="1"/>
      <c r="D155" s="1"/>
    </row>
    <row r="156" ht="15.75" customHeight="1">
      <c r="C156" s="1"/>
      <c r="D156" s="1"/>
    </row>
    <row r="157" ht="15.75" customHeight="1">
      <c r="C157" s="1"/>
      <c r="D157" s="1"/>
    </row>
    <row r="158" ht="15.75" customHeight="1">
      <c r="C158" s="1"/>
      <c r="D158" s="1"/>
    </row>
    <row r="159" ht="15.75" customHeight="1">
      <c r="C159" s="1"/>
      <c r="D159" s="1"/>
    </row>
    <row r="160" ht="15.75" customHeight="1">
      <c r="C160" s="1"/>
      <c r="D160" s="1"/>
    </row>
    <row r="161" ht="15.75" customHeight="1">
      <c r="C161" s="1"/>
      <c r="D161" s="1"/>
    </row>
    <row r="162" ht="15.75" customHeight="1">
      <c r="C162" s="1"/>
      <c r="D162" s="1"/>
    </row>
    <row r="163" ht="15.75" customHeight="1">
      <c r="C163" s="1"/>
      <c r="D163" s="1"/>
    </row>
    <row r="164" ht="15.75" customHeight="1">
      <c r="C164" s="1"/>
      <c r="D164" s="1"/>
    </row>
    <row r="165" ht="15.75" customHeight="1">
      <c r="C165" s="1"/>
      <c r="D165" s="1"/>
    </row>
    <row r="166" ht="15.75" customHeight="1">
      <c r="C166" s="1"/>
      <c r="D166" s="1"/>
    </row>
    <row r="167" ht="15.75" customHeight="1">
      <c r="C167" s="1"/>
      <c r="D167" s="1"/>
    </row>
    <row r="168" ht="15.75" customHeight="1">
      <c r="C168" s="1"/>
      <c r="D168" s="1"/>
    </row>
    <row r="169" ht="15.75" customHeight="1">
      <c r="C169" s="1"/>
      <c r="D169" s="1"/>
    </row>
    <row r="170" ht="15.75" customHeight="1">
      <c r="C170" s="1"/>
      <c r="D170" s="1"/>
    </row>
    <row r="171" ht="15.75" customHeight="1">
      <c r="C171" s="1"/>
      <c r="D171" s="1"/>
    </row>
    <row r="172" ht="15.75" customHeight="1">
      <c r="C172" s="1"/>
      <c r="D172" s="1"/>
    </row>
    <row r="173" ht="15.75" customHeight="1">
      <c r="C173" s="1"/>
      <c r="D173" s="1"/>
    </row>
    <row r="174" ht="15.75" customHeight="1">
      <c r="C174" s="1"/>
      <c r="D174" s="1"/>
    </row>
    <row r="175" ht="15.75" customHeight="1">
      <c r="C175" s="1"/>
      <c r="D175" s="1"/>
    </row>
    <row r="176" ht="15.75" customHeight="1">
      <c r="C176" s="1"/>
      <c r="D176" s="1"/>
    </row>
    <row r="177" ht="15.75" customHeight="1">
      <c r="C177" s="1"/>
      <c r="D177" s="1"/>
    </row>
    <row r="178" ht="15.75" customHeight="1">
      <c r="C178" s="1"/>
      <c r="D178" s="1"/>
    </row>
    <row r="179" ht="15.75" customHeight="1">
      <c r="C179" s="1"/>
      <c r="D179" s="1"/>
    </row>
    <row r="180" ht="15.75" customHeight="1">
      <c r="C180" s="1"/>
      <c r="D180" s="1"/>
    </row>
    <row r="181" ht="15.75" customHeight="1">
      <c r="C181" s="1"/>
      <c r="D181" s="1"/>
    </row>
    <row r="182" ht="15.75" customHeight="1">
      <c r="C182" s="1"/>
      <c r="D182" s="1"/>
    </row>
    <row r="183" ht="15.75" customHeight="1">
      <c r="C183" s="1"/>
      <c r="D183" s="1"/>
    </row>
    <row r="184" ht="15.75" customHeight="1">
      <c r="C184" s="1"/>
      <c r="D184" s="1"/>
    </row>
    <row r="185" ht="15.75" customHeight="1">
      <c r="C185" s="1"/>
      <c r="D185" s="1"/>
    </row>
    <row r="186" ht="15.75" customHeight="1">
      <c r="C186" s="1"/>
      <c r="D186" s="1"/>
    </row>
    <row r="187" ht="15.75" customHeight="1">
      <c r="C187" s="1"/>
      <c r="D187" s="1"/>
    </row>
    <row r="188" ht="15.75" customHeight="1">
      <c r="C188" s="1"/>
      <c r="D188" s="1"/>
    </row>
    <row r="189" ht="15.75" customHeight="1">
      <c r="C189" s="1"/>
      <c r="D189" s="1"/>
    </row>
    <row r="190" ht="15.75" customHeight="1">
      <c r="C190" s="1"/>
      <c r="D190" s="1"/>
    </row>
    <row r="191" ht="15.75" customHeight="1">
      <c r="C191" s="1"/>
      <c r="D191" s="1"/>
    </row>
    <row r="192" ht="15.75" customHeight="1">
      <c r="C192" s="1"/>
      <c r="D192" s="1"/>
    </row>
    <row r="193" ht="15.75" customHeight="1">
      <c r="C193" s="1"/>
      <c r="D193" s="1"/>
    </row>
    <row r="194" ht="15.75" customHeight="1">
      <c r="C194" s="1"/>
      <c r="D194" s="1"/>
    </row>
    <row r="195" ht="15.75" customHeight="1">
      <c r="C195" s="1"/>
      <c r="D195" s="1"/>
    </row>
    <row r="196" ht="15.75" customHeight="1">
      <c r="C196" s="1"/>
      <c r="D196" s="1"/>
    </row>
    <row r="197" ht="15.75" customHeight="1">
      <c r="C197" s="1"/>
      <c r="D197" s="1"/>
    </row>
    <row r="198" ht="15.75" customHeight="1">
      <c r="C198" s="1"/>
      <c r="D198" s="1"/>
    </row>
    <row r="199" ht="15.75" customHeight="1">
      <c r="C199" s="1"/>
      <c r="D199" s="1"/>
    </row>
    <row r="200" ht="15.75" customHeight="1">
      <c r="C200" s="1"/>
      <c r="D200" s="1"/>
    </row>
    <row r="201" ht="15.75" customHeight="1">
      <c r="C201" s="1"/>
      <c r="D201" s="1"/>
    </row>
    <row r="202" ht="15.75" customHeight="1">
      <c r="C202" s="1"/>
      <c r="D202" s="1"/>
    </row>
    <row r="203" ht="15.75" customHeight="1">
      <c r="C203" s="1"/>
      <c r="D203" s="1"/>
    </row>
    <row r="204" ht="15.75" customHeight="1">
      <c r="C204" s="1"/>
      <c r="D204" s="1"/>
    </row>
    <row r="205" ht="15.75" customHeight="1">
      <c r="C205" s="1"/>
      <c r="D205" s="1"/>
    </row>
    <row r="206" ht="15.75" customHeight="1">
      <c r="C206" s="1"/>
      <c r="D206" s="1"/>
    </row>
    <row r="207" ht="15.75" customHeight="1">
      <c r="C207" s="1"/>
      <c r="D207" s="1"/>
    </row>
    <row r="208" ht="15.75" customHeight="1">
      <c r="C208" s="1"/>
      <c r="D208" s="1"/>
    </row>
    <row r="209" ht="15.75" customHeight="1">
      <c r="C209" s="1"/>
      <c r="D209" s="1"/>
    </row>
    <row r="210" ht="15.75" customHeight="1">
      <c r="C210" s="1"/>
      <c r="D210" s="1"/>
    </row>
    <row r="211" ht="15.75" customHeight="1">
      <c r="C211" s="1"/>
      <c r="D211" s="1"/>
    </row>
    <row r="212" ht="15.75" customHeight="1">
      <c r="C212" s="1"/>
      <c r="D212" s="1"/>
    </row>
    <row r="213" ht="15.75" customHeight="1">
      <c r="C213" s="1"/>
      <c r="D213" s="1"/>
    </row>
    <row r="214" ht="15.75" customHeight="1">
      <c r="C214" s="1"/>
      <c r="D214" s="1"/>
    </row>
    <row r="215" ht="15.75" customHeight="1">
      <c r="C215" s="1"/>
      <c r="D215" s="1"/>
    </row>
    <row r="216" ht="15.75" customHeight="1">
      <c r="C216" s="1"/>
      <c r="D216" s="1"/>
    </row>
    <row r="217" ht="15.75" customHeight="1">
      <c r="C217" s="1"/>
      <c r="D217" s="1"/>
    </row>
    <row r="218" ht="15.75" customHeight="1">
      <c r="C218" s="1"/>
      <c r="D218" s="1"/>
    </row>
    <row r="219" ht="15.75" customHeight="1">
      <c r="C219" s="1"/>
      <c r="D219" s="1"/>
    </row>
    <row r="220" ht="15.75" customHeight="1">
      <c r="C220" s="1"/>
      <c r="D220" s="1"/>
    </row>
    <row r="221" ht="15.75" customHeight="1">
      <c r="C221" s="1"/>
      <c r="D221" s="1"/>
    </row>
    <row r="222" ht="15.75" customHeight="1">
      <c r="C222" s="1"/>
      <c r="D222" s="1"/>
    </row>
    <row r="223" ht="15.75" customHeight="1">
      <c r="C223" s="1"/>
      <c r="D223" s="1"/>
    </row>
    <row r="224" ht="15.75" customHeight="1">
      <c r="C224" s="1"/>
      <c r="D224" s="1"/>
    </row>
    <row r="225" ht="15.75" customHeight="1">
      <c r="C225" s="1"/>
      <c r="D225" s="1"/>
    </row>
    <row r="226" ht="15.75" customHeight="1">
      <c r="C226" s="1"/>
      <c r="D226" s="1"/>
    </row>
    <row r="227" ht="15.75" customHeight="1">
      <c r="C227" s="1"/>
      <c r="D227" s="1"/>
    </row>
    <row r="228" ht="15.75" customHeight="1">
      <c r="C228" s="1"/>
      <c r="D228" s="1"/>
    </row>
    <row r="229" ht="15.75" customHeight="1">
      <c r="C229" s="1"/>
      <c r="D229" s="1"/>
    </row>
    <row r="230" ht="15.75" customHeight="1">
      <c r="C230" s="1"/>
      <c r="D230" s="1"/>
    </row>
    <row r="231" ht="15.75" customHeight="1">
      <c r="C231" s="1"/>
      <c r="D231" s="1"/>
    </row>
    <row r="232" ht="15.75" customHeight="1">
      <c r="C232" s="1"/>
      <c r="D232" s="1"/>
    </row>
    <row r="233" ht="15.75" customHeight="1">
      <c r="C233" s="1"/>
      <c r="D233" s="1"/>
    </row>
    <row r="234" ht="15.75" customHeight="1">
      <c r="C234" s="1"/>
      <c r="D234" s="1"/>
    </row>
    <row r="235" ht="15.75" customHeight="1">
      <c r="C235" s="1"/>
      <c r="D235" s="1"/>
    </row>
    <row r="236" ht="15.75" customHeight="1">
      <c r="C236" s="1"/>
      <c r="D236" s="1"/>
    </row>
    <row r="237" ht="15.75" customHeight="1">
      <c r="C237" s="1"/>
      <c r="D237" s="1"/>
    </row>
    <row r="238" ht="15.75" customHeight="1">
      <c r="C238" s="1"/>
      <c r="D238" s="1"/>
    </row>
    <row r="239" ht="15.75" customHeight="1">
      <c r="C239" s="1"/>
      <c r="D239" s="1"/>
    </row>
    <row r="240" ht="15.75" customHeight="1">
      <c r="C240" s="1"/>
      <c r="D240" s="1"/>
    </row>
    <row r="241" ht="15.75" customHeight="1">
      <c r="C241" s="1"/>
      <c r="D241" s="1"/>
    </row>
    <row r="242" ht="15.75" customHeight="1">
      <c r="C242" s="1"/>
      <c r="D242" s="1"/>
    </row>
    <row r="243" ht="15.75" customHeight="1">
      <c r="C243" s="1"/>
      <c r="D243" s="1"/>
    </row>
    <row r="244" ht="15.75" customHeight="1">
      <c r="C244" s="1"/>
      <c r="D244" s="1"/>
    </row>
    <row r="245" ht="15.75" customHeight="1">
      <c r="C245" s="1"/>
      <c r="D245" s="1"/>
    </row>
    <row r="246" ht="15.75" customHeight="1">
      <c r="C246" s="1"/>
      <c r="D246" s="1"/>
    </row>
    <row r="247" ht="15.75" customHeight="1">
      <c r="C247" s="1"/>
      <c r="D247" s="1"/>
    </row>
    <row r="248" ht="15.75" customHeight="1">
      <c r="C248" s="1"/>
      <c r="D248" s="1"/>
    </row>
    <row r="249" ht="15.75" customHeight="1">
      <c r="C249" s="1"/>
      <c r="D249" s="1"/>
    </row>
    <row r="250" ht="15.75" customHeight="1">
      <c r="C250" s="1"/>
      <c r="D250" s="1"/>
    </row>
    <row r="251" ht="15.75" customHeight="1">
      <c r="C251" s="1"/>
      <c r="D251" s="1"/>
    </row>
    <row r="252" ht="15.75" customHeight="1">
      <c r="C252" s="1"/>
      <c r="D252" s="1"/>
    </row>
    <row r="253" ht="15.75" customHeight="1">
      <c r="C253" s="1"/>
      <c r="D253" s="1"/>
    </row>
    <row r="254" ht="15.75" customHeight="1">
      <c r="C254" s="1"/>
      <c r="D254" s="1"/>
    </row>
    <row r="255" ht="15.75" customHeight="1">
      <c r="C255" s="1"/>
      <c r="D255" s="1"/>
    </row>
    <row r="256" ht="15.75" customHeight="1">
      <c r="C256" s="1"/>
      <c r="D256" s="1"/>
    </row>
    <row r="257" ht="15.75" customHeight="1">
      <c r="C257" s="1"/>
      <c r="D257" s="1"/>
    </row>
    <row r="258" ht="15.75" customHeight="1">
      <c r="C258" s="1"/>
      <c r="D258" s="1"/>
    </row>
    <row r="259" ht="15.75" customHeight="1">
      <c r="C259" s="1"/>
      <c r="D259" s="1"/>
    </row>
    <row r="260" ht="15.75" customHeight="1">
      <c r="C260" s="1"/>
      <c r="D260" s="1"/>
    </row>
    <row r="261" ht="15.75" customHeight="1">
      <c r="C261" s="1"/>
      <c r="D261" s="1"/>
    </row>
    <row r="262" ht="15.75" customHeight="1">
      <c r="C262" s="1"/>
      <c r="D262" s="1"/>
    </row>
    <row r="263" ht="15.75" customHeight="1">
      <c r="C263" s="1"/>
      <c r="D263" s="1"/>
    </row>
    <row r="264" ht="15.75" customHeight="1">
      <c r="C264" s="1"/>
      <c r="D264" s="1"/>
    </row>
    <row r="265" ht="15.75" customHeight="1">
      <c r="C265" s="1"/>
      <c r="D265" s="1"/>
    </row>
    <row r="266" ht="15.75" customHeight="1">
      <c r="C266" s="1"/>
      <c r="D266" s="1"/>
    </row>
    <row r="267" ht="15.75" customHeight="1">
      <c r="C267" s="1"/>
      <c r="D267" s="1"/>
    </row>
    <row r="268" ht="15.75" customHeight="1">
      <c r="C268" s="1"/>
      <c r="D268" s="1"/>
    </row>
    <row r="269" ht="15.75" customHeight="1">
      <c r="C269" s="1"/>
      <c r="D269" s="1"/>
    </row>
    <row r="270" ht="15.75" customHeight="1">
      <c r="C270" s="1"/>
      <c r="D270" s="1"/>
    </row>
    <row r="271" ht="15.75" customHeight="1">
      <c r="C271" s="1"/>
      <c r="D271" s="1"/>
    </row>
    <row r="272" ht="15.75" customHeight="1">
      <c r="C272" s="1"/>
      <c r="D272" s="1"/>
    </row>
    <row r="273" ht="15.75" customHeight="1">
      <c r="C273" s="1"/>
      <c r="D273" s="1"/>
    </row>
    <row r="274" ht="15.75" customHeight="1">
      <c r="C274" s="1"/>
      <c r="D274" s="1"/>
    </row>
    <row r="275" ht="15.75" customHeight="1">
      <c r="C275" s="1"/>
      <c r="D275" s="1"/>
    </row>
    <row r="276" ht="15.75" customHeight="1">
      <c r="C276" s="1"/>
      <c r="D276" s="1"/>
    </row>
    <row r="277" ht="15.75" customHeight="1">
      <c r="C277" s="1"/>
      <c r="D277" s="1"/>
    </row>
    <row r="278" ht="15.75" customHeight="1">
      <c r="C278" s="1"/>
      <c r="D278" s="1"/>
    </row>
    <row r="279" ht="15.75" customHeight="1">
      <c r="C279" s="1"/>
      <c r="D279" s="1"/>
    </row>
    <row r="280" ht="15.75" customHeight="1">
      <c r="C280" s="1"/>
      <c r="D280" s="1"/>
    </row>
    <row r="281" ht="15.75" customHeight="1">
      <c r="C281" s="1"/>
      <c r="D281" s="1"/>
    </row>
    <row r="282" ht="15.75" customHeight="1">
      <c r="C282" s="1"/>
      <c r="D282" s="1"/>
    </row>
    <row r="283" ht="15.75" customHeight="1">
      <c r="C283" s="1"/>
      <c r="D283" s="1"/>
    </row>
    <row r="284" ht="15.75" customHeight="1">
      <c r="C284" s="1"/>
      <c r="D284" s="1"/>
    </row>
    <row r="285" ht="15.75" customHeight="1">
      <c r="C285" s="1"/>
      <c r="D285" s="1"/>
    </row>
    <row r="286" ht="15.75" customHeight="1">
      <c r="C286" s="1"/>
      <c r="D286" s="1"/>
    </row>
    <row r="287" ht="15.75" customHeight="1">
      <c r="C287" s="1"/>
      <c r="D287" s="1"/>
    </row>
    <row r="288" ht="15.75" customHeight="1">
      <c r="C288" s="1"/>
      <c r="D288" s="1"/>
    </row>
    <row r="289" ht="15.75" customHeight="1">
      <c r="C289" s="1"/>
      <c r="D289" s="1"/>
    </row>
    <row r="290" ht="15.75" customHeight="1">
      <c r="C290" s="1"/>
      <c r="D290" s="1"/>
    </row>
    <row r="291" ht="15.75" customHeight="1">
      <c r="C291" s="1"/>
      <c r="D291" s="1"/>
    </row>
    <row r="292" ht="15.75" customHeight="1">
      <c r="C292" s="1"/>
      <c r="D292" s="1"/>
    </row>
    <row r="293" ht="15.75" customHeight="1">
      <c r="C293" s="1"/>
      <c r="D293" s="1"/>
    </row>
    <row r="294" ht="15.75" customHeight="1">
      <c r="C294" s="1"/>
      <c r="D294" s="1"/>
    </row>
    <row r="295" ht="15.75" customHeight="1">
      <c r="C295" s="1"/>
      <c r="D295" s="1"/>
    </row>
    <row r="296" ht="15.75" customHeight="1">
      <c r="C296" s="1"/>
      <c r="D296" s="1"/>
    </row>
    <row r="297" ht="15.75" customHeight="1">
      <c r="C297" s="1"/>
      <c r="D297" s="1"/>
    </row>
    <row r="298" ht="15.75" customHeight="1">
      <c r="C298" s="1"/>
      <c r="D298" s="1"/>
    </row>
    <row r="299" ht="15.75" customHeight="1">
      <c r="C299" s="1"/>
      <c r="D299" s="1"/>
    </row>
    <row r="300" ht="15.75" customHeight="1">
      <c r="C300" s="1"/>
      <c r="D300" s="1"/>
    </row>
    <row r="301" ht="15.75" customHeight="1">
      <c r="C301" s="1"/>
      <c r="D301" s="1"/>
    </row>
    <row r="302" ht="15.75" customHeight="1">
      <c r="C302" s="1"/>
      <c r="D302" s="1"/>
    </row>
    <row r="303" ht="15.75" customHeight="1">
      <c r="C303" s="1"/>
      <c r="D303" s="1"/>
    </row>
    <row r="304" ht="15.75" customHeight="1">
      <c r="C304" s="1"/>
      <c r="D304" s="1"/>
    </row>
    <row r="305" ht="15.75" customHeight="1">
      <c r="C305" s="1"/>
      <c r="D305" s="1"/>
    </row>
    <row r="306" ht="15.75" customHeight="1">
      <c r="C306" s="1"/>
      <c r="D306" s="1"/>
    </row>
    <row r="307" ht="15.75" customHeight="1">
      <c r="C307" s="1"/>
      <c r="D307" s="1"/>
    </row>
    <row r="308" ht="15.75" customHeight="1">
      <c r="C308" s="1"/>
      <c r="D308" s="1"/>
    </row>
    <row r="309" ht="15.75" customHeight="1">
      <c r="C309" s="1"/>
      <c r="D309" s="1"/>
    </row>
    <row r="310" ht="15.75" customHeight="1">
      <c r="C310" s="1"/>
      <c r="D310" s="1"/>
    </row>
    <row r="311" ht="15.75" customHeight="1">
      <c r="C311" s="1"/>
      <c r="D311" s="1"/>
    </row>
    <row r="312" ht="15.75" customHeight="1">
      <c r="C312" s="1"/>
      <c r="D312" s="1"/>
    </row>
    <row r="313" ht="15.75" customHeight="1">
      <c r="C313" s="1"/>
      <c r="D313" s="1"/>
    </row>
    <row r="314" ht="15.75" customHeight="1">
      <c r="C314" s="1"/>
      <c r="D314" s="1"/>
    </row>
    <row r="315" ht="15.75" customHeight="1">
      <c r="C315" s="1"/>
      <c r="D315" s="1"/>
    </row>
    <row r="316" ht="15.75" customHeight="1">
      <c r="C316" s="1"/>
      <c r="D316" s="1"/>
    </row>
    <row r="317" ht="15.75" customHeight="1">
      <c r="C317" s="1"/>
      <c r="D317" s="1"/>
    </row>
    <row r="318" ht="15.75" customHeight="1">
      <c r="C318" s="1"/>
      <c r="D318" s="1"/>
    </row>
    <row r="319" ht="15.75" customHeight="1">
      <c r="C319" s="1"/>
      <c r="D319" s="1"/>
    </row>
    <row r="320" ht="15.75" customHeight="1">
      <c r="C320" s="1"/>
      <c r="D320" s="1"/>
    </row>
    <row r="321" ht="15.75" customHeight="1">
      <c r="C321" s="1"/>
      <c r="D321" s="1"/>
    </row>
    <row r="322" ht="15.75" customHeight="1">
      <c r="C322" s="1"/>
      <c r="D322" s="1"/>
    </row>
    <row r="323" ht="15.75" customHeight="1">
      <c r="C323" s="1"/>
      <c r="D323" s="1"/>
    </row>
    <row r="324" ht="15.75" customHeight="1">
      <c r="C324" s="1"/>
      <c r="D324" s="1"/>
    </row>
    <row r="325" ht="15.75" customHeight="1">
      <c r="C325" s="1"/>
      <c r="D325" s="1"/>
    </row>
    <row r="326" ht="15.75" customHeight="1">
      <c r="C326" s="1"/>
      <c r="D326" s="1"/>
    </row>
    <row r="327" ht="15.75" customHeight="1">
      <c r="C327" s="1"/>
      <c r="D327" s="1"/>
    </row>
    <row r="328" ht="15.75" customHeight="1">
      <c r="C328" s="1"/>
      <c r="D328" s="1"/>
    </row>
    <row r="329" ht="15.75" customHeight="1">
      <c r="C329" s="1"/>
      <c r="D329" s="1"/>
    </row>
    <row r="330" ht="15.75" customHeight="1">
      <c r="C330" s="1"/>
      <c r="D330" s="1"/>
    </row>
    <row r="331" ht="15.75" customHeight="1">
      <c r="C331" s="1"/>
      <c r="D331" s="1"/>
    </row>
    <row r="332" ht="15.75" customHeight="1">
      <c r="C332" s="1"/>
      <c r="D332" s="1"/>
    </row>
    <row r="333" ht="15.75" customHeight="1">
      <c r="C333" s="1"/>
      <c r="D333" s="1"/>
    </row>
    <row r="334" ht="15.75" customHeight="1">
      <c r="C334" s="1"/>
      <c r="D334" s="1"/>
    </row>
    <row r="335" ht="15.75" customHeight="1">
      <c r="C335" s="1"/>
      <c r="D335" s="1"/>
    </row>
    <row r="336" ht="15.75" customHeight="1">
      <c r="C336" s="1"/>
      <c r="D336" s="1"/>
    </row>
    <row r="337" ht="15.75" customHeight="1">
      <c r="C337" s="1"/>
      <c r="D337" s="1"/>
    </row>
    <row r="338" ht="15.75" customHeight="1">
      <c r="C338" s="1"/>
      <c r="D338" s="1"/>
    </row>
    <row r="339" ht="15.75" customHeight="1">
      <c r="C339" s="1"/>
      <c r="D339" s="1"/>
    </row>
    <row r="340" ht="15.75" customHeight="1">
      <c r="C340" s="1"/>
      <c r="D340" s="1"/>
    </row>
    <row r="341" ht="15.75" customHeight="1">
      <c r="C341" s="1"/>
      <c r="D341" s="1"/>
    </row>
    <row r="342" ht="15.75" customHeight="1">
      <c r="C342" s="1"/>
      <c r="D342" s="1"/>
    </row>
    <row r="343" ht="15.75" customHeight="1">
      <c r="C343" s="1"/>
      <c r="D343" s="1"/>
    </row>
    <row r="344" ht="15.75" customHeight="1">
      <c r="C344" s="1"/>
      <c r="D344" s="1"/>
    </row>
    <row r="345" ht="15.75" customHeight="1">
      <c r="C345" s="1"/>
      <c r="D345" s="1"/>
    </row>
    <row r="346" ht="15.75" customHeight="1">
      <c r="C346" s="1"/>
      <c r="D346" s="1"/>
    </row>
    <row r="347" ht="15.75" customHeight="1">
      <c r="C347" s="1"/>
      <c r="D347" s="1"/>
    </row>
    <row r="348" ht="15.75" customHeight="1">
      <c r="C348" s="1"/>
      <c r="D348" s="1"/>
    </row>
    <row r="349" ht="15.75" customHeight="1">
      <c r="C349" s="1"/>
      <c r="D349" s="1"/>
    </row>
    <row r="350" ht="15.75" customHeight="1">
      <c r="C350" s="1"/>
      <c r="D350" s="1"/>
    </row>
    <row r="351" ht="15.75" customHeight="1">
      <c r="C351" s="1"/>
      <c r="D351" s="1"/>
    </row>
    <row r="352" ht="15.75" customHeight="1">
      <c r="C352" s="1"/>
      <c r="D352" s="1"/>
    </row>
    <row r="353" ht="15.75" customHeight="1">
      <c r="C353" s="1"/>
      <c r="D353" s="1"/>
    </row>
    <row r="354" ht="15.75" customHeight="1">
      <c r="C354" s="1"/>
      <c r="D354" s="1"/>
    </row>
    <row r="355" ht="15.75" customHeight="1">
      <c r="C355" s="1"/>
      <c r="D355" s="1"/>
    </row>
    <row r="356" ht="15.75" customHeight="1">
      <c r="C356" s="1"/>
      <c r="D356" s="1"/>
    </row>
    <row r="357" ht="15.75" customHeight="1">
      <c r="C357" s="1"/>
      <c r="D357" s="1"/>
    </row>
    <row r="358" ht="15.75" customHeight="1">
      <c r="C358" s="1"/>
      <c r="D358" s="1"/>
    </row>
    <row r="359" ht="15.75" customHeight="1">
      <c r="C359" s="1"/>
      <c r="D359" s="1"/>
    </row>
    <row r="360" ht="15.75" customHeight="1">
      <c r="C360" s="1"/>
      <c r="D360" s="1"/>
    </row>
    <row r="361" ht="15.75" customHeight="1">
      <c r="C361" s="1"/>
      <c r="D361" s="1"/>
    </row>
    <row r="362" ht="15.75" customHeight="1">
      <c r="C362" s="1"/>
      <c r="D362" s="1"/>
    </row>
    <row r="363" ht="15.75" customHeight="1">
      <c r="C363" s="1"/>
      <c r="D363" s="1"/>
    </row>
    <row r="364" ht="15.75" customHeight="1">
      <c r="C364" s="1"/>
      <c r="D364" s="1"/>
    </row>
    <row r="365" ht="15.75" customHeight="1">
      <c r="C365" s="1"/>
      <c r="D365" s="1"/>
    </row>
    <row r="366" ht="15.75" customHeight="1">
      <c r="C366" s="1"/>
      <c r="D366" s="1"/>
    </row>
    <row r="367" ht="15.75" customHeight="1">
      <c r="C367" s="1"/>
      <c r="D367" s="1"/>
    </row>
    <row r="368" ht="15.75" customHeight="1">
      <c r="C368" s="1"/>
      <c r="D368" s="1"/>
    </row>
    <row r="369" ht="15.75" customHeight="1">
      <c r="C369" s="1"/>
      <c r="D369" s="1"/>
    </row>
    <row r="370" ht="15.75" customHeight="1">
      <c r="C370" s="1"/>
      <c r="D370" s="1"/>
    </row>
    <row r="371" ht="15.75" customHeight="1">
      <c r="C371" s="1"/>
      <c r="D371" s="1"/>
    </row>
    <row r="372" ht="15.75" customHeight="1">
      <c r="C372" s="1"/>
      <c r="D372" s="1"/>
    </row>
    <row r="373" ht="15.75" customHeight="1">
      <c r="C373" s="1"/>
      <c r="D373" s="1"/>
    </row>
    <row r="374" ht="15.75" customHeight="1">
      <c r="C374" s="1"/>
      <c r="D374" s="1"/>
    </row>
    <row r="375" ht="15.75" customHeight="1">
      <c r="C375" s="1"/>
      <c r="D375" s="1"/>
    </row>
    <row r="376" ht="15.75" customHeight="1">
      <c r="C376" s="1"/>
      <c r="D376" s="1"/>
    </row>
    <row r="377" ht="15.75" customHeight="1">
      <c r="C377" s="1"/>
      <c r="D377" s="1"/>
    </row>
    <row r="378" ht="15.75" customHeight="1">
      <c r="C378" s="1"/>
      <c r="D378" s="1"/>
    </row>
    <row r="379" ht="15.75" customHeight="1">
      <c r="C379" s="1"/>
      <c r="D379" s="1"/>
    </row>
    <row r="380" ht="15.75" customHeight="1">
      <c r="C380" s="1"/>
      <c r="D380" s="1"/>
    </row>
    <row r="381" ht="15.75" customHeight="1">
      <c r="C381" s="1"/>
      <c r="D381" s="1"/>
    </row>
    <row r="382" ht="15.75" customHeight="1">
      <c r="C382" s="1"/>
      <c r="D382" s="1"/>
    </row>
    <row r="383" ht="15.75" customHeight="1">
      <c r="C383" s="1"/>
      <c r="D383" s="1"/>
    </row>
    <row r="384" ht="15.75" customHeight="1">
      <c r="C384" s="1"/>
      <c r="D384" s="1"/>
    </row>
    <row r="385" ht="15.75" customHeight="1">
      <c r="C385" s="1"/>
      <c r="D385" s="1"/>
    </row>
    <row r="386" ht="15.75" customHeight="1">
      <c r="C386" s="1"/>
      <c r="D386" s="1"/>
    </row>
    <row r="387" ht="15.75" customHeight="1">
      <c r="C387" s="1"/>
      <c r="D387" s="1"/>
    </row>
    <row r="388" ht="15.75" customHeight="1">
      <c r="C388" s="1"/>
      <c r="D388" s="1"/>
    </row>
    <row r="389" ht="15.75" customHeight="1">
      <c r="C389" s="1"/>
      <c r="D389" s="1"/>
    </row>
    <row r="390" ht="15.75" customHeight="1">
      <c r="C390" s="1"/>
      <c r="D390" s="1"/>
    </row>
    <row r="391" ht="15.75" customHeight="1">
      <c r="C391" s="1"/>
      <c r="D391" s="1"/>
    </row>
    <row r="392" ht="15.75" customHeight="1">
      <c r="C392" s="1"/>
      <c r="D392" s="1"/>
    </row>
    <row r="393" ht="15.75" customHeight="1">
      <c r="C393" s="1"/>
      <c r="D393" s="1"/>
    </row>
    <row r="394" ht="15.75" customHeight="1">
      <c r="C394" s="1"/>
      <c r="D394" s="1"/>
    </row>
    <row r="395" ht="15.75" customHeight="1">
      <c r="C395" s="1"/>
      <c r="D395" s="1"/>
    </row>
    <row r="396" ht="15.75" customHeight="1">
      <c r="C396" s="1"/>
      <c r="D396" s="1"/>
    </row>
    <row r="397" ht="15.75" customHeight="1">
      <c r="C397" s="1"/>
      <c r="D397" s="1"/>
    </row>
    <row r="398" ht="15.75" customHeight="1">
      <c r="C398" s="1"/>
      <c r="D398" s="1"/>
    </row>
    <row r="399" ht="15.75" customHeight="1">
      <c r="C399" s="1"/>
      <c r="D399" s="1"/>
    </row>
    <row r="400" ht="15.75" customHeight="1">
      <c r="C400" s="1"/>
      <c r="D400" s="1"/>
    </row>
    <row r="401" ht="15.75" customHeight="1">
      <c r="C401" s="1"/>
      <c r="D401" s="1"/>
    </row>
    <row r="402" ht="15.75" customHeight="1">
      <c r="C402" s="1"/>
      <c r="D402" s="1"/>
    </row>
    <row r="403" ht="15.75" customHeight="1">
      <c r="C403" s="1"/>
      <c r="D403" s="1"/>
    </row>
    <row r="404" ht="15.75" customHeight="1">
      <c r="C404" s="1"/>
      <c r="D404" s="1"/>
    </row>
    <row r="405" ht="15.75" customHeight="1">
      <c r="C405" s="1"/>
      <c r="D405" s="1"/>
    </row>
    <row r="406" ht="15.75" customHeight="1">
      <c r="C406" s="1"/>
      <c r="D406" s="1"/>
    </row>
    <row r="407" ht="15.75" customHeight="1">
      <c r="C407" s="1"/>
      <c r="D407" s="1"/>
    </row>
    <row r="408" ht="15.75" customHeight="1">
      <c r="C408" s="1"/>
      <c r="D408" s="1"/>
    </row>
    <row r="409" ht="15.75" customHeight="1">
      <c r="C409" s="1"/>
      <c r="D409" s="1"/>
    </row>
    <row r="410" ht="15.75" customHeight="1">
      <c r="C410" s="1"/>
      <c r="D410" s="1"/>
    </row>
    <row r="411" ht="15.75" customHeight="1">
      <c r="C411" s="1"/>
      <c r="D411" s="1"/>
    </row>
    <row r="412" ht="15.75" customHeight="1">
      <c r="C412" s="1"/>
      <c r="D412" s="1"/>
    </row>
    <row r="413" ht="15.75" customHeight="1">
      <c r="C413" s="1"/>
      <c r="D413" s="1"/>
    </row>
    <row r="414" ht="15.75" customHeight="1">
      <c r="C414" s="1"/>
      <c r="D414" s="1"/>
    </row>
    <row r="415" ht="15.75" customHeight="1">
      <c r="C415" s="1"/>
      <c r="D415" s="1"/>
    </row>
    <row r="416" ht="15.75" customHeight="1">
      <c r="C416" s="1"/>
      <c r="D416" s="1"/>
    </row>
    <row r="417" ht="15.75" customHeight="1">
      <c r="C417" s="1"/>
      <c r="D417" s="1"/>
    </row>
    <row r="418" ht="15.75" customHeight="1">
      <c r="C418" s="1"/>
      <c r="D418" s="1"/>
    </row>
    <row r="419" ht="15.75" customHeight="1">
      <c r="C419" s="1"/>
      <c r="D419" s="1"/>
    </row>
    <row r="420" ht="15.75" customHeight="1">
      <c r="C420" s="1"/>
      <c r="D420" s="1"/>
    </row>
    <row r="421" ht="15.75" customHeight="1">
      <c r="C421" s="1"/>
      <c r="D421" s="1"/>
    </row>
    <row r="422" ht="15.75" customHeight="1">
      <c r="C422" s="1"/>
      <c r="D422" s="1"/>
    </row>
    <row r="423" ht="15.75" customHeight="1">
      <c r="C423" s="1"/>
      <c r="D423" s="1"/>
    </row>
    <row r="424" ht="15.75" customHeight="1">
      <c r="C424" s="1"/>
      <c r="D424" s="1"/>
    </row>
    <row r="425" ht="15.75" customHeight="1">
      <c r="C425" s="1"/>
      <c r="D425" s="1"/>
    </row>
    <row r="426" ht="15.75" customHeight="1">
      <c r="C426" s="1"/>
      <c r="D426" s="1"/>
    </row>
    <row r="427" ht="15.75" customHeight="1">
      <c r="C427" s="1"/>
      <c r="D427" s="1"/>
    </row>
    <row r="428" ht="15.75" customHeight="1">
      <c r="C428" s="1"/>
      <c r="D428" s="1"/>
    </row>
    <row r="429" ht="15.75" customHeight="1">
      <c r="C429" s="1"/>
      <c r="D429" s="1"/>
    </row>
    <row r="430" ht="15.75" customHeight="1">
      <c r="C430" s="1"/>
      <c r="D430" s="1"/>
    </row>
    <row r="431" ht="15.75" customHeight="1">
      <c r="C431" s="1"/>
      <c r="D431" s="1"/>
    </row>
    <row r="432" ht="15.75" customHeight="1">
      <c r="C432" s="1"/>
      <c r="D432" s="1"/>
    </row>
    <row r="433" ht="15.75" customHeight="1">
      <c r="C433" s="1"/>
      <c r="D433" s="1"/>
    </row>
    <row r="434" ht="15.75" customHeight="1">
      <c r="C434" s="1"/>
      <c r="D434" s="1"/>
    </row>
    <row r="435" ht="15.75" customHeight="1">
      <c r="C435" s="1"/>
      <c r="D435" s="1"/>
    </row>
    <row r="436" ht="15.75" customHeight="1">
      <c r="C436" s="1"/>
      <c r="D436" s="1"/>
    </row>
    <row r="437" ht="15.75" customHeight="1">
      <c r="C437" s="1"/>
      <c r="D437" s="1"/>
    </row>
    <row r="438" ht="15.75" customHeight="1">
      <c r="C438" s="1"/>
      <c r="D438" s="1"/>
    </row>
    <row r="439" ht="15.75" customHeight="1">
      <c r="C439" s="1"/>
      <c r="D439" s="1"/>
    </row>
    <row r="440" ht="15.75" customHeight="1">
      <c r="C440" s="1"/>
      <c r="D440" s="1"/>
    </row>
    <row r="441" ht="15.75" customHeight="1">
      <c r="C441" s="1"/>
      <c r="D441" s="1"/>
    </row>
    <row r="442" ht="15.75" customHeight="1">
      <c r="C442" s="1"/>
      <c r="D442" s="1"/>
    </row>
    <row r="443" ht="15.75" customHeight="1">
      <c r="C443" s="1"/>
      <c r="D443" s="1"/>
    </row>
    <row r="444" ht="15.75" customHeight="1">
      <c r="C444" s="1"/>
      <c r="D444" s="1"/>
    </row>
    <row r="445" ht="15.75" customHeight="1">
      <c r="C445" s="1"/>
      <c r="D445" s="1"/>
    </row>
    <row r="446" ht="15.75" customHeight="1">
      <c r="C446" s="1"/>
      <c r="D446" s="1"/>
    </row>
    <row r="447" ht="15.75" customHeight="1">
      <c r="C447" s="1"/>
      <c r="D447" s="1"/>
    </row>
    <row r="448" ht="15.75" customHeight="1">
      <c r="C448" s="1"/>
      <c r="D448" s="1"/>
    </row>
    <row r="449" ht="15.75" customHeight="1">
      <c r="C449" s="1"/>
      <c r="D449" s="1"/>
    </row>
    <row r="450" ht="15.75" customHeight="1">
      <c r="C450" s="1"/>
      <c r="D450" s="1"/>
    </row>
    <row r="451" ht="15.75" customHeight="1">
      <c r="C451" s="1"/>
      <c r="D451" s="1"/>
    </row>
    <row r="452" ht="15.75" customHeight="1">
      <c r="C452" s="1"/>
      <c r="D452" s="1"/>
    </row>
    <row r="453" ht="15.75" customHeight="1">
      <c r="C453" s="1"/>
      <c r="D453" s="1"/>
    </row>
    <row r="454" ht="15.75" customHeight="1">
      <c r="C454" s="1"/>
      <c r="D454" s="1"/>
    </row>
    <row r="455" ht="15.75" customHeight="1">
      <c r="C455" s="1"/>
      <c r="D455" s="1"/>
    </row>
    <row r="456" ht="15.75" customHeight="1">
      <c r="C456" s="1"/>
      <c r="D456" s="1"/>
    </row>
    <row r="457" ht="15.75" customHeight="1">
      <c r="C457" s="1"/>
      <c r="D457" s="1"/>
    </row>
    <row r="458" ht="15.75" customHeight="1">
      <c r="C458" s="1"/>
      <c r="D458" s="1"/>
    </row>
    <row r="459" ht="15.75" customHeight="1">
      <c r="C459" s="1"/>
      <c r="D459" s="1"/>
    </row>
    <row r="460" ht="15.75" customHeight="1">
      <c r="C460" s="1"/>
      <c r="D460" s="1"/>
    </row>
    <row r="461" ht="15.75" customHeight="1">
      <c r="C461" s="1"/>
      <c r="D461" s="1"/>
    </row>
    <row r="462" ht="15.75" customHeight="1">
      <c r="C462" s="1"/>
      <c r="D462" s="1"/>
    </row>
    <row r="463" ht="15.75" customHeight="1">
      <c r="C463" s="1"/>
      <c r="D463" s="1"/>
    </row>
    <row r="464" ht="15.75" customHeight="1">
      <c r="C464" s="1"/>
      <c r="D464" s="1"/>
    </row>
    <row r="465" ht="15.75" customHeight="1">
      <c r="C465" s="1"/>
      <c r="D465" s="1"/>
    </row>
    <row r="466" ht="15.75" customHeight="1">
      <c r="C466" s="1"/>
      <c r="D466" s="1"/>
    </row>
    <row r="467" ht="15.75" customHeight="1">
      <c r="C467" s="1"/>
      <c r="D467" s="1"/>
    </row>
    <row r="468" ht="15.75" customHeight="1">
      <c r="C468" s="1"/>
      <c r="D468" s="1"/>
    </row>
    <row r="469" ht="15.75" customHeight="1">
      <c r="C469" s="1"/>
      <c r="D469" s="1"/>
    </row>
    <row r="470" ht="15.75" customHeight="1">
      <c r="C470" s="1"/>
      <c r="D470" s="1"/>
    </row>
    <row r="471" ht="15.75" customHeight="1">
      <c r="C471" s="1"/>
      <c r="D471" s="1"/>
    </row>
    <row r="472" ht="15.75" customHeight="1">
      <c r="C472" s="1"/>
      <c r="D472" s="1"/>
    </row>
    <row r="473" ht="15.75" customHeight="1">
      <c r="C473" s="1"/>
      <c r="D473" s="1"/>
    </row>
    <row r="474" ht="15.75" customHeight="1">
      <c r="C474" s="1"/>
      <c r="D474" s="1"/>
    </row>
    <row r="475" ht="15.75" customHeight="1">
      <c r="C475" s="1"/>
      <c r="D475" s="1"/>
    </row>
    <row r="476" ht="15.75" customHeight="1">
      <c r="C476" s="1"/>
      <c r="D476" s="1"/>
    </row>
    <row r="477" ht="15.75" customHeight="1">
      <c r="C477" s="1"/>
      <c r="D477" s="1"/>
    </row>
    <row r="478" ht="15.75" customHeight="1">
      <c r="C478" s="1"/>
      <c r="D478" s="1"/>
    </row>
    <row r="479" ht="15.75" customHeight="1">
      <c r="C479" s="1"/>
      <c r="D479" s="1"/>
    </row>
    <row r="480" ht="15.75" customHeight="1">
      <c r="C480" s="1"/>
      <c r="D480" s="1"/>
    </row>
    <row r="481" ht="15.75" customHeight="1">
      <c r="C481" s="1"/>
      <c r="D481" s="1"/>
    </row>
    <row r="482" ht="15.75" customHeight="1">
      <c r="C482" s="1"/>
      <c r="D482" s="1"/>
    </row>
    <row r="483" ht="15.75" customHeight="1">
      <c r="C483" s="1"/>
      <c r="D483" s="1"/>
    </row>
    <row r="484" ht="15.75" customHeight="1">
      <c r="C484" s="1"/>
      <c r="D484" s="1"/>
    </row>
    <row r="485" ht="15.75" customHeight="1">
      <c r="C485" s="1"/>
      <c r="D485" s="1"/>
    </row>
    <row r="486" ht="15.75" customHeight="1">
      <c r="C486" s="1"/>
      <c r="D486" s="1"/>
    </row>
    <row r="487" ht="15.75" customHeight="1">
      <c r="C487" s="1"/>
      <c r="D487" s="1"/>
    </row>
    <row r="488" ht="15.75" customHeight="1">
      <c r="C488" s="1"/>
      <c r="D488" s="1"/>
    </row>
    <row r="489" ht="15.75" customHeight="1">
      <c r="C489" s="1"/>
      <c r="D489" s="1"/>
    </row>
    <row r="490" ht="15.75" customHeight="1">
      <c r="C490" s="1"/>
      <c r="D490" s="1"/>
    </row>
    <row r="491" ht="15.75" customHeight="1">
      <c r="C491" s="1"/>
      <c r="D491" s="1"/>
    </row>
    <row r="492" ht="15.75" customHeight="1">
      <c r="C492" s="1"/>
      <c r="D492" s="1"/>
    </row>
    <row r="493" ht="15.75" customHeight="1">
      <c r="C493" s="1"/>
      <c r="D493" s="1"/>
    </row>
    <row r="494" ht="15.75" customHeight="1">
      <c r="C494" s="1"/>
      <c r="D494" s="1"/>
    </row>
    <row r="495" ht="15.75" customHeight="1">
      <c r="C495" s="1"/>
      <c r="D495" s="1"/>
    </row>
    <row r="496" ht="15.75" customHeight="1">
      <c r="C496" s="1"/>
      <c r="D496" s="1"/>
    </row>
    <row r="497" ht="15.75" customHeight="1">
      <c r="C497" s="1"/>
      <c r="D497" s="1"/>
    </row>
    <row r="498" ht="15.75" customHeight="1">
      <c r="C498" s="1"/>
      <c r="D498" s="1"/>
    </row>
    <row r="499" ht="15.75" customHeight="1">
      <c r="C499" s="1"/>
      <c r="D499" s="1"/>
    </row>
    <row r="500" ht="15.75" customHeight="1">
      <c r="C500" s="1"/>
      <c r="D500" s="1"/>
    </row>
    <row r="501" ht="15.75" customHeight="1">
      <c r="C501" s="1"/>
      <c r="D501" s="1"/>
    </row>
    <row r="502" ht="15.75" customHeight="1">
      <c r="C502" s="1"/>
      <c r="D502" s="1"/>
    </row>
    <row r="503" ht="15.75" customHeight="1">
      <c r="C503" s="1"/>
      <c r="D503" s="1"/>
    </row>
    <row r="504" ht="15.75" customHeight="1">
      <c r="C504" s="1"/>
      <c r="D504" s="1"/>
    </row>
    <row r="505" ht="15.75" customHeight="1">
      <c r="C505" s="1"/>
      <c r="D505" s="1"/>
    </row>
    <row r="506" ht="15.75" customHeight="1">
      <c r="C506" s="1"/>
      <c r="D506" s="1"/>
    </row>
    <row r="507" ht="15.75" customHeight="1">
      <c r="C507" s="1"/>
      <c r="D507" s="1"/>
    </row>
    <row r="508" ht="15.75" customHeight="1">
      <c r="C508" s="1"/>
      <c r="D508" s="1"/>
    </row>
    <row r="509" ht="15.75" customHeight="1">
      <c r="C509" s="1"/>
      <c r="D509" s="1"/>
    </row>
    <row r="510" ht="15.75" customHeight="1">
      <c r="C510" s="1"/>
      <c r="D510" s="1"/>
    </row>
    <row r="511" ht="15.75" customHeight="1">
      <c r="C511" s="1"/>
      <c r="D511" s="1"/>
    </row>
    <row r="512" ht="15.75" customHeight="1">
      <c r="C512" s="1"/>
      <c r="D512" s="1"/>
    </row>
    <row r="513" ht="15.75" customHeight="1">
      <c r="C513" s="1"/>
      <c r="D513" s="1"/>
    </row>
    <row r="514" ht="15.75" customHeight="1">
      <c r="C514" s="1"/>
      <c r="D514" s="1"/>
    </row>
    <row r="515" ht="15.75" customHeight="1">
      <c r="C515" s="1"/>
      <c r="D515" s="1"/>
    </row>
    <row r="516" ht="15.75" customHeight="1">
      <c r="C516" s="1"/>
      <c r="D516" s="1"/>
    </row>
    <row r="517" ht="15.75" customHeight="1">
      <c r="C517" s="1"/>
      <c r="D517" s="1"/>
    </row>
    <row r="518" ht="15.75" customHeight="1">
      <c r="C518" s="1"/>
      <c r="D518" s="1"/>
    </row>
    <row r="519" ht="15.75" customHeight="1">
      <c r="C519" s="1"/>
      <c r="D519" s="1"/>
    </row>
    <row r="520" ht="15.75" customHeight="1">
      <c r="C520" s="1"/>
      <c r="D520" s="1"/>
    </row>
    <row r="521" ht="15.75" customHeight="1">
      <c r="C521" s="1"/>
      <c r="D521" s="1"/>
    </row>
    <row r="522" ht="15.75" customHeight="1">
      <c r="C522" s="1"/>
      <c r="D522" s="1"/>
    </row>
    <row r="523" ht="15.75" customHeight="1">
      <c r="C523" s="1"/>
      <c r="D523" s="1"/>
    </row>
    <row r="524" ht="15.75" customHeight="1">
      <c r="C524" s="1"/>
      <c r="D524" s="1"/>
    </row>
    <row r="525" ht="15.75" customHeight="1">
      <c r="C525" s="1"/>
      <c r="D525" s="1"/>
    </row>
    <row r="526" ht="15.75" customHeight="1">
      <c r="C526" s="1"/>
      <c r="D526" s="1"/>
    </row>
    <row r="527" ht="15.75" customHeight="1">
      <c r="C527" s="1"/>
      <c r="D527" s="1"/>
    </row>
    <row r="528" ht="15.75" customHeight="1">
      <c r="C528" s="1"/>
      <c r="D528" s="1"/>
    </row>
    <row r="529" ht="15.75" customHeight="1">
      <c r="C529" s="1"/>
      <c r="D529" s="1"/>
    </row>
    <row r="530" ht="15.75" customHeight="1">
      <c r="C530" s="1"/>
      <c r="D530" s="1"/>
    </row>
    <row r="531" ht="15.75" customHeight="1">
      <c r="C531" s="1"/>
      <c r="D531" s="1"/>
    </row>
    <row r="532" ht="15.75" customHeight="1">
      <c r="C532" s="1"/>
      <c r="D532" s="1"/>
    </row>
    <row r="533" ht="15.75" customHeight="1">
      <c r="C533" s="1"/>
      <c r="D533" s="1"/>
    </row>
    <row r="534" ht="15.75" customHeight="1">
      <c r="C534" s="1"/>
      <c r="D534" s="1"/>
    </row>
    <row r="535" ht="15.75" customHeight="1">
      <c r="C535" s="1"/>
      <c r="D535" s="1"/>
    </row>
    <row r="536" ht="15.75" customHeight="1">
      <c r="C536" s="1"/>
      <c r="D536" s="1"/>
    </row>
    <row r="537" ht="15.75" customHeight="1">
      <c r="C537" s="1"/>
      <c r="D537" s="1"/>
    </row>
    <row r="538" ht="15.75" customHeight="1">
      <c r="C538" s="1"/>
      <c r="D538" s="1"/>
    </row>
    <row r="539" ht="15.75" customHeight="1">
      <c r="C539" s="1"/>
      <c r="D539" s="1"/>
    </row>
    <row r="540" ht="15.75" customHeight="1">
      <c r="C540" s="1"/>
      <c r="D540" s="1"/>
    </row>
    <row r="541" ht="15.75" customHeight="1">
      <c r="C541" s="1"/>
      <c r="D541" s="1"/>
    </row>
    <row r="542" ht="15.75" customHeight="1">
      <c r="C542" s="1"/>
      <c r="D542" s="1"/>
    </row>
    <row r="543" ht="15.75" customHeight="1">
      <c r="C543" s="1"/>
      <c r="D543" s="1"/>
    </row>
    <row r="544" ht="15.75" customHeight="1">
      <c r="C544" s="1"/>
      <c r="D544" s="1"/>
    </row>
    <row r="545" ht="15.75" customHeight="1">
      <c r="C545" s="1"/>
      <c r="D545" s="1"/>
    </row>
    <row r="546" ht="15.75" customHeight="1">
      <c r="C546" s="1"/>
      <c r="D546" s="1"/>
    </row>
    <row r="547" ht="15.75" customHeight="1">
      <c r="C547" s="1"/>
      <c r="D547" s="1"/>
    </row>
    <row r="548" ht="15.75" customHeight="1">
      <c r="C548" s="1"/>
      <c r="D548" s="1"/>
    </row>
    <row r="549" ht="15.75" customHeight="1">
      <c r="C549" s="1"/>
      <c r="D549" s="1"/>
    </row>
    <row r="550" ht="15.75" customHeight="1">
      <c r="C550" s="1"/>
      <c r="D550" s="1"/>
    </row>
    <row r="551" ht="15.75" customHeight="1">
      <c r="C551" s="1"/>
      <c r="D551" s="1"/>
    </row>
    <row r="552" ht="15.75" customHeight="1">
      <c r="C552" s="1"/>
      <c r="D552" s="1"/>
    </row>
    <row r="553" ht="15.75" customHeight="1">
      <c r="C553" s="1"/>
      <c r="D553" s="1"/>
    </row>
    <row r="554" ht="15.75" customHeight="1">
      <c r="C554" s="1"/>
      <c r="D554" s="1"/>
    </row>
    <row r="555" ht="15.75" customHeight="1">
      <c r="C555" s="1"/>
      <c r="D555" s="1"/>
    </row>
    <row r="556" ht="15.75" customHeight="1">
      <c r="C556" s="1"/>
      <c r="D556" s="1"/>
    </row>
    <row r="557" ht="15.75" customHeight="1">
      <c r="C557" s="1"/>
      <c r="D557" s="1"/>
    </row>
    <row r="558" ht="15.75" customHeight="1">
      <c r="C558" s="1"/>
      <c r="D558" s="1"/>
    </row>
    <row r="559" ht="15.75" customHeight="1">
      <c r="C559" s="1"/>
      <c r="D559" s="1"/>
    </row>
    <row r="560" ht="15.75" customHeight="1">
      <c r="C560" s="1"/>
      <c r="D560" s="1"/>
    </row>
    <row r="561" ht="15.75" customHeight="1">
      <c r="C561" s="1"/>
      <c r="D561" s="1"/>
    </row>
    <row r="562" ht="15.75" customHeight="1">
      <c r="C562" s="1"/>
      <c r="D562" s="1"/>
    </row>
    <row r="563" ht="15.75" customHeight="1">
      <c r="C563" s="1"/>
      <c r="D563" s="1"/>
    </row>
    <row r="564" ht="15.75" customHeight="1">
      <c r="C564" s="1"/>
      <c r="D564" s="1"/>
    </row>
    <row r="565" ht="15.75" customHeight="1">
      <c r="C565" s="1"/>
      <c r="D565" s="1"/>
    </row>
    <row r="566" ht="15.75" customHeight="1">
      <c r="C566" s="1"/>
      <c r="D566" s="1"/>
    </row>
    <row r="567" ht="15.75" customHeight="1">
      <c r="C567" s="1"/>
      <c r="D567" s="1"/>
    </row>
    <row r="568" ht="15.75" customHeight="1">
      <c r="C568" s="1"/>
      <c r="D568" s="1"/>
    </row>
    <row r="569" ht="15.75" customHeight="1">
      <c r="C569" s="1"/>
      <c r="D569" s="1"/>
    </row>
    <row r="570" ht="15.75" customHeight="1">
      <c r="C570" s="1"/>
      <c r="D570" s="1"/>
    </row>
    <row r="571" ht="15.75" customHeight="1">
      <c r="C571" s="1"/>
      <c r="D571" s="1"/>
    </row>
    <row r="572" ht="15.75" customHeight="1">
      <c r="C572" s="1"/>
      <c r="D572" s="1"/>
    </row>
    <row r="573" ht="15.75" customHeight="1">
      <c r="C573" s="1"/>
      <c r="D573" s="1"/>
    </row>
    <row r="574" ht="15.75" customHeight="1">
      <c r="C574" s="1"/>
      <c r="D574" s="1"/>
    </row>
    <row r="575" ht="15.75" customHeight="1">
      <c r="C575" s="1"/>
      <c r="D575" s="1"/>
    </row>
    <row r="576" ht="15.75" customHeight="1">
      <c r="C576" s="1"/>
      <c r="D576" s="1"/>
    </row>
    <row r="577" ht="15.75" customHeight="1">
      <c r="C577" s="1"/>
      <c r="D577" s="1"/>
    </row>
    <row r="578" ht="15.75" customHeight="1">
      <c r="C578" s="1"/>
      <c r="D578" s="1"/>
    </row>
    <row r="579" ht="15.75" customHeight="1">
      <c r="C579" s="1"/>
      <c r="D579" s="1"/>
    </row>
    <row r="580" ht="15.75" customHeight="1">
      <c r="C580" s="1"/>
      <c r="D580" s="1"/>
    </row>
    <row r="581" ht="15.75" customHeight="1">
      <c r="C581" s="1"/>
      <c r="D581" s="1"/>
    </row>
    <row r="582" ht="15.75" customHeight="1">
      <c r="C582" s="1"/>
      <c r="D582" s="1"/>
    </row>
    <row r="583" ht="15.75" customHeight="1">
      <c r="C583" s="1"/>
      <c r="D583" s="1"/>
    </row>
    <row r="584" ht="15.75" customHeight="1">
      <c r="C584" s="1"/>
      <c r="D584" s="1"/>
    </row>
    <row r="585" ht="15.75" customHeight="1">
      <c r="C585" s="1"/>
      <c r="D585" s="1"/>
    </row>
    <row r="586" ht="15.75" customHeight="1">
      <c r="C586" s="1"/>
      <c r="D586" s="1"/>
    </row>
    <row r="587" ht="15.75" customHeight="1">
      <c r="C587" s="1"/>
      <c r="D587" s="1"/>
    </row>
    <row r="588" ht="15.75" customHeight="1">
      <c r="C588" s="1"/>
      <c r="D588" s="1"/>
    </row>
    <row r="589" ht="15.75" customHeight="1">
      <c r="C589" s="1"/>
      <c r="D589" s="1"/>
    </row>
    <row r="590" ht="15.75" customHeight="1">
      <c r="C590" s="1"/>
      <c r="D590" s="1"/>
    </row>
    <row r="591" ht="15.75" customHeight="1">
      <c r="C591" s="1"/>
      <c r="D591" s="1"/>
    </row>
    <row r="592" ht="15.75" customHeight="1">
      <c r="C592" s="1"/>
      <c r="D592" s="1"/>
    </row>
    <row r="593" ht="15.75" customHeight="1">
      <c r="C593" s="1"/>
      <c r="D593" s="1"/>
    </row>
    <row r="594" ht="15.75" customHeight="1">
      <c r="C594" s="1"/>
      <c r="D594" s="1"/>
    </row>
    <row r="595" ht="15.75" customHeight="1">
      <c r="C595" s="1"/>
      <c r="D595" s="1"/>
    </row>
    <row r="596" ht="15.75" customHeight="1">
      <c r="C596" s="1"/>
      <c r="D596" s="1"/>
    </row>
    <row r="597" ht="15.75" customHeight="1">
      <c r="C597" s="1"/>
      <c r="D597" s="1"/>
    </row>
    <row r="598" ht="15.75" customHeight="1">
      <c r="C598" s="1"/>
      <c r="D598" s="1"/>
    </row>
    <row r="599" ht="15.75" customHeight="1">
      <c r="C599" s="1"/>
      <c r="D599" s="1"/>
    </row>
    <row r="600" ht="15.75" customHeight="1">
      <c r="C600" s="1"/>
      <c r="D600" s="1"/>
    </row>
    <row r="601" ht="15.75" customHeight="1">
      <c r="C601" s="1"/>
      <c r="D601" s="1"/>
    </row>
    <row r="602" ht="15.75" customHeight="1">
      <c r="C602" s="1"/>
      <c r="D602" s="1"/>
    </row>
    <row r="603" ht="15.75" customHeight="1">
      <c r="C603" s="1"/>
      <c r="D603" s="1"/>
    </row>
    <row r="604" ht="15.75" customHeight="1">
      <c r="C604" s="1"/>
      <c r="D604" s="1"/>
    </row>
    <row r="605" ht="15.75" customHeight="1">
      <c r="C605" s="1"/>
      <c r="D605" s="1"/>
    </row>
    <row r="606" ht="15.75" customHeight="1">
      <c r="C606" s="1"/>
      <c r="D606" s="1"/>
    </row>
    <row r="607" ht="15.75" customHeight="1">
      <c r="C607" s="1"/>
      <c r="D607" s="1"/>
    </row>
    <row r="608" ht="15.75" customHeight="1">
      <c r="C608" s="1"/>
      <c r="D608" s="1"/>
    </row>
    <row r="609" ht="15.75" customHeight="1">
      <c r="C609" s="1"/>
      <c r="D609" s="1"/>
    </row>
    <row r="610" ht="15.75" customHeight="1">
      <c r="C610" s="1"/>
      <c r="D610" s="1"/>
    </row>
    <row r="611" ht="15.75" customHeight="1">
      <c r="C611" s="1"/>
      <c r="D611" s="1"/>
    </row>
    <row r="612" ht="15.75" customHeight="1">
      <c r="C612" s="1"/>
      <c r="D612" s="1"/>
    </row>
    <row r="613" ht="15.75" customHeight="1">
      <c r="C613" s="1"/>
      <c r="D613" s="1"/>
    </row>
    <row r="614" ht="15.75" customHeight="1">
      <c r="C614" s="1"/>
      <c r="D614" s="1"/>
    </row>
    <row r="615" ht="15.75" customHeight="1">
      <c r="C615" s="1"/>
      <c r="D615" s="1"/>
    </row>
    <row r="616" ht="15.75" customHeight="1">
      <c r="C616" s="1"/>
      <c r="D616" s="1"/>
    </row>
    <row r="617" ht="15.75" customHeight="1">
      <c r="C617" s="1"/>
      <c r="D617" s="1"/>
    </row>
    <row r="618" ht="15.75" customHeight="1">
      <c r="C618" s="1"/>
      <c r="D618" s="1"/>
    </row>
    <row r="619" ht="15.75" customHeight="1">
      <c r="C619" s="1"/>
      <c r="D619" s="1"/>
    </row>
    <row r="620" ht="15.75" customHeight="1">
      <c r="C620" s="1"/>
      <c r="D620" s="1"/>
    </row>
    <row r="621" ht="15.75" customHeight="1">
      <c r="C621" s="1"/>
      <c r="D621" s="1"/>
    </row>
    <row r="622" ht="15.75" customHeight="1">
      <c r="C622" s="1"/>
      <c r="D622" s="1"/>
    </row>
    <row r="623" ht="15.75" customHeight="1">
      <c r="C623" s="1"/>
      <c r="D623" s="1"/>
    </row>
    <row r="624" ht="15.75" customHeight="1">
      <c r="C624" s="1"/>
      <c r="D624" s="1"/>
    </row>
    <row r="625" ht="15.75" customHeight="1">
      <c r="C625" s="1"/>
      <c r="D625" s="1"/>
    </row>
    <row r="626" ht="15.75" customHeight="1">
      <c r="C626" s="1"/>
      <c r="D626" s="1"/>
    </row>
    <row r="627" ht="15.75" customHeight="1">
      <c r="C627" s="1"/>
      <c r="D627" s="1"/>
    </row>
    <row r="628" ht="15.75" customHeight="1">
      <c r="C628" s="1"/>
      <c r="D628" s="1"/>
    </row>
    <row r="629" ht="15.75" customHeight="1">
      <c r="C629" s="1"/>
      <c r="D629" s="1"/>
    </row>
    <row r="630" ht="15.75" customHeight="1">
      <c r="C630" s="1"/>
      <c r="D630" s="1"/>
    </row>
    <row r="631" ht="15.75" customHeight="1">
      <c r="C631" s="1"/>
      <c r="D631" s="1"/>
    </row>
    <row r="632" ht="15.75" customHeight="1">
      <c r="C632" s="1"/>
      <c r="D632" s="1"/>
    </row>
    <row r="633" ht="15.75" customHeight="1">
      <c r="C633" s="1"/>
      <c r="D633" s="1"/>
    </row>
    <row r="634" ht="15.75" customHeight="1">
      <c r="C634" s="1"/>
      <c r="D634" s="1"/>
    </row>
    <row r="635" ht="15.75" customHeight="1">
      <c r="C635" s="1"/>
      <c r="D635" s="1"/>
    </row>
    <row r="636" ht="15.75" customHeight="1">
      <c r="C636" s="1"/>
      <c r="D636" s="1"/>
    </row>
    <row r="637" ht="15.75" customHeight="1">
      <c r="C637" s="1"/>
      <c r="D637" s="1"/>
    </row>
    <row r="638" ht="15.75" customHeight="1">
      <c r="C638" s="1"/>
      <c r="D638" s="1"/>
    </row>
    <row r="639" ht="15.75" customHeight="1">
      <c r="C639" s="1"/>
      <c r="D639" s="1"/>
    </row>
    <row r="640" ht="15.75" customHeight="1">
      <c r="C640" s="1"/>
      <c r="D640" s="1"/>
    </row>
    <row r="641" ht="15.75" customHeight="1">
      <c r="C641" s="1"/>
      <c r="D641" s="1"/>
    </row>
    <row r="642" ht="15.75" customHeight="1">
      <c r="C642" s="1"/>
      <c r="D642" s="1"/>
    </row>
    <row r="643" ht="15.75" customHeight="1">
      <c r="C643" s="1"/>
      <c r="D643" s="1"/>
    </row>
    <row r="644" ht="15.75" customHeight="1">
      <c r="C644" s="1"/>
      <c r="D644" s="1"/>
    </row>
    <row r="645" ht="15.75" customHeight="1">
      <c r="C645" s="1"/>
      <c r="D645" s="1"/>
    </row>
    <row r="646" ht="15.75" customHeight="1">
      <c r="C646" s="1"/>
      <c r="D646" s="1"/>
    </row>
    <row r="647" ht="15.75" customHeight="1">
      <c r="C647" s="1"/>
      <c r="D647" s="1"/>
    </row>
    <row r="648" ht="15.75" customHeight="1">
      <c r="C648" s="1"/>
      <c r="D648" s="1"/>
    </row>
    <row r="649" ht="15.75" customHeight="1">
      <c r="C649" s="1"/>
      <c r="D649" s="1"/>
    </row>
    <row r="650" ht="15.75" customHeight="1">
      <c r="C650" s="1"/>
      <c r="D650" s="1"/>
    </row>
    <row r="651" ht="15.75" customHeight="1">
      <c r="C651" s="1"/>
      <c r="D651" s="1"/>
    </row>
    <row r="652" ht="15.75" customHeight="1">
      <c r="C652" s="1"/>
      <c r="D652" s="1"/>
    </row>
    <row r="653" ht="15.75" customHeight="1">
      <c r="C653" s="1"/>
      <c r="D653" s="1"/>
    </row>
    <row r="654" ht="15.75" customHeight="1">
      <c r="C654" s="1"/>
      <c r="D654" s="1"/>
    </row>
    <row r="655" ht="15.75" customHeight="1">
      <c r="C655" s="1"/>
      <c r="D655" s="1"/>
    </row>
    <row r="656" ht="15.75" customHeight="1">
      <c r="C656" s="1"/>
      <c r="D656" s="1"/>
    </row>
    <row r="657" ht="15.75" customHeight="1">
      <c r="C657" s="1"/>
      <c r="D657" s="1"/>
    </row>
    <row r="658" ht="15.75" customHeight="1">
      <c r="C658" s="1"/>
      <c r="D658" s="1"/>
    </row>
    <row r="659" ht="15.75" customHeight="1">
      <c r="C659" s="1"/>
      <c r="D659" s="1"/>
    </row>
    <row r="660" ht="15.75" customHeight="1">
      <c r="C660" s="1"/>
      <c r="D660" s="1"/>
    </row>
    <row r="661" ht="15.75" customHeight="1">
      <c r="C661" s="1"/>
      <c r="D661" s="1"/>
    </row>
    <row r="662" ht="15.75" customHeight="1">
      <c r="C662" s="1"/>
      <c r="D662" s="1"/>
    </row>
    <row r="663" ht="15.75" customHeight="1">
      <c r="C663" s="1"/>
      <c r="D663" s="1"/>
    </row>
    <row r="664" ht="15.75" customHeight="1">
      <c r="C664" s="1"/>
      <c r="D664" s="1"/>
    </row>
    <row r="665" ht="15.75" customHeight="1">
      <c r="C665" s="1"/>
      <c r="D665" s="1"/>
    </row>
    <row r="666" ht="15.75" customHeight="1">
      <c r="C666" s="1"/>
      <c r="D666" s="1"/>
    </row>
    <row r="667" ht="15.75" customHeight="1">
      <c r="C667" s="1"/>
      <c r="D667" s="1"/>
    </row>
    <row r="668" ht="15.75" customHeight="1">
      <c r="C668" s="1"/>
      <c r="D668" s="1"/>
    </row>
    <row r="669" ht="15.75" customHeight="1">
      <c r="C669" s="1"/>
      <c r="D669" s="1"/>
    </row>
    <row r="670" ht="15.75" customHeight="1">
      <c r="C670" s="1"/>
      <c r="D670" s="1"/>
    </row>
    <row r="671" ht="15.75" customHeight="1">
      <c r="C671" s="1"/>
      <c r="D671" s="1"/>
    </row>
    <row r="672" ht="15.75" customHeight="1">
      <c r="C672" s="1"/>
      <c r="D672" s="1"/>
    </row>
    <row r="673" ht="15.75" customHeight="1">
      <c r="C673" s="1"/>
      <c r="D673" s="1"/>
    </row>
    <row r="674" ht="15.75" customHeight="1">
      <c r="C674" s="1"/>
      <c r="D674" s="1"/>
    </row>
    <row r="675" ht="15.75" customHeight="1">
      <c r="C675" s="1"/>
      <c r="D675" s="1"/>
    </row>
    <row r="676" ht="15.75" customHeight="1">
      <c r="C676" s="1"/>
      <c r="D676" s="1"/>
    </row>
    <row r="677" ht="15.75" customHeight="1">
      <c r="C677" s="1"/>
      <c r="D677" s="1"/>
    </row>
    <row r="678" ht="15.75" customHeight="1">
      <c r="C678" s="1"/>
      <c r="D678" s="1"/>
    </row>
    <row r="679" ht="15.75" customHeight="1">
      <c r="C679" s="1"/>
      <c r="D679" s="1"/>
    </row>
    <row r="680" ht="15.75" customHeight="1">
      <c r="C680" s="1"/>
      <c r="D680" s="1"/>
    </row>
    <row r="681" ht="15.75" customHeight="1">
      <c r="C681" s="1"/>
      <c r="D681" s="1"/>
    </row>
    <row r="682" ht="15.75" customHeight="1">
      <c r="C682" s="1"/>
      <c r="D682" s="1"/>
    </row>
    <row r="683" ht="15.75" customHeight="1">
      <c r="C683" s="1"/>
      <c r="D683" s="1"/>
    </row>
    <row r="684" ht="15.75" customHeight="1">
      <c r="C684" s="1"/>
      <c r="D684" s="1"/>
    </row>
    <row r="685" ht="15.75" customHeight="1">
      <c r="C685" s="1"/>
      <c r="D685" s="1"/>
    </row>
    <row r="686" ht="15.75" customHeight="1">
      <c r="C686" s="1"/>
      <c r="D686" s="1"/>
    </row>
    <row r="687" ht="15.75" customHeight="1">
      <c r="C687" s="1"/>
      <c r="D687" s="1"/>
    </row>
    <row r="688" ht="15.75" customHeight="1">
      <c r="C688" s="1"/>
      <c r="D688" s="1"/>
    </row>
    <row r="689" ht="15.75" customHeight="1">
      <c r="C689" s="1"/>
      <c r="D689" s="1"/>
    </row>
    <row r="690" ht="15.75" customHeight="1">
      <c r="C690" s="1"/>
      <c r="D690" s="1"/>
    </row>
    <row r="691" ht="15.75" customHeight="1">
      <c r="C691" s="1"/>
      <c r="D691" s="1"/>
    </row>
    <row r="692" ht="15.75" customHeight="1">
      <c r="C692" s="1"/>
      <c r="D692" s="1"/>
    </row>
    <row r="693" ht="15.75" customHeight="1">
      <c r="C693" s="1"/>
      <c r="D693" s="1"/>
    </row>
    <row r="694" ht="15.75" customHeight="1">
      <c r="C694" s="1"/>
      <c r="D694" s="1"/>
    </row>
    <row r="695" ht="15.75" customHeight="1">
      <c r="C695" s="1"/>
      <c r="D695" s="1"/>
    </row>
    <row r="696" ht="15.75" customHeight="1">
      <c r="C696" s="1"/>
      <c r="D696" s="1"/>
    </row>
    <row r="697" ht="15.75" customHeight="1">
      <c r="C697" s="1"/>
      <c r="D697" s="1"/>
    </row>
    <row r="698" ht="15.75" customHeight="1">
      <c r="C698" s="1"/>
      <c r="D698" s="1"/>
    </row>
    <row r="699" ht="15.75" customHeight="1">
      <c r="C699" s="1"/>
      <c r="D699" s="1"/>
    </row>
    <row r="700" ht="15.75" customHeight="1">
      <c r="C700" s="1"/>
      <c r="D700" s="1"/>
    </row>
    <row r="701" ht="15.75" customHeight="1">
      <c r="C701" s="1"/>
      <c r="D701" s="1"/>
    </row>
    <row r="702" ht="15.75" customHeight="1">
      <c r="C702" s="1"/>
      <c r="D702" s="1"/>
    </row>
    <row r="703" ht="15.75" customHeight="1">
      <c r="C703" s="1"/>
      <c r="D703" s="1"/>
    </row>
    <row r="704" ht="15.75" customHeight="1">
      <c r="C704" s="1"/>
      <c r="D704" s="1"/>
    </row>
    <row r="705" ht="15.75" customHeight="1">
      <c r="C705" s="1"/>
      <c r="D705" s="1"/>
    </row>
    <row r="706" ht="15.75" customHeight="1">
      <c r="C706" s="1"/>
      <c r="D706" s="1"/>
    </row>
    <row r="707" ht="15.75" customHeight="1">
      <c r="C707" s="1"/>
      <c r="D707" s="1"/>
    </row>
    <row r="708" ht="15.75" customHeight="1">
      <c r="C708" s="1"/>
      <c r="D708" s="1"/>
    </row>
    <row r="709" ht="15.75" customHeight="1">
      <c r="C709" s="1"/>
      <c r="D709" s="1"/>
    </row>
    <row r="710" ht="15.75" customHeight="1">
      <c r="C710" s="1"/>
      <c r="D710" s="1"/>
    </row>
    <row r="711" ht="15.75" customHeight="1">
      <c r="C711" s="1"/>
      <c r="D711" s="1"/>
    </row>
    <row r="712" ht="15.75" customHeight="1">
      <c r="C712" s="1"/>
      <c r="D712" s="1"/>
    </row>
    <row r="713" ht="15.75" customHeight="1">
      <c r="C713" s="1"/>
      <c r="D713" s="1"/>
    </row>
    <row r="714" ht="15.75" customHeight="1">
      <c r="C714" s="1"/>
      <c r="D714" s="1"/>
    </row>
    <row r="715" ht="15.75" customHeight="1">
      <c r="C715" s="1"/>
      <c r="D715" s="1"/>
    </row>
    <row r="716" ht="15.75" customHeight="1">
      <c r="C716" s="1"/>
      <c r="D716" s="1"/>
    </row>
    <row r="717" ht="15.75" customHeight="1">
      <c r="C717" s="1"/>
      <c r="D717" s="1"/>
    </row>
    <row r="718" ht="15.75" customHeight="1">
      <c r="C718" s="1"/>
      <c r="D718" s="1"/>
    </row>
    <row r="719" ht="15.75" customHeight="1">
      <c r="C719" s="1"/>
      <c r="D719" s="1"/>
    </row>
    <row r="720" ht="15.75" customHeight="1">
      <c r="C720" s="1"/>
      <c r="D720" s="1"/>
    </row>
    <row r="721" ht="15.75" customHeight="1">
      <c r="C721" s="1"/>
      <c r="D721" s="1"/>
    </row>
    <row r="722" ht="15.75" customHeight="1">
      <c r="C722" s="1"/>
      <c r="D722" s="1"/>
    </row>
    <row r="723" ht="15.75" customHeight="1">
      <c r="C723" s="1"/>
      <c r="D723" s="1"/>
    </row>
    <row r="724" ht="15.75" customHeight="1">
      <c r="C724" s="1"/>
      <c r="D724" s="1"/>
    </row>
    <row r="725" ht="15.75" customHeight="1">
      <c r="C725" s="1"/>
      <c r="D725" s="1"/>
    </row>
    <row r="726" ht="15.75" customHeight="1">
      <c r="C726" s="1"/>
      <c r="D726" s="1"/>
    </row>
    <row r="727" ht="15.75" customHeight="1">
      <c r="C727" s="1"/>
      <c r="D727" s="1"/>
    </row>
    <row r="728" ht="15.75" customHeight="1">
      <c r="C728" s="1"/>
      <c r="D728" s="1"/>
    </row>
    <row r="729" ht="15.75" customHeight="1">
      <c r="C729" s="1"/>
      <c r="D729" s="1"/>
    </row>
    <row r="730" ht="15.75" customHeight="1">
      <c r="C730" s="1"/>
      <c r="D730" s="1"/>
    </row>
    <row r="731" ht="15.75" customHeight="1">
      <c r="C731" s="1"/>
      <c r="D731" s="1"/>
    </row>
    <row r="732" ht="15.75" customHeight="1">
      <c r="C732" s="1"/>
      <c r="D732" s="1"/>
    </row>
    <row r="733" ht="15.75" customHeight="1">
      <c r="C733" s="1"/>
      <c r="D733" s="1"/>
    </row>
    <row r="734" ht="15.75" customHeight="1">
      <c r="C734" s="1"/>
      <c r="D734" s="1"/>
    </row>
    <row r="735" ht="15.75" customHeight="1">
      <c r="C735" s="1"/>
      <c r="D735" s="1"/>
    </row>
    <row r="736" ht="15.75" customHeight="1">
      <c r="C736" s="1"/>
      <c r="D736" s="1"/>
    </row>
    <row r="737" ht="15.75" customHeight="1">
      <c r="C737" s="1"/>
      <c r="D737" s="1"/>
    </row>
    <row r="738" ht="15.75" customHeight="1">
      <c r="C738" s="1"/>
      <c r="D738" s="1"/>
    </row>
    <row r="739" ht="15.75" customHeight="1">
      <c r="C739" s="1"/>
      <c r="D739" s="1"/>
    </row>
    <row r="740" ht="15.75" customHeight="1">
      <c r="C740" s="1"/>
      <c r="D740" s="1"/>
    </row>
    <row r="741" ht="15.75" customHeight="1">
      <c r="C741" s="1"/>
      <c r="D741" s="1"/>
    </row>
    <row r="742" ht="15.75" customHeight="1">
      <c r="C742" s="1"/>
      <c r="D742" s="1"/>
    </row>
    <row r="743" ht="15.75" customHeight="1">
      <c r="C743" s="1"/>
      <c r="D743" s="1"/>
    </row>
    <row r="744" ht="15.75" customHeight="1">
      <c r="C744" s="1"/>
      <c r="D744" s="1"/>
    </row>
    <row r="745" ht="15.75" customHeight="1">
      <c r="C745" s="1"/>
      <c r="D745" s="1"/>
    </row>
    <row r="746" ht="15.75" customHeight="1">
      <c r="C746" s="1"/>
      <c r="D746" s="1"/>
    </row>
    <row r="747" ht="15.75" customHeight="1">
      <c r="C747" s="1"/>
      <c r="D747" s="1"/>
    </row>
    <row r="748" ht="15.75" customHeight="1">
      <c r="C748" s="1"/>
      <c r="D748" s="1"/>
    </row>
    <row r="749" ht="15.75" customHeight="1">
      <c r="C749" s="1"/>
      <c r="D749" s="1"/>
    </row>
    <row r="750" ht="15.75" customHeight="1">
      <c r="C750" s="1"/>
      <c r="D750" s="1"/>
    </row>
    <row r="751" ht="15.75" customHeight="1">
      <c r="C751" s="1"/>
      <c r="D751" s="1"/>
    </row>
    <row r="752" ht="15.75" customHeight="1">
      <c r="C752" s="1"/>
      <c r="D752" s="1"/>
    </row>
    <row r="753" ht="15.75" customHeight="1">
      <c r="C753" s="1"/>
      <c r="D753" s="1"/>
    </row>
    <row r="754" ht="15.75" customHeight="1">
      <c r="C754" s="1"/>
      <c r="D754" s="1"/>
    </row>
    <row r="755" ht="15.75" customHeight="1">
      <c r="C755" s="1"/>
      <c r="D755" s="1"/>
    </row>
    <row r="756" ht="15.75" customHeight="1">
      <c r="C756" s="1"/>
      <c r="D756" s="1"/>
    </row>
    <row r="757" ht="15.75" customHeight="1">
      <c r="C757" s="1"/>
      <c r="D757" s="1"/>
    </row>
    <row r="758" ht="15.75" customHeight="1">
      <c r="C758" s="1"/>
      <c r="D758" s="1"/>
    </row>
    <row r="759" ht="15.75" customHeight="1">
      <c r="C759" s="1"/>
      <c r="D759" s="1"/>
    </row>
    <row r="760" ht="15.75" customHeight="1">
      <c r="C760" s="1"/>
      <c r="D760" s="1"/>
    </row>
    <row r="761" ht="15.75" customHeight="1">
      <c r="C761" s="1"/>
      <c r="D761" s="1"/>
    </row>
    <row r="762" ht="15.75" customHeight="1">
      <c r="C762" s="1"/>
      <c r="D762" s="1"/>
    </row>
    <row r="763" ht="15.75" customHeight="1">
      <c r="C763" s="1"/>
      <c r="D763" s="1"/>
    </row>
    <row r="764" ht="15.75" customHeight="1">
      <c r="C764" s="1"/>
      <c r="D764" s="1"/>
    </row>
    <row r="765" ht="15.75" customHeight="1">
      <c r="C765" s="1"/>
      <c r="D765" s="1"/>
    </row>
    <row r="766" ht="15.75" customHeight="1">
      <c r="C766" s="1"/>
      <c r="D766" s="1"/>
    </row>
    <row r="767" ht="15.75" customHeight="1">
      <c r="C767" s="1"/>
      <c r="D767" s="1"/>
    </row>
    <row r="768" ht="15.75" customHeight="1">
      <c r="C768" s="1"/>
      <c r="D768" s="1"/>
    </row>
    <row r="769" ht="15.75" customHeight="1">
      <c r="C769" s="1"/>
      <c r="D769" s="1"/>
    </row>
    <row r="770" ht="15.75" customHeight="1">
      <c r="C770" s="1"/>
      <c r="D770" s="1"/>
    </row>
    <row r="771" ht="15.75" customHeight="1">
      <c r="C771" s="1"/>
      <c r="D771" s="1"/>
    </row>
    <row r="772" ht="15.75" customHeight="1">
      <c r="C772" s="1"/>
      <c r="D772" s="1"/>
    </row>
    <row r="773" ht="15.75" customHeight="1">
      <c r="C773" s="1"/>
      <c r="D773" s="1"/>
    </row>
    <row r="774" ht="15.75" customHeight="1">
      <c r="C774" s="1"/>
      <c r="D774" s="1"/>
    </row>
    <row r="775" ht="15.75" customHeight="1">
      <c r="C775" s="1"/>
      <c r="D775" s="1"/>
    </row>
    <row r="776" ht="15.75" customHeight="1">
      <c r="C776" s="1"/>
      <c r="D776" s="1"/>
    </row>
    <row r="777" ht="15.75" customHeight="1">
      <c r="C777" s="1"/>
      <c r="D777" s="1"/>
    </row>
    <row r="778" ht="15.75" customHeight="1">
      <c r="C778" s="1"/>
      <c r="D778" s="1"/>
    </row>
    <row r="779" ht="15.75" customHeight="1">
      <c r="C779" s="1"/>
      <c r="D779" s="1"/>
    </row>
    <row r="780" ht="15.75" customHeight="1">
      <c r="C780" s="1"/>
      <c r="D780" s="1"/>
    </row>
    <row r="781" ht="15.75" customHeight="1">
      <c r="C781" s="1"/>
      <c r="D781" s="1"/>
    </row>
    <row r="782" ht="15.75" customHeight="1">
      <c r="C782" s="1"/>
      <c r="D782" s="1"/>
    </row>
    <row r="783" ht="15.75" customHeight="1">
      <c r="C783" s="1"/>
      <c r="D783" s="1"/>
    </row>
    <row r="784" ht="15.75" customHeight="1">
      <c r="C784" s="1"/>
      <c r="D784" s="1"/>
    </row>
    <row r="785" ht="15.75" customHeight="1">
      <c r="C785" s="1"/>
      <c r="D785" s="1"/>
    </row>
    <row r="786" ht="15.75" customHeight="1">
      <c r="C786" s="1"/>
      <c r="D786" s="1"/>
    </row>
    <row r="787" ht="15.75" customHeight="1">
      <c r="C787" s="1"/>
      <c r="D787" s="1"/>
    </row>
    <row r="788" ht="15.75" customHeight="1">
      <c r="C788" s="1"/>
      <c r="D788" s="1"/>
    </row>
    <row r="789" ht="15.75" customHeight="1">
      <c r="C789" s="1"/>
      <c r="D789" s="1"/>
    </row>
    <row r="790" ht="15.75" customHeight="1">
      <c r="C790" s="1"/>
      <c r="D790" s="1"/>
    </row>
    <row r="791" ht="15.75" customHeight="1">
      <c r="C791" s="1"/>
      <c r="D791" s="1"/>
    </row>
    <row r="792" ht="15.75" customHeight="1">
      <c r="C792" s="1"/>
      <c r="D792" s="1"/>
    </row>
    <row r="793" ht="15.75" customHeight="1">
      <c r="C793" s="1"/>
      <c r="D793" s="1"/>
    </row>
    <row r="794" ht="15.75" customHeight="1">
      <c r="C794" s="1"/>
      <c r="D794" s="1"/>
    </row>
    <row r="795" ht="15.75" customHeight="1">
      <c r="C795" s="1"/>
      <c r="D795" s="1"/>
    </row>
    <row r="796" ht="15.75" customHeight="1">
      <c r="C796" s="1"/>
      <c r="D796" s="1"/>
    </row>
    <row r="797" ht="15.75" customHeight="1">
      <c r="C797" s="1"/>
      <c r="D797" s="1"/>
    </row>
    <row r="798" ht="15.75" customHeight="1">
      <c r="C798" s="1"/>
      <c r="D798" s="1"/>
    </row>
    <row r="799" ht="15.75" customHeight="1">
      <c r="C799" s="1"/>
      <c r="D799" s="1"/>
    </row>
    <row r="800" ht="15.75" customHeight="1">
      <c r="C800" s="1"/>
      <c r="D800" s="1"/>
    </row>
    <row r="801" ht="15.75" customHeight="1">
      <c r="C801" s="1"/>
      <c r="D801" s="1"/>
    </row>
    <row r="802" ht="15.75" customHeight="1">
      <c r="C802" s="1"/>
      <c r="D802" s="1"/>
    </row>
    <row r="803" ht="15.75" customHeight="1">
      <c r="C803" s="1"/>
      <c r="D803" s="1"/>
    </row>
    <row r="804" ht="15.75" customHeight="1">
      <c r="C804" s="1"/>
      <c r="D804" s="1"/>
    </row>
    <row r="805" ht="15.75" customHeight="1">
      <c r="C805" s="1"/>
      <c r="D805" s="1"/>
    </row>
    <row r="806" ht="15.75" customHeight="1">
      <c r="C806" s="1"/>
      <c r="D806" s="1"/>
    </row>
    <row r="807" ht="15.75" customHeight="1">
      <c r="C807" s="1"/>
      <c r="D807" s="1"/>
    </row>
    <row r="808" ht="15.75" customHeight="1">
      <c r="C808" s="1"/>
      <c r="D808" s="1"/>
    </row>
    <row r="809" ht="15.75" customHeight="1">
      <c r="C809" s="1"/>
      <c r="D809" s="1"/>
    </row>
    <row r="810" ht="15.75" customHeight="1">
      <c r="C810" s="1"/>
      <c r="D810" s="1"/>
    </row>
    <row r="811" ht="15.75" customHeight="1">
      <c r="C811" s="1"/>
      <c r="D811" s="1"/>
    </row>
    <row r="812" ht="15.75" customHeight="1">
      <c r="C812" s="1"/>
      <c r="D812" s="1"/>
    </row>
    <row r="813" ht="15.75" customHeight="1">
      <c r="C813" s="1"/>
      <c r="D813" s="1"/>
    </row>
    <row r="814" ht="15.75" customHeight="1">
      <c r="C814" s="1"/>
      <c r="D814" s="1"/>
    </row>
    <row r="815" ht="15.75" customHeight="1">
      <c r="C815" s="1"/>
      <c r="D815" s="1"/>
    </row>
    <row r="816" ht="15.75" customHeight="1">
      <c r="C816" s="1"/>
      <c r="D816" s="1"/>
    </row>
    <row r="817" ht="15.75" customHeight="1">
      <c r="C817" s="1"/>
      <c r="D817" s="1"/>
    </row>
    <row r="818" ht="15.75" customHeight="1">
      <c r="C818" s="1"/>
      <c r="D818" s="1"/>
    </row>
    <row r="819" ht="15.75" customHeight="1">
      <c r="C819" s="1"/>
      <c r="D819" s="1"/>
    </row>
    <row r="820" ht="15.75" customHeight="1">
      <c r="C820" s="1"/>
      <c r="D820" s="1"/>
    </row>
    <row r="821" ht="15.75" customHeight="1">
      <c r="C821" s="1"/>
      <c r="D821" s="1"/>
    </row>
    <row r="822" ht="15.75" customHeight="1">
      <c r="C822" s="1"/>
      <c r="D822" s="1"/>
    </row>
    <row r="823" ht="15.75" customHeight="1">
      <c r="C823" s="1"/>
      <c r="D823" s="1"/>
    </row>
    <row r="824" ht="15.75" customHeight="1">
      <c r="C824" s="1"/>
      <c r="D824" s="1"/>
    </row>
    <row r="825" ht="15.75" customHeight="1">
      <c r="C825" s="1"/>
      <c r="D825" s="1"/>
    </row>
    <row r="826" ht="15.75" customHeight="1">
      <c r="C826" s="1"/>
      <c r="D826" s="1"/>
    </row>
    <row r="827" ht="15.75" customHeight="1">
      <c r="C827" s="1"/>
      <c r="D827" s="1"/>
    </row>
    <row r="828" ht="15.75" customHeight="1">
      <c r="C828" s="1"/>
      <c r="D828" s="1"/>
    </row>
    <row r="829" ht="15.75" customHeight="1">
      <c r="C829" s="1"/>
      <c r="D829" s="1"/>
    </row>
    <row r="830" ht="15.75" customHeight="1">
      <c r="C830" s="1"/>
      <c r="D830" s="1"/>
    </row>
    <row r="831" ht="15.75" customHeight="1">
      <c r="C831" s="1"/>
      <c r="D831" s="1"/>
    </row>
    <row r="832" ht="15.75" customHeight="1">
      <c r="C832" s="1"/>
      <c r="D832" s="1"/>
    </row>
    <row r="833" ht="15.75" customHeight="1">
      <c r="C833" s="1"/>
      <c r="D833" s="1"/>
    </row>
    <row r="834" ht="15.75" customHeight="1">
      <c r="C834" s="1"/>
      <c r="D834" s="1"/>
    </row>
    <row r="835" ht="15.75" customHeight="1">
      <c r="C835" s="1"/>
      <c r="D835" s="1"/>
    </row>
    <row r="836" ht="15.75" customHeight="1">
      <c r="C836" s="1"/>
      <c r="D836" s="1"/>
    </row>
    <row r="837" ht="15.75" customHeight="1">
      <c r="C837" s="1"/>
      <c r="D837" s="1"/>
    </row>
    <row r="838" ht="15.75" customHeight="1">
      <c r="C838" s="1"/>
      <c r="D838" s="1"/>
    </row>
    <row r="839" ht="15.75" customHeight="1">
      <c r="C839" s="1"/>
      <c r="D839" s="1"/>
    </row>
    <row r="840" ht="15.75" customHeight="1">
      <c r="C840" s="1"/>
      <c r="D840" s="1"/>
    </row>
    <row r="841" ht="15.75" customHeight="1">
      <c r="C841" s="1"/>
      <c r="D841" s="1"/>
    </row>
    <row r="842" ht="15.75" customHeight="1">
      <c r="C842" s="1"/>
      <c r="D842" s="1"/>
    </row>
    <row r="843" ht="15.75" customHeight="1">
      <c r="C843" s="1"/>
      <c r="D843" s="1"/>
    </row>
    <row r="844" ht="15.75" customHeight="1">
      <c r="C844" s="1"/>
      <c r="D844" s="1"/>
    </row>
    <row r="845" ht="15.75" customHeight="1">
      <c r="C845" s="1"/>
      <c r="D845" s="1"/>
    </row>
    <row r="846" ht="15.75" customHeight="1">
      <c r="C846" s="1"/>
      <c r="D846" s="1"/>
    </row>
    <row r="847" ht="15.75" customHeight="1">
      <c r="C847" s="1"/>
      <c r="D847" s="1"/>
    </row>
    <row r="848" ht="15.75" customHeight="1">
      <c r="C848" s="1"/>
      <c r="D848" s="1"/>
    </row>
    <row r="849" ht="15.75" customHeight="1">
      <c r="C849" s="1"/>
      <c r="D849" s="1"/>
    </row>
    <row r="850" ht="15.75" customHeight="1">
      <c r="C850" s="1"/>
      <c r="D850" s="1"/>
    </row>
    <row r="851" ht="15.75" customHeight="1">
      <c r="C851" s="1"/>
      <c r="D851" s="1"/>
    </row>
    <row r="852" ht="15.75" customHeight="1">
      <c r="C852" s="1"/>
      <c r="D852" s="1"/>
    </row>
    <row r="853" ht="15.75" customHeight="1">
      <c r="C853" s="1"/>
      <c r="D853" s="1"/>
    </row>
    <row r="854" ht="15.75" customHeight="1">
      <c r="C854" s="1"/>
      <c r="D854" s="1"/>
    </row>
    <row r="855" ht="15.75" customHeight="1">
      <c r="C855" s="1"/>
      <c r="D855" s="1"/>
    </row>
    <row r="856" ht="15.75" customHeight="1">
      <c r="C856" s="1"/>
      <c r="D856" s="1"/>
    </row>
    <row r="857" ht="15.75" customHeight="1">
      <c r="C857" s="1"/>
      <c r="D857" s="1"/>
    </row>
    <row r="858" ht="15.75" customHeight="1">
      <c r="C858" s="1"/>
      <c r="D858" s="1"/>
    </row>
    <row r="859" ht="15.75" customHeight="1">
      <c r="C859" s="1"/>
      <c r="D859" s="1"/>
    </row>
    <row r="860" ht="15.75" customHeight="1">
      <c r="C860" s="1"/>
      <c r="D860" s="1"/>
    </row>
    <row r="861" ht="15.75" customHeight="1">
      <c r="C861" s="1"/>
      <c r="D861" s="1"/>
    </row>
    <row r="862" ht="15.75" customHeight="1">
      <c r="C862" s="1"/>
      <c r="D862" s="1"/>
    </row>
    <row r="863" ht="15.75" customHeight="1">
      <c r="C863" s="1"/>
      <c r="D863" s="1"/>
    </row>
    <row r="864" ht="15.75" customHeight="1">
      <c r="C864" s="1"/>
      <c r="D864" s="1"/>
    </row>
    <row r="865" ht="15.75" customHeight="1">
      <c r="C865" s="1"/>
      <c r="D865" s="1"/>
    </row>
    <row r="866" ht="15.75" customHeight="1">
      <c r="C866" s="1"/>
      <c r="D866" s="1"/>
    </row>
    <row r="867" ht="15.75" customHeight="1">
      <c r="C867" s="1"/>
      <c r="D867" s="1"/>
    </row>
    <row r="868" ht="15.75" customHeight="1">
      <c r="C868" s="1"/>
      <c r="D868" s="1"/>
    </row>
    <row r="869" ht="15.75" customHeight="1">
      <c r="C869" s="1"/>
      <c r="D869" s="1"/>
    </row>
    <row r="870" ht="15.75" customHeight="1">
      <c r="C870" s="1"/>
      <c r="D870" s="1"/>
    </row>
    <row r="871" ht="15.75" customHeight="1">
      <c r="C871" s="1"/>
      <c r="D871" s="1"/>
    </row>
    <row r="872" ht="15.75" customHeight="1">
      <c r="C872" s="1"/>
      <c r="D872" s="1"/>
    </row>
    <row r="873" ht="15.75" customHeight="1">
      <c r="C873" s="1"/>
      <c r="D873" s="1"/>
    </row>
    <row r="874" ht="15.75" customHeight="1">
      <c r="C874" s="1"/>
      <c r="D874" s="1"/>
    </row>
    <row r="875" ht="15.75" customHeight="1">
      <c r="C875" s="1"/>
      <c r="D875" s="1"/>
    </row>
    <row r="876" ht="15.75" customHeight="1">
      <c r="C876" s="1"/>
      <c r="D876" s="1"/>
    </row>
    <row r="877" ht="15.75" customHeight="1">
      <c r="C877" s="1"/>
      <c r="D877" s="1"/>
    </row>
    <row r="878" ht="15.75" customHeight="1">
      <c r="C878" s="1"/>
      <c r="D878" s="1"/>
    </row>
    <row r="879" ht="15.75" customHeight="1">
      <c r="C879" s="1"/>
      <c r="D879" s="1"/>
    </row>
    <row r="880" ht="15.75" customHeight="1">
      <c r="C880" s="1"/>
      <c r="D880" s="1"/>
    </row>
    <row r="881" ht="15.75" customHeight="1">
      <c r="C881" s="1"/>
      <c r="D881" s="1"/>
    </row>
    <row r="882" ht="15.75" customHeight="1">
      <c r="C882" s="1"/>
      <c r="D882" s="1"/>
    </row>
    <row r="883" ht="15.75" customHeight="1">
      <c r="C883" s="1"/>
      <c r="D883" s="1"/>
    </row>
    <row r="884" ht="15.75" customHeight="1">
      <c r="C884" s="1"/>
      <c r="D884" s="1"/>
    </row>
    <row r="885" ht="15.75" customHeight="1">
      <c r="C885" s="1"/>
      <c r="D885" s="1"/>
    </row>
    <row r="886" ht="15.75" customHeight="1">
      <c r="C886" s="1"/>
      <c r="D886" s="1"/>
    </row>
    <row r="887" ht="15.75" customHeight="1">
      <c r="C887" s="1"/>
      <c r="D887" s="1"/>
    </row>
    <row r="888" ht="15.75" customHeight="1">
      <c r="C888" s="1"/>
      <c r="D888" s="1"/>
    </row>
    <row r="889" ht="15.75" customHeight="1">
      <c r="C889" s="1"/>
      <c r="D889" s="1"/>
    </row>
    <row r="890" ht="15.75" customHeight="1">
      <c r="C890" s="1"/>
      <c r="D890" s="1"/>
    </row>
    <row r="891" ht="15.75" customHeight="1">
      <c r="C891" s="1"/>
      <c r="D891" s="1"/>
    </row>
    <row r="892" ht="15.75" customHeight="1">
      <c r="C892" s="1"/>
      <c r="D892" s="1"/>
    </row>
    <row r="893" ht="15.75" customHeight="1">
      <c r="C893" s="1"/>
      <c r="D893" s="1"/>
    </row>
    <row r="894" ht="15.75" customHeight="1">
      <c r="C894" s="1"/>
      <c r="D894" s="1"/>
    </row>
    <row r="895" ht="15.75" customHeight="1">
      <c r="C895" s="1"/>
      <c r="D895" s="1"/>
    </row>
    <row r="896" ht="15.75" customHeight="1">
      <c r="C896" s="1"/>
      <c r="D896" s="1"/>
    </row>
    <row r="897" ht="15.75" customHeight="1">
      <c r="C897" s="1"/>
      <c r="D897" s="1"/>
    </row>
    <row r="898" ht="15.75" customHeight="1">
      <c r="C898" s="1"/>
      <c r="D898" s="1"/>
    </row>
    <row r="899" ht="15.75" customHeight="1">
      <c r="C899" s="1"/>
      <c r="D899" s="1"/>
    </row>
    <row r="900" ht="15.75" customHeight="1">
      <c r="C900" s="1"/>
      <c r="D900" s="1"/>
    </row>
    <row r="901" ht="15.75" customHeight="1">
      <c r="C901" s="1"/>
      <c r="D901" s="1"/>
    </row>
    <row r="902" ht="15.75" customHeight="1">
      <c r="C902" s="1"/>
      <c r="D902" s="1"/>
    </row>
    <row r="903" ht="15.75" customHeight="1">
      <c r="C903" s="1"/>
      <c r="D903" s="1"/>
    </row>
    <row r="904" ht="15.75" customHeight="1">
      <c r="C904" s="1"/>
      <c r="D904" s="1"/>
    </row>
    <row r="905" ht="15.75" customHeight="1">
      <c r="C905" s="1"/>
      <c r="D905" s="1"/>
    </row>
    <row r="906" ht="15.75" customHeight="1">
      <c r="C906" s="1"/>
      <c r="D906" s="1"/>
    </row>
    <row r="907" ht="15.75" customHeight="1">
      <c r="C907" s="1"/>
      <c r="D907" s="1"/>
    </row>
    <row r="908" ht="15.75" customHeight="1">
      <c r="C908" s="1"/>
      <c r="D908" s="1"/>
    </row>
    <row r="909" ht="15.75" customHeight="1">
      <c r="C909" s="1"/>
      <c r="D909" s="1"/>
    </row>
    <row r="910" ht="15.75" customHeight="1">
      <c r="C910" s="1"/>
      <c r="D910" s="1"/>
    </row>
    <row r="911" ht="15.75" customHeight="1">
      <c r="C911" s="1"/>
      <c r="D911" s="1"/>
    </row>
    <row r="912" ht="15.75" customHeight="1">
      <c r="C912" s="1"/>
      <c r="D912" s="1"/>
    </row>
    <row r="913" ht="15.75" customHeight="1">
      <c r="C913" s="1"/>
      <c r="D913" s="1"/>
    </row>
    <row r="914" ht="15.75" customHeight="1">
      <c r="C914" s="1"/>
      <c r="D914" s="1"/>
    </row>
    <row r="915" ht="15.75" customHeight="1">
      <c r="C915" s="1"/>
      <c r="D915" s="1"/>
    </row>
    <row r="916" ht="15.75" customHeight="1">
      <c r="C916" s="1"/>
      <c r="D916" s="1"/>
    </row>
    <row r="917" ht="15.75" customHeight="1">
      <c r="C917" s="1"/>
      <c r="D917" s="1"/>
    </row>
    <row r="918" ht="15.75" customHeight="1">
      <c r="C918" s="1"/>
      <c r="D918" s="1"/>
    </row>
    <row r="919" ht="15.75" customHeight="1">
      <c r="C919" s="1"/>
      <c r="D919" s="1"/>
    </row>
    <row r="920" ht="15.75" customHeight="1">
      <c r="C920" s="1"/>
      <c r="D920" s="1"/>
    </row>
    <row r="921" ht="15.75" customHeight="1">
      <c r="C921" s="1"/>
      <c r="D921" s="1"/>
    </row>
    <row r="922" ht="15.75" customHeight="1">
      <c r="C922" s="1"/>
      <c r="D922" s="1"/>
    </row>
    <row r="923" ht="15.75" customHeight="1">
      <c r="C923" s="1"/>
      <c r="D923" s="1"/>
    </row>
    <row r="924" ht="15.75" customHeight="1">
      <c r="C924" s="1"/>
      <c r="D924" s="1"/>
    </row>
    <row r="925" ht="15.75" customHeight="1">
      <c r="C925" s="1"/>
      <c r="D925" s="1"/>
    </row>
    <row r="926" ht="15.75" customHeight="1">
      <c r="C926" s="1"/>
      <c r="D926" s="1"/>
    </row>
    <row r="927" ht="15.75" customHeight="1">
      <c r="C927" s="1"/>
      <c r="D927" s="1"/>
    </row>
    <row r="928" ht="15.75" customHeight="1">
      <c r="C928" s="1"/>
      <c r="D928" s="1"/>
    </row>
    <row r="929" ht="15.75" customHeight="1">
      <c r="C929" s="1"/>
      <c r="D929" s="1"/>
    </row>
    <row r="930" ht="15.75" customHeight="1">
      <c r="C930" s="1"/>
      <c r="D930" s="1"/>
    </row>
    <row r="931" ht="15.75" customHeight="1">
      <c r="C931" s="1"/>
      <c r="D931" s="1"/>
    </row>
    <row r="932" ht="15.75" customHeight="1">
      <c r="C932" s="1"/>
      <c r="D932" s="1"/>
    </row>
    <row r="933" ht="15.75" customHeight="1">
      <c r="C933" s="1"/>
      <c r="D933" s="1"/>
    </row>
    <row r="934" ht="15.75" customHeight="1">
      <c r="C934" s="1"/>
      <c r="D934" s="1"/>
    </row>
    <row r="935" ht="15.75" customHeight="1">
      <c r="C935" s="1"/>
      <c r="D935" s="1"/>
    </row>
    <row r="936" ht="15.75" customHeight="1">
      <c r="C936" s="1"/>
      <c r="D936" s="1"/>
    </row>
    <row r="937" ht="15.75" customHeight="1">
      <c r="C937" s="1"/>
      <c r="D937" s="1"/>
    </row>
    <row r="938" ht="15.75" customHeight="1">
      <c r="C938" s="1"/>
      <c r="D938" s="1"/>
    </row>
    <row r="939" ht="15.75" customHeight="1">
      <c r="C939" s="1"/>
      <c r="D939" s="1"/>
    </row>
    <row r="940" ht="15.75" customHeight="1">
      <c r="C940" s="1"/>
      <c r="D940" s="1"/>
    </row>
    <row r="941" ht="15.75" customHeight="1">
      <c r="C941" s="1"/>
      <c r="D941" s="1"/>
    </row>
    <row r="942" ht="15.75" customHeight="1">
      <c r="C942" s="1"/>
      <c r="D942" s="1"/>
    </row>
    <row r="943" ht="15.75" customHeight="1">
      <c r="C943" s="1"/>
      <c r="D943" s="1"/>
    </row>
    <row r="944" ht="15.75" customHeight="1">
      <c r="C944" s="1"/>
      <c r="D944" s="1"/>
    </row>
    <row r="945" ht="15.75" customHeight="1">
      <c r="C945" s="1"/>
      <c r="D945" s="1"/>
    </row>
    <row r="946" ht="15.75" customHeight="1">
      <c r="C946" s="1"/>
      <c r="D946" s="1"/>
    </row>
    <row r="947" ht="15.75" customHeight="1">
      <c r="C947" s="1"/>
      <c r="D947" s="1"/>
    </row>
    <row r="948" ht="15.75" customHeight="1">
      <c r="C948" s="1"/>
      <c r="D948" s="1"/>
    </row>
    <row r="949" ht="15.75" customHeight="1">
      <c r="C949" s="1"/>
      <c r="D949" s="1"/>
    </row>
    <row r="950" ht="15.75" customHeight="1">
      <c r="C950" s="1"/>
      <c r="D950" s="1"/>
    </row>
    <row r="951" ht="15.75" customHeight="1">
      <c r="C951" s="1"/>
      <c r="D951" s="1"/>
    </row>
    <row r="952" ht="15.75" customHeight="1">
      <c r="C952" s="1"/>
      <c r="D952" s="1"/>
    </row>
    <row r="953" ht="15.75" customHeight="1">
      <c r="C953" s="1"/>
      <c r="D953" s="1"/>
    </row>
    <row r="954" ht="15.75" customHeight="1">
      <c r="C954" s="1"/>
      <c r="D954" s="1"/>
    </row>
    <row r="955" ht="15.75" customHeight="1">
      <c r="C955" s="1"/>
      <c r="D955" s="1"/>
    </row>
    <row r="956" ht="15.75" customHeight="1">
      <c r="C956" s="1"/>
      <c r="D956" s="1"/>
    </row>
    <row r="957" ht="15.75" customHeight="1">
      <c r="C957" s="1"/>
      <c r="D957" s="1"/>
    </row>
    <row r="958" ht="15.75" customHeight="1">
      <c r="C958" s="1"/>
      <c r="D958" s="1"/>
    </row>
    <row r="959" ht="15.75" customHeight="1">
      <c r="C959" s="1"/>
      <c r="D959" s="1"/>
    </row>
    <row r="960" ht="15.75" customHeight="1">
      <c r="C960" s="1"/>
      <c r="D960" s="1"/>
    </row>
    <row r="961" ht="15.75" customHeight="1">
      <c r="C961" s="1"/>
      <c r="D961" s="1"/>
    </row>
    <row r="962" ht="15.75" customHeight="1">
      <c r="C962" s="1"/>
      <c r="D962" s="1"/>
    </row>
    <row r="963" ht="15.75" customHeight="1">
      <c r="C963" s="1"/>
      <c r="D963" s="1"/>
    </row>
    <row r="964" ht="15.75" customHeight="1">
      <c r="C964" s="1"/>
      <c r="D964" s="1"/>
    </row>
    <row r="965" ht="15.75" customHeight="1">
      <c r="C965" s="1"/>
      <c r="D965" s="1"/>
    </row>
    <row r="966" ht="15.75" customHeight="1">
      <c r="C966" s="1"/>
      <c r="D966" s="1"/>
    </row>
    <row r="967" ht="15.75" customHeight="1">
      <c r="C967" s="1"/>
      <c r="D967" s="1"/>
    </row>
    <row r="968" ht="15.75" customHeight="1">
      <c r="C968" s="1"/>
      <c r="D968" s="1"/>
    </row>
    <row r="969" ht="15.75" customHeight="1">
      <c r="C969" s="1"/>
      <c r="D969" s="1"/>
    </row>
    <row r="970" ht="15.75" customHeight="1">
      <c r="C970" s="1"/>
      <c r="D970" s="1"/>
    </row>
    <row r="971" ht="15.75" customHeight="1">
      <c r="C971" s="1"/>
      <c r="D971" s="1"/>
    </row>
    <row r="972" ht="15.75" customHeight="1">
      <c r="C972" s="1"/>
      <c r="D972" s="1"/>
    </row>
    <row r="973" ht="15.75" customHeight="1">
      <c r="C973" s="1"/>
      <c r="D973" s="1"/>
    </row>
    <row r="974" ht="15.75" customHeight="1">
      <c r="C974" s="1"/>
      <c r="D974" s="1"/>
    </row>
    <row r="975" ht="15.75" customHeight="1">
      <c r="C975" s="1"/>
      <c r="D975" s="1"/>
    </row>
    <row r="976" ht="15.75" customHeight="1">
      <c r="C976" s="1"/>
      <c r="D976" s="1"/>
    </row>
    <row r="977" ht="15.75" customHeight="1">
      <c r="C977" s="1"/>
      <c r="D977" s="1"/>
    </row>
    <row r="978" ht="15.75" customHeight="1">
      <c r="C978" s="1"/>
      <c r="D978" s="1"/>
    </row>
    <row r="979" ht="15.75" customHeight="1">
      <c r="C979" s="1"/>
      <c r="D979" s="1"/>
    </row>
    <row r="980" ht="15.75" customHeight="1">
      <c r="C980" s="1"/>
      <c r="D980" s="1"/>
    </row>
    <row r="981" ht="15.75" customHeight="1">
      <c r="C981" s="1"/>
      <c r="D981" s="1"/>
    </row>
    <row r="982" ht="15.75" customHeight="1">
      <c r="C982" s="1"/>
      <c r="D982" s="1"/>
    </row>
    <row r="983" ht="15.75" customHeight="1">
      <c r="C983" s="1"/>
      <c r="D983" s="1"/>
    </row>
    <row r="984" ht="15.75" customHeight="1">
      <c r="C984" s="1"/>
      <c r="D984" s="1"/>
    </row>
    <row r="985" ht="15.75" customHeight="1">
      <c r="C985" s="1"/>
      <c r="D985" s="1"/>
    </row>
    <row r="986" ht="15.75" customHeight="1">
      <c r="C986" s="1"/>
      <c r="D986" s="1"/>
    </row>
    <row r="987" ht="15.75" customHeight="1">
      <c r="C987" s="1"/>
      <c r="D987" s="1"/>
    </row>
    <row r="988" ht="15.75" customHeight="1">
      <c r="C988" s="1"/>
      <c r="D988" s="1"/>
    </row>
    <row r="989" ht="15.75" customHeight="1">
      <c r="C989" s="1"/>
      <c r="D989" s="1"/>
    </row>
    <row r="990" ht="15.75" customHeight="1">
      <c r="C990" s="1"/>
      <c r="D990" s="1"/>
    </row>
    <row r="991" ht="15.75" customHeight="1">
      <c r="C991" s="1"/>
      <c r="D991" s="1"/>
    </row>
    <row r="992" ht="15.75" customHeight="1">
      <c r="C992" s="1"/>
      <c r="D992" s="1"/>
    </row>
    <row r="993" ht="15.75" customHeight="1">
      <c r="C993" s="1"/>
      <c r="D993" s="1"/>
    </row>
    <row r="994" ht="15.75" customHeight="1">
      <c r="C994" s="1"/>
      <c r="D994" s="1"/>
    </row>
    <row r="995" ht="15.75" customHeight="1">
      <c r="C995" s="1"/>
      <c r="D995" s="1"/>
    </row>
    <row r="996" ht="15.75" customHeight="1">
      <c r="C996" s="1"/>
      <c r="D996" s="1"/>
    </row>
    <row r="997" ht="15.75" customHeight="1">
      <c r="C997" s="1"/>
      <c r="D997" s="1"/>
    </row>
    <row r="998" ht="15.75" customHeight="1">
      <c r="C998" s="1"/>
      <c r="D998" s="1"/>
    </row>
    <row r="999" ht="15.75" customHeight="1">
      <c r="C999" s="1"/>
      <c r="D999" s="1"/>
    </row>
    <row r="1000" ht="15.75" customHeight="1">
      <c r="C1000" s="1"/>
      <c r="D1000" s="1"/>
    </row>
  </sheetData>
  <mergeCells count="1">
    <mergeCell ref="H13:I1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4" width="10.71"/>
    <col customWidth="1" min="5" max="5" width="52.86"/>
    <col customWidth="1" min="6" max="6" width="10.86"/>
    <col customWidth="1" min="7" max="7" width="9.57"/>
    <col customWidth="1" min="8" max="8" width="10.71"/>
    <col customWidth="1" min="9" max="9" width="8.71"/>
    <col customWidth="1" min="10" max="10" width="13.43"/>
    <col customWidth="1" min="11" max="11" width="6.29"/>
    <col customWidth="1" min="12" max="12" width="8.0"/>
    <col customWidth="1" min="13" max="13" width="11.71"/>
    <col customWidth="1" min="14" max="26" width="8.71"/>
  </cols>
  <sheetData>
    <row r="1">
      <c r="C1" s="1"/>
      <c r="D1" s="1"/>
    </row>
    <row r="2">
      <c r="C2" s="1"/>
      <c r="D2" s="1"/>
    </row>
    <row r="3">
      <c r="C3" s="2" t="s">
        <v>0</v>
      </c>
      <c r="D3" s="2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/>
      <c r="J3" s="3"/>
      <c r="K3" s="3" t="s">
        <v>14</v>
      </c>
      <c r="L3" s="3" t="s">
        <v>15</v>
      </c>
      <c r="M3" s="3" t="s">
        <v>16</v>
      </c>
    </row>
    <row r="4">
      <c r="C4" s="5">
        <v>45932.0</v>
      </c>
      <c r="D4" s="5">
        <v>45932.0</v>
      </c>
      <c r="E4" s="9" t="s">
        <v>91</v>
      </c>
      <c r="F4" s="7">
        <v>6837.5</v>
      </c>
      <c r="G4" s="7">
        <v>6839.0</v>
      </c>
      <c r="H4" s="7">
        <f t="shared" ref="H4:H9" si="1">G4-F4</f>
        <v>1.5</v>
      </c>
      <c r="I4" s="8">
        <v>380.0</v>
      </c>
      <c r="J4" s="8">
        <f t="shared" ref="J4:J9" si="2">H4*I4</f>
        <v>570</v>
      </c>
      <c r="K4" s="7"/>
      <c r="L4" s="7"/>
      <c r="M4" s="14">
        <f>K4*L4</f>
        <v>0</v>
      </c>
    </row>
    <row r="5">
      <c r="C5" s="5"/>
      <c r="D5" s="5"/>
      <c r="E5" s="9"/>
      <c r="F5" s="7">
        <v>0.0</v>
      </c>
      <c r="G5" s="7"/>
      <c r="H5" s="7">
        <f t="shared" si="1"/>
        <v>0</v>
      </c>
      <c r="I5" s="7"/>
      <c r="J5" s="8">
        <f t="shared" si="2"/>
        <v>0</v>
      </c>
      <c r="K5" s="7"/>
      <c r="L5" s="7"/>
      <c r="M5" s="14"/>
    </row>
    <row r="6">
      <c r="C6" s="5"/>
      <c r="D6" s="5"/>
      <c r="E6" s="9"/>
      <c r="F6" s="7">
        <v>0.0</v>
      </c>
      <c r="G6" s="7"/>
      <c r="H6" s="7">
        <f t="shared" si="1"/>
        <v>0</v>
      </c>
      <c r="I6" s="7"/>
      <c r="J6" s="8">
        <f t="shared" si="2"/>
        <v>0</v>
      </c>
      <c r="K6" s="7"/>
      <c r="L6" s="7"/>
      <c r="M6" s="14"/>
    </row>
    <row r="7">
      <c r="C7" s="5"/>
      <c r="D7" s="5"/>
      <c r="E7" s="9"/>
      <c r="F7" s="7">
        <v>0.0</v>
      </c>
      <c r="G7" s="7"/>
      <c r="H7" s="7">
        <f t="shared" si="1"/>
        <v>0</v>
      </c>
      <c r="I7" s="7"/>
      <c r="J7" s="8">
        <f t="shared" si="2"/>
        <v>0</v>
      </c>
      <c r="K7" s="7"/>
      <c r="L7" s="7"/>
      <c r="M7" s="14"/>
    </row>
    <row r="8">
      <c r="C8" s="5"/>
      <c r="D8" s="5"/>
      <c r="E8" s="9"/>
      <c r="F8" s="7">
        <v>0.0</v>
      </c>
      <c r="G8" s="7"/>
      <c r="H8" s="7">
        <f t="shared" si="1"/>
        <v>0</v>
      </c>
      <c r="I8" s="7"/>
      <c r="J8" s="8">
        <f t="shared" si="2"/>
        <v>0</v>
      </c>
      <c r="K8" s="7"/>
      <c r="L8" s="7"/>
      <c r="M8" s="14"/>
    </row>
    <row r="9">
      <c r="C9" s="5"/>
      <c r="D9" s="5"/>
      <c r="E9" s="9"/>
      <c r="F9" s="7">
        <v>0.0</v>
      </c>
      <c r="G9" s="7"/>
      <c r="H9" s="7">
        <f t="shared" si="1"/>
        <v>0</v>
      </c>
      <c r="I9" s="7"/>
      <c r="J9" s="8">
        <f t="shared" si="2"/>
        <v>0</v>
      </c>
      <c r="K9" s="7"/>
      <c r="L9" s="7"/>
      <c r="M9" s="14"/>
    </row>
    <row r="10">
      <c r="C10" s="1"/>
      <c r="D10" s="1"/>
      <c r="I10" s="15" t="s">
        <v>11</v>
      </c>
      <c r="J10" s="11">
        <f>SUM(J4:J9)</f>
        <v>570</v>
      </c>
      <c r="M10" s="16">
        <f>SUM(M4:M9)</f>
        <v>0</v>
      </c>
    </row>
    <row r="11">
      <c r="C11" s="1"/>
      <c r="D11" s="1"/>
    </row>
    <row r="12">
      <c r="C12" s="1"/>
      <c r="D12" s="1"/>
      <c r="H12" s="17" t="s">
        <v>18</v>
      </c>
      <c r="I12" s="18"/>
      <c r="J12" s="19">
        <f>J10-M10</f>
        <v>570</v>
      </c>
    </row>
    <row r="13">
      <c r="C13" s="1"/>
      <c r="D13" s="1"/>
    </row>
    <row r="14">
      <c r="C14" s="1"/>
      <c r="D14" s="1"/>
      <c r="E14" s="57" t="s">
        <v>12</v>
      </c>
    </row>
    <row r="15">
      <c r="C15" s="1"/>
      <c r="D15" s="1"/>
      <c r="E15" s="57" t="s">
        <v>80</v>
      </c>
    </row>
    <row r="16">
      <c r="C16" s="1"/>
      <c r="D16" s="1"/>
    </row>
    <row r="17">
      <c r="C17" s="1"/>
      <c r="D17" s="1"/>
    </row>
    <row r="18">
      <c r="C18" s="1"/>
      <c r="D18" s="1"/>
    </row>
    <row r="19">
      <c r="C19" s="1"/>
      <c r="D19" s="1"/>
    </row>
    <row r="20">
      <c r="C20" s="1"/>
      <c r="D20" s="1"/>
    </row>
    <row r="21" ht="15.75" customHeight="1">
      <c r="C21" s="1"/>
      <c r="D21" s="1"/>
    </row>
    <row r="22" ht="15.75" customHeight="1">
      <c r="C22" s="2" t="s">
        <v>0</v>
      </c>
      <c r="D22" s="2" t="s">
        <v>1</v>
      </c>
      <c r="E22" s="3" t="s">
        <v>2</v>
      </c>
      <c r="F22" s="3" t="s">
        <v>3</v>
      </c>
      <c r="G22" s="3" t="s">
        <v>4</v>
      </c>
      <c r="H22" s="3" t="s">
        <v>5</v>
      </c>
      <c r="I22" s="3"/>
      <c r="J22" s="3"/>
      <c r="K22" s="3" t="s">
        <v>14</v>
      </c>
      <c r="L22" s="3" t="s">
        <v>15</v>
      </c>
      <c r="M22" s="3" t="s">
        <v>16</v>
      </c>
    </row>
    <row r="23" ht="15.75" customHeight="1">
      <c r="C23" s="5">
        <v>45968.0</v>
      </c>
      <c r="D23" s="5">
        <v>45978.0</v>
      </c>
      <c r="E23" s="6" t="s">
        <v>92</v>
      </c>
      <c r="F23" s="7">
        <v>7062.6</v>
      </c>
      <c r="G23" s="7">
        <v>7127.6</v>
      </c>
      <c r="H23" s="7">
        <f t="shared" ref="H23:H26" si="3">G23-F23</f>
        <v>65</v>
      </c>
      <c r="I23" s="8">
        <v>380.0</v>
      </c>
      <c r="J23" s="8">
        <f t="shared" ref="J23:J27" si="4">H23*I23</f>
        <v>24700</v>
      </c>
      <c r="K23" s="23">
        <v>1330.0</v>
      </c>
      <c r="L23" s="23">
        <v>5.62</v>
      </c>
      <c r="M23" s="14">
        <f t="shared" ref="M23:M28" si="5">K23*L23</f>
        <v>7474.6</v>
      </c>
    </row>
    <row r="24" ht="15.75" customHeight="1">
      <c r="C24" s="22">
        <v>45968.0</v>
      </c>
      <c r="D24" s="22">
        <v>45990.0</v>
      </c>
      <c r="E24" s="6" t="s">
        <v>93</v>
      </c>
      <c r="F24" s="23">
        <v>3607.9</v>
      </c>
      <c r="G24" s="23">
        <v>3786.4</v>
      </c>
      <c r="H24" s="7">
        <f t="shared" si="3"/>
        <v>178.5</v>
      </c>
      <c r="I24" s="24">
        <v>400.0</v>
      </c>
      <c r="J24" s="8">
        <f t="shared" si="4"/>
        <v>71400</v>
      </c>
      <c r="K24" s="23">
        <v>2003.0</v>
      </c>
      <c r="L24" s="23">
        <v>5.62</v>
      </c>
      <c r="M24" s="14">
        <f t="shared" si="5"/>
        <v>11256.86</v>
      </c>
    </row>
    <row r="25" ht="15.75" customHeight="1">
      <c r="C25" s="22">
        <v>45980.0</v>
      </c>
      <c r="D25" s="22">
        <v>45990.0</v>
      </c>
      <c r="E25" s="6" t="s">
        <v>94</v>
      </c>
      <c r="F25" s="23">
        <v>1807.98</v>
      </c>
      <c r="G25" s="23">
        <v>1909.96</v>
      </c>
      <c r="H25" s="7">
        <f t="shared" si="3"/>
        <v>101.98</v>
      </c>
      <c r="I25" s="24">
        <v>380.0</v>
      </c>
      <c r="J25" s="8">
        <f t="shared" si="4"/>
        <v>38752.4</v>
      </c>
      <c r="K25" s="7"/>
      <c r="L25" s="7"/>
      <c r="M25" s="14">
        <f t="shared" si="5"/>
        <v>0</v>
      </c>
    </row>
    <row r="26" ht="15.75" customHeight="1">
      <c r="C26" s="22">
        <v>45992.0</v>
      </c>
      <c r="D26" s="22">
        <v>45994.0</v>
      </c>
      <c r="E26" s="6" t="s">
        <v>95</v>
      </c>
      <c r="F26" s="23">
        <v>3786.4</v>
      </c>
      <c r="G26" s="23">
        <v>3809.6</v>
      </c>
      <c r="H26" s="7">
        <f t="shared" si="3"/>
        <v>23.2</v>
      </c>
      <c r="I26" s="24">
        <v>400.0</v>
      </c>
      <c r="J26" s="8">
        <f t="shared" si="4"/>
        <v>9280</v>
      </c>
      <c r="K26" s="23">
        <v>434.0</v>
      </c>
      <c r="L26" s="23">
        <v>5.62</v>
      </c>
      <c r="M26" s="14">
        <f t="shared" si="5"/>
        <v>2439.08</v>
      </c>
    </row>
    <row r="27" ht="15.75" customHeight="1">
      <c r="C27" s="22">
        <v>45971.0</v>
      </c>
      <c r="D27" s="22">
        <v>45990.0</v>
      </c>
      <c r="E27" s="6" t="s">
        <v>96</v>
      </c>
      <c r="F27" s="7">
        <v>0.0</v>
      </c>
      <c r="G27" s="7"/>
      <c r="H27" s="23">
        <v>86.44</v>
      </c>
      <c r="I27" s="24">
        <v>150.0</v>
      </c>
      <c r="J27" s="8">
        <f t="shared" si="4"/>
        <v>12966</v>
      </c>
      <c r="K27" s="23">
        <v>280.0</v>
      </c>
      <c r="L27" s="23">
        <v>5.62</v>
      </c>
      <c r="M27" s="14">
        <f t="shared" si="5"/>
        <v>1573.6</v>
      </c>
    </row>
    <row r="28" ht="15.75" customHeight="1">
      <c r="C28" s="5"/>
      <c r="D28" s="5"/>
      <c r="E28" s="23" t="s">
        <v>97</v>
      </c>
      <c r="F28" s="23"/>
      <c r="G28" s="23"/>
      <c r="H28" s="7"/>
      <c r="I28" s="25"/>
      <c r="J28" s="21">
        <v>10000.0</v>
      </c>
      <c r="K28" s="23"/>
      <c r="L28" s="7"/>
      <c r="M28" s="14">
        <f t="shared" si="5"/>
        <v>0</v>
      </c>
    </row>
    <row r="29" ht="15.75" customHeight="1">
      <c r="C29" s="1"/>
      <c r="D29" s="1"/>
      <c r="I29" s="15" t="s">
        <v>11</v>
      </c>
      <c r="J29" s="11">
        <f>SUM(J23+J24+J25+J26+J27-J28)</f>
        <v>147098.4</v>
      </c>
      <c r="M29" s="16">
        <f>SUM(M23:M28)</f>
        <v>22744.14</v>
      </c>
    </row>
    <row r="30" ht="15.75" customHeight="1">
      <c r="C30" s="1"/>
      <c r="D30" s="1"/>
    </row>
    <row r="31" ht="15.75" customHeight="1">
      <c r="C31" s="1"/>
      <c r="D31" s="1"/>
      <c r="G31" s="61"/>
      <c r="H31" s="28" t="s">
        <v>18</v>
      </c>
      <c r="I31" s="29"/>
      <c r="J31" s="19">
        <f>J29-M29</f>
        <v>124354.26</v>
      </c>
    </row>
    <row r="32" ht="15.75" customHeight="1">
      <c r="C32" s="1"/>
      <c r="D32" s="1"/>
    </row>
    <row r="33" ht="15.75" customHeight="1">
      <c r="C33" s="1"/>
      <c r="D33" s="1"/>
      <c r="E33" s="12" t="s">
        <v>12</v>
      </c>
    </row>
    <row r="34" ht="15.75" customHeight="1">
      <c r="C34" s="1"/>
      <c r="D34" s="1"/>
      <c r="E34" s="13"/>
    </row>
    <row r="35" ht="15.75" customHeight="1">
      <c r="C35" s="1"/>
      <c r="D35" s="1"/>
    </row>
    <row r="36" ht="15.75" customHeight="1">
      <c r="A36" s="26" t="s">
        <v>27</v>
      </c>
      <c r="C36" s="1"/>
      <c r="D36" s="1"/>
    </row>
    <row r="37" ht="15.75" customHeight="1">
      <c r="C37" s="1"/>
      <c r="D37" s="1"/>
    </row>
    <row r="38" ht="15.75" customHeight="1">
      <c r="C38" s="2" t="s">
        <v>0</v>
      </c>
      <c r="D38" s="2" t="s">
        <v>1</v>
      </c>
      <c r="E38" s="3" t="s">
        <v>2</v>
      </c>
      <c r="F38" s="3" t="s">
        <v>3</v>
      </c>
      <c r="G38" s="3" t="s">
        <v>4</v>
      </c>
      <c r="H38" s="3" t="s">
        <v>5</v>
      </c>
      <c r="I38" s="3"/>
      <c r="J38" s="3"/>
      <c r="K38" s="3" t="s">
        <v>14</v>
      </c>
      <c r="L38" s="3" t="s">
        <v>15</v>
      </c>
      <c r="M38" s="3" t="s">
        <v>16</v>
      </c>
    </row>
    <row r="39" ht="15.75" customHeight="1">
      <c r="C39" s="22">
        <v>45968.0</v>
      </c>
      <c r="D39" s="22">
        <v>45990.0</v>
      </c>
      <c r="E39" s="6" t="s">
        <v>98</v>
      </c>
      <c r="F39" s="23">
        <v>3607.9</v>
      </c>
      <c r="G39" s="23">
        <v>3786.4</v>
      </c>
      <c r="H39" s="7">
        <f t="shared" ref="H39:H44" si="6">G39-F39</f>
        <v>178.5</v>
      </c>
      <c r="I39" s="21">
        <v>400.0</v>
      </c>
      <c r="J39" s="8">
        <f t="shared" ref="J39:J44" si="7">H39*I39</f>
        <v>71400</v>
      </c>
      <c r="K39" s="23">
        <v>2003.0</v>
      </c>
      <c r="L39" s="7"/>
      <c r="M39" s="14">
        <f>K39*L39</f>
        <v>0</v>
      </c>
    </row>
    <row r="40" ht="15.75" customHeight="1">
      <c r="C40" s="22">
        <v>45980.0</v>
      </c>
      <c r="D40" s="22">
        <v>45990.0</v>
      </c>
      <c r="E40" s="6" t="s">
        <v>99</v>
      </c>
      <c r="F40" s="23">
        <v>1807.48</v>
      </c>
      <c r="G40" s="23">
        <v>1909.96</v>
      </c>
      <c r="H40" s="7">
        <f t="shared" si="6"/>
        <v>102.48</v>
      </c>
      <c r="I40" s="24">
        <v>380.0</v>
      </c>
      <c r="J40" s="8">
        <f t="shared" si="7"/>
        <v>38942.4</v>
      </c>
      <c r="K40" s="7"/>
      <c r="L40" s="7"/>
      <c r="M40" s="14"/>
    </row>
    <row r="41" ht="15.75" customHeight="1">
      <c r="C41" s="22">
        <v>45992.0</v>
      </c>
      <c r="D41" s="22">
        <v>45994.0</v>
      </c>
      <c r="E41" s="6" t="s">
        <v>100</v>
      </c>
      <c r="F41" s="23">
        <v>3786.4</v>
      </c>
      <c r="G41" s="23">
        <v>3809.6</v>
      </c>
      <c r="H41" s="7">
        <f t="shared" si="6"/>
        <v>23.2</v>
      </c>
      <c r="I41" s="24">
        <v>400.0</v>
      </c>
      <c r="J41" s="8">
        <f t="shared" si="7"/>
        <v>9280</v>
      </c>
      <c r="K41" s="23">
        <v>434.0</v>
      </c>
      <c r="L41" s="7"/>
      <c r="M41" s="14"/>
    </row>
    <row r="42" ht="15.75" customHeight="1">
      <c r="C42" s="5"/>
      <c r="D42" s="5"/>
      <c r="E42" s="9"/>
      <c r="F42" s="7">
        <v>0.0</v>
      </c>
      <c r="G42" s="7"/>
      <c r="H42" s="7">
        <f t="shared" si="6"/>
        <v>0</v>
      </c>
      <c r="I42" s="7"/>
      <c r="J42" s="8">
        <f t="shared" si="7"/>
        <v>0</v>
      </c>
      <c r="K42" s="7"/>
      <c r="L42" s="7"/>
      <c r="M42" s="14"/>
    </row>
    <row r="43" ht="15.75" customHeight="1">
      <c r="C43" s="5"/>
      <c r="D43" s="5"/>
      <c r="E43" s="9"/>
      <c r="F43" s="7">
        <v>0.0</v>
      </c>
      <c r="G43" s="7"/>
      <c r="H43" s="7">
        <f t="shared" si="6"/>
        <v>0</v>
      </c>
      <c r="I43" s="7"/>
      <c r="J43" s="8">
        <f t="shared" si="7"/>
        <v>0</v>
      </c>
      <c r="K43" s="7"/>
      <c r="L43" s="7"/>
      <c r="M43" s="14"/>
    </row>
    <row r="44" ht="15.75" customHeight="1">
      <c r="C44" s="5"/>
      <c r="D44" s="5"/>
      <c r="E44" s="9"/>
      <c r="F44" s="7">
        <v>0.0</v>
      </c>
      <c r="G44" s="7"/>
      <c r="H44" s="7">
        <f t="shared" si="6"/>
        <v>0</v>
      </c>
      <c r="I44" s="7"/>
      <c r="J44" s="8">
        <f t="shared" si="7"/>
        <v>0</v>
      </c>
      <c r="K44" s="7"/>
      <c r="L44" s="7"/>
      <c r="M44" s="14"/>
    </row>
    <row r="45" ht="15.75" customHeight="1">
      <c r="C45" s="1"/>
      <c r="D45" s="1"/>
      <c r="I45" s="15" t="s">
        <v>11</v>
      </c>
      <c r="J45" s="11">
        <f>SUM(J39:J44)</f>
        <v>119622.4</v>
      </c>
      <c r="M45" s="16">
        <f>SUM(M39:M44)</f>
        <v>0</v>
      </c>
    </row>
    <row r="46" ht="15.75" customHeight="1">
      <c r="C46" s="1"/>
      <c r="D46" s="1"/>
    </row>
    <row r="47" ht="15.75" customHeight="1">
      <c r="C47" s="1"/>
      <c r="D47" s="1"/>
      <c r="H47" s="17" t="s">
        <v>18</v>
      </c>
      <c r="I47" s="18"/>
      <c r="J47" s="19">
        <f>J45-M45</f>
        <v>119622.4</v>
      </c>
    </row>
    <row r="48" ht="15.75" customHeight="1">
      <c r="C48" s="1"/>
      <c r="D48" s="1"/>
    </row>
    <row r="49" ht="15.75" customHeight="1">
      <c r="C49" s="1"/>
      <c r="D49" s="1"/>
      <c r="E49" s="12" t="s">
        <v>12</v>
      </c>
    </row>
    <row r="50" ht="15.75" customHeight="1">
      <c r="C50" s="1"/>
      <c r="D50" s="1"/>
      <c r="E50" s="13"/>
    </row>
    <row r="51" ht="15.75" customHeight="1">
      <c r="C51" s="1"/>
      <c r="D51" s="1"/>
    </row>
    <row r="52" ht="15.75" customHeight="1">
      <c r="C52" s="1"/>
      <c r="D52" s="1"/>
    </row>
    <row r="53" ht="15.75" customHeight="1">
      <c r="C53" s="1"/>
      <c r="D53" s="1"/>
    </row>
    <row r="54" ht="15.75" customHeight="1">
      <c r="C54" s="1"/>
      <c r="D54" s="1"/>
    </row>
    <row r="55" ht="15.75" customHeight="1">
      <c r="C55" s="1"/>
      <c r="D55" s="1"/>
    </row>
    <row r="56" ht="15.75" customHeight="1">
      <c r="C56" s="1"/>
      <c r="D56" s="1"/>
    </row>
    <row r="57" ht="15.75" customHeight="1">
      <c r="C57" s="1"/>
      <c r="D57" s="1"/>
    </row>
    <row r="58" ht="15.75" customHeight="1">
      <c r="C58" s="1"/>
      <c r="D58" s="1"/>
    </row>
    <row r="59" ht="15.75" customHeight="1">
      <c r="C59" s="1"/>
      <c r="D59" s="1"/>
    </row>
    <row r="60" ht="15.75" customHeight="1">
      <c r="C60" s="1"/>
      <c r="D60" s="1"/>
    </row>
    <row r="61" ht="15.75" customHeight="1">
      <c r="C61" s="1"/>
      <c r="D61" s="1"/>
    </row>
    <row r="62" ht="15.75" customHeight="1">
      <c r="C62" s="1"/>
      <c r="D62" s="1"/>
    </row>
    <row r="63" ht="15.75" customHeight="1">
      <c r="C63" s="1"/>
      <c r="D63" s="1"/>
    </row>
    <row r="64" ht="15.75" customHeight="1">
      <c r="C64" s="1"/>
      <c r="D64" s="1"/>
    </row>
    <row r="65" ht="15.75" customHeight="1">
      <c r="C65" s="1"/>
      <c r="D65" s="1"/>
    </row>
    <row r="66" ht="15.75" customHeight="1">
      <c r="C66" s="1"/>
      <c r="D66" s="1"/>
    </row>
    <row r="67" ht="15.75" customHeight="1">
      <c r="C67" s="1"/>
      <c r="D67" s="1"/>
    </row>
    <row r="68" ht="15.75" customHeight="1">
      <c r="C68" s="1"/>
      <c r="D68" s="1"/>
    </row>
    <row r="69" ht="15.75" customHeight="1">
      <c r="C69" s="1"/>
      <c r="D69" s="1"/>
    </row>
    <row r="70" ht="15.75" customHeight="1">
      <c r="C70" s="1"/>
      <c r="D70" s="1"/>
    </row>
    <row r="71" ht="15.75" customHeight="1">
      <c r="C71" s="1"/>
      <c r="D71" s="1"/>
    </row>
    <row r="72" ht="15.75" customHeight="1">
      <c r="C72" s="1"/>
      <c r="D72" s="1"/>
    </row>
    <row r="73" ht="15.75" customHeight="1">
      <c r="C73" s="1"/>
      <c r="D73" s="1"/>
    </row>
    <row r="74" ht="15.75" customHeight="1">
      <c r="C74" s="1"/>
      <c r="D74" s="1"/>
    </row>
    <row r="75" ht="15.75" customHeight="1">
      <c r="C75" s="1"/>
      <c r="D75" s="1"/>
    </row>
    <row r="76" ht="15.75" customHeight="1">
      <c r="C76" s="1"/>
      <c r="D76" s="1"/>
    </row>
    <row r="77" ht="15.75" customHeight="1">
      <c r="C77" s="1"/>
      <c r="D77" s="1"/>
    </row>
    <row r="78" ht="15.75" customHeight="1">
      <c r="C78" s="1"/>
      <c r="D78" s="1"/>
    </row>
    <row r="79" ht="15.75" customHeight="1">
      <c r="C79" s="1"/>
      <c r="D79" s="1"/>
    </row>
    <row r="80" ht="15.75" customHeight="1">
      <c r="C80" s="1"/>
      <c r="D80" s="1"/>
    </row>
    <row r="81" ht="15.75" customHeight="1">
      <c r="C81" s="1"/>
      <c r="D81" s="1"/>
    </row>
    <row r="82" ht="15.75" customHeight="1">
      <c r="C82" s="1"/>
      <c r="D82" s="1"/>
    </row>
    <row r="83" ht="15.75" customHeight="1">
      <c r="C83" s="1"/>
      <c r="D83" s="1"/>
    </row>
    <row r="84" ht="15.75" customHeight="1">
      <c r="C84" s="1"/>
      <c r="D84" s="1"/>
    </row>
    <row r="85" ht="15.75" customHeight="1">
      <c r="C85" s="1"/>
      <c r="D85" s="1"/>
    </row>
    <row r="86" ht="15.75" customHeight="1">
      <c r="C86" s="1"/>
      <c r="D86" s="1"/>
    </row>
    <row r="87" ht="15.75" customHeight="1">
      <c r="C87" s="1"/>
      <c r="D87" s="1"/>
    </row>
    <row r="88" ht="15.75" customHeight="1">
      <c r="C88" s="1"/>
      <c r="D88" s="1"/>
    </row>
    <row r="89" ht="15.75" customHeight="1">
      <c r="C89" s="1"/>
      <c r="D89" s="1"/>
    </row>
    <row r="90" ht="15.75" customHeight="1">
      <c r="C90" s="1"/>
      <c r="D90" s="1"/>
    </row>
    <row r="91" ht="15.75" customHeight="1">
      <c r="C91" s="1"/>
      <c r="D91" s="1"/>
    </row>
    <row r="92" ht="15.75" customHeight="1">
      <c r="C92" s="1"/>
      <c r="D92" s="1"/>
    </row>
    <row r="93" ht="15.75" customHeight="1">
      <c r="C93" s="1"/>
      <c r="D93" s="1"/>
    </row>
    <row r="94" ht="15.75" customHeight="1">
      <c r="C94" s="1"/>
      <c r="D94" s="1"/>
    </row>
    <row r="95" ht="15.75" customHeight="1">
      <c r="C95" s="1"/>
      <c r="D95" s="1"/>
    </row>
    <row r="96" ht="15.75" customHeight="1">
      <c r="C96" s="1"/>
      <c r="D96" s="1"/>
    </row>
    <row r="97" ht="15.75" customHeight="1">
      <c r="C97" s="1"/>
      <c r="D97" s="1"/>
    </row>
    <row r="98" ht="15.75" customHeight="1">
      <c r="C98" s="1"/>
      <c r="D98" s="1"/>
    </row>
    <row r="99" ht="15.75" customHeight="1">
      <c r="C99" s="1"/>
      <c r="D99" s="1"/>
    </row>
    <row r="100" ht="15.75" customHeight="1">
      <c r="C100" s="1"/>
      <c r="D100" s="1"/>
    </row>
    <row r="101" ht="15.75" customHeight="1">
      <c r="C101" s="1"/>
      <c r="D101" s="1"/>
    </row>
    <row r="102" ht="15.75" customHeight="1">
      <c r="C102" s="1"/>
      <c r="D102" s="1"/>
    </row>
    <row r="103" ht="15.75" customHeight="1">
      <c r="C103" s="1"/>
      <c r="D103" s="1"/>
    </row>
    <row r="104" ht="15.75" customHeight="1">
      <c r="C104" s="1"/>
      <c r="D104" s="1"/>
    </row>
    <row r="105" ht="15.75" customHeight="1">
      <c r="C105" s="1"/>
      <c r="D105" s="1"/>
    </row>
    <row r="106" ht="15.75" customHeight="1">
      <c r="C106" s="1"/>
      <c r="D106" s="1"/>
    </row>
    <row r="107" ht="15.75" customHeight="1">
      <c r="C107" s="1"/>
      <c r="D107" s="1"/>
    </row>
    <row r="108" ht="15.75" customHeight="1">
      <c r="C108" s="1"/>
      <c r="D108" s="1"/>
    </row>
    <row r="109" ht="15.75" customHeight="1">
      <c r="C109" s="1"/>
      <c r="D109" s="1"/>
    </row>
    <row r="110" ht="15.75" customHeight="1">
      <c r="C110" s="1"/>
      <c r="D110" s="1"/>
    </row>
    <row r="111" ht="15.75" customHeight="1">
      <c r="C111" s="1"/>
      <c r="D111" s="1"/>
    </row>
    <row r="112" ht="15.75" customHeight="1">
      <c r="C112" s="1"/>
      <c r="D112" s="1"/>
    </row>
    <row r="113" ht="15.75" customHeight="1">
      <c r="C113" s="1"/>
      <c r="D113" s="1"/>
    </row>
    <row r="114" ht="15.75" customHeight="1">
      <c r="C114" s="1"/>
      <c r="D114" s="1"/>
    </row>
    <row r="115" ht="15.75" customHeight="1">
      <c r="C115" s="1"/>
      <c r="D115" s="1"/>
    </row>
    <row r="116" ht="15.75" customHeight="1">
      <c r="C116" s="1"/>
      <c r="D116" s="1"/>
    </row>
    <row r="117" ht="15.75" customHeight="1">
      <c r="C117" s="1"/>
      <c r="D117" s="1"/>
    </row>
    <row r="118" ht="15.75" customHeight="1">
      <c r="C118" s="1"/>
      <c r="D118" s="1"/>
    </row>
    <row r="119" ht="15.75" customHeight="1">
      <c r="C119" s="1"/>
      <c r="D119" s="1"/>
    </row>
    <row r="120" ht="15.75" customHeight="1">
      <c r="C120" s="1"/>
      <c r="D120" s="1"/>
    </row>
    <row r="121" ht="15.75" customHeight="1">
      <c r="C121" s="1"/>
      <c r="D121" s="1"/>
    </row>
    <row r="122" ht="15.75" customHeight="1">
      <c r="C122" s="1"/>
      <c r="D122" s="1"/>
    </row>
    <row r="123" ht="15.75" customHeight="1">
      <c r="C123" s="1"/>
      <c r="D123" s="1"/>
    </row>
    <row r="124" ht="15.75" customHeight="1">
      <c r="C124" s="1"/>
      <c r="D124" s="1"/>
    </row>
    <row r="125" ht="15.75" customHeight="1">
      <c r="C125" s="1"/>
      <c r="D125" s="1"/>
    </row>
    <row r="126" ht="15.75" customHeight="1">
      <c r="C126" s="1"/>
      <c r="D126" s="1"/>
    </row>
    <row r="127" ht="15.75" customHeight="1">
      <c r="C127" s="1"/>
      <c r="D127" s="1"/>
    </row>
    <row r="128" ht="15.75" customHeight="1">
      <c r="C128" s="1"/>
      <c r="D128" s="1"/>
    </row>
    <row r="129" ht="15.75" customHeight="1">
      <c r="C129" s="1"/>
      <c r="D129" s="1"/>
    </row>
    <row r="130" ht="15.75" customHeight="1">
      <c r="C130" s="1"/>
      <c r="D130" s="1"/>
    </row>
    <row r="131" ht="15.75" customHeight="1">
      <c r="C131" s="1"/>
      <c r="D131" s="1"/>
    </row>
    <row r="132" ht="15.75" customHeight="1">
      <c r="C132" s="1"/>
      <c r="D132" s="1"/>
    </row>
    <row r="133" ht="15.75" customHeight="1">
      <c r="C133" s="1"/>
      <c r="D133" s="1"/>
    </row>
    <row r="134" ht="15.75" customHeight="1">
      <c r="C134" s="1"/>
      <c r="D134" s="1"/>
    </row>
    <row r="135" ht="15.75" customHeight="1">
      <c r="C135" s="1"/>
      <c r="D135" s="1"/>
    </row>
    <row r="136" ht="15.75" customHeight="1">
      <c r="C136" s="1"/>
      <c r="D136" s="1"/>
    </row>
    <row r="137" ht="15.75" customHeight="1">
      <c r="C137" s="1"/>
      <c r="D137" s="1"/>
    </row>
    <row r="138" ht="15.75" customHeight="1">
      <c r="C138" s="1"/>
      <c r="D138" s="1"/>
    </row>
    <row r="139" ht="15.75" customHeight="1">
      <c r="C139" s="1"/>
      <c r="D139" s="1"/>
    </row>
    <row r="140" ht="15.75" customHeight="1">
      <c r="C140" s="1"/>
      <c r="D140" s="1"/>
    </row>
    <row r="141" ht="15.75" customHeight="1">
      <c r="C141" s="1"/>
      <c r="D141" s="1"/>
    </row>
    <row r="142" ht="15.75" customHeight="1">
      <c r="C142" s="1"/>
      <c r="D142" s="1"/>
    </row>
    <row r="143" ht="15.75" customHeight="1">
      <c r="C143" s="1"/>
      <c r="D143" s="1"/>
    </row>
    <row r="144" ht="15.75" customHeight="1">
      <c r="C144" s="1"/>
      <c r="D144" s="1"/>
    </row>
    <row r="145" ht="15.75" customHeight="1">
      <c r="C145" s="1"/>
      <c r="D145" s="1"/>
    </row>
    <row r="146" ht="15.75" customHeight="1">
      <c r="C146" s="1"/>
      <c r="D146" s="1"/>
    </row>
    <row r="147" ht="15.75" customHeight="1">
      <c r="C147" s="1"/>
      <c r="D147" s="1"/>
    </row>
    <row r="148" ht="15.75" customHeight="1">
      <c r="C148" s="1"/>
      <c r="D148" s="1"/>
    </row>
    <row r="149" ht="15.75" customHeight="1">
      <c r="C149" s="1"/>
      <c r="D149" s="1"/>
    </row>
    <row r="150" ht="15.75" customHeight="1">
      <c r="C150" s="1"/>
      <c r="D150" s="1"/>
    </row>
    <row r="151" ht="15.75" customHeight="1">
      <c r="C151" s="1"/>
      <c r="D151" s="1"/>
    </row>
    <row r="152" ht="15.75" customHeight="1">
      <c r="C152" s="1"/>
      <c r="D152" s="1"/>
    </row>
    <row r="153" ht="15.75" customHeight="1">
      <c r="C153" s="1"/>
      <c r="D153" s="1"/>
    </row>
    <row r="154" ht="15.75" customHeight="1">
      <c r="C154" s="1"/>
      <c r="D154" s="1"/>
    </row>
    <row r="155" ht="15.75" customHeight="1">
      <c r="C155" s="1"/>
      <c r="D155" s="1"/>
    </row>
    <row r="156" ht="15.75" customHeight="1">
      <c r="C156" s="1"/>
      <c r="D156" s="1"/>
    </row>
    <row r="157" ht="15.75" customHeight="1">
      <c r="C157" s="1"/>
      <c r="D157" s="1"/>
    </row>
    <row r="158" ht="15.75" customHeight="1">
      <c r="C158" s="1"/>
      <c r="D158" s="1"/>
    </row>
    <row r="159" ht="15.75" customHeight="1">
      <c r="C159" s="1"/>
      <c r="D159" s="1"/>
    </row>
    <row r="160" ht="15.75" customHeight="1">
      <c r="C160" s="1"/>
      <c r="D160" s="1"/>
    </row>
    <row r="161" ht="15.75" customHeight="1">
      <c r="C161" s="1"/>
      <c r="D161" s="1"/>
    </row>
    <row r="162" ht="15.75" customHeight="1">
      <c r="C162" s="1"/>
      <c r="D162" s="1"/>
    </row>
    <row r="163" ht="15.75" customHeight="1">
      <c r="C163" s="1"/>
      <c r="D163" s="1"/>
    </row>
    <row r="164" ht="15.75" customHeight="1">
      <c r="C164" s="1"/>
      <c r="D164" s="1"/>
    </row>
    <row r="165" ht="15.75" customHeight="1">
      <c r="C165" s="1"/>
      <c r="D165" s="1"/>
    </row>
    <row r="166" ht="15.75" customHeight="1">
      <c r="C166" s="1"/>
      <c r="D166" s="1"/>
    </row>
    <row r="167" ht="15.75" customHeight="1">
      <c r="C167" s="1"/>
      <c r="D167" s="1"/>
    </row>
    <row r="168" ht="15.75" customHeight="1">
      <c r="C168" s="1"/>
      <c r="D168" s="1"/>
    </row>
    <row r="169" ht="15.75" customHeight="1">
      <c r="C169" s="1"/>
      <c r="D169" s="1"/>
    </row>
    <row r="170" ht="15.75" customHeight="1">
      <c r="C170" s="1"/>
      <c r="D170" s="1"/>
    </row>
    <row r="171" ht="15.75" customHeight="1">
      <c r="C171" s="1"/>
      <c r="D171" s="1"/>
    </row>
    <row r="172" ht="15.75" customHeight="1">
      <c r="C172" s="1"/>
      <c r="D172" s="1"/>
    </row>
    <row r="173" ht="15.75" customHeight="1">
      <c r="C173" s="1"/>
      <c r="D173" s="1"/>
    </row>
    <row r="174" ht="15.75" customHeight="1">
      <c r="C174" s="1"/>
      <c r="D174" s="1"/>
    </row>
    <row r="175" ht="15.75" customHeight="1">
      <c r="C175" s="1"/>
      <c r="D175" s="1"/>
    </row>
    <row r="176" ht="15.75" customHeight="1">
      <c r="C176" s="1"/>
      <c r="D176" s="1"/>
    </row>
    <row r="177" ht="15.75" customHeight="1">
      <c r="C177" s="1"/>
      <c r="D177" s="1"/>
    </row>
    <row r="178" ht="15.75" customHeight="1">
      <c r="C178" s="1"/>
      <c r="D178" s="1"/>
    </row>
    <row r="179" ht="15.75" customHeight="1">
      <c r="C179" s="1"/>
      <c r="D179" s="1"/>
    </row>
    <row r="180" ht="15.75" customHeight="1">
      <c r="C180" s="1"/>
      <c r="D180" s="1"/>
    </row>
    <row r="181" ht="15.75" customHeight="1">
      <c r="C181" s="1"/>
      <c r="D181" s="1"/>
    </row>
    <row r="182" ht="15.75" customHeight="1">
      <c r="C182" s="1"/>
      <c r="D182" s="1"/>
    </row>
    <row r="183" ht="15.75" customHeight="1">
      <c r="C183" s="1"/>
      <c r="D183" s="1"/>
    </row>
    <row r="184" ht="15.75" customHeight="1">
      <c r="C184" s="1"/>
      <c r="D184" s="1"/>
    </row>
    <row r="185" ht="15.75" customHeight="1">
      <c r="C185" s="1"/>
      <c r="D185" s="1"/>
    </row>
    <row r="186" ht="15.75" customHeight="1">
      <c r="C186" s="1"/>
      <c r="D186" s="1"/>
    </row>
    <row r="187" ht="15.75" customHeight="1">
      <c r="C187" s="1"/>
      <c r="D187" s="1"/>
    </row>
    <row r="188" ht="15.75" customHeight="1">
      <c r="C188" s="1"/>
      <c r="D188" s="1"/>
    </row>
    <row r="189" ht="15.75" customHeight="1">
      <c r="C189" s="1"/>
      <c r="D189" s="1"/>
    </row>
    <row r="190" ht="15.75" customHeight="1">
      <c r="C190" s="1"/>
      <c r="D190" s="1"/>
    </row>
    <row r="191" ht="15.75" customHeight="1">
      <c r="C191" s="1"/>
      <c r="D191" s="1"/>
    </row>
    <row r="192" ht="15.75" customHeight="1">
      <c r="C192" s="1"/>
      <c r="D192" s="1"/>
    </row>
    <row r="193" ht="15.75" customHeight="1">
      <c r="C193" s="1"/>
      <c r="D193" s="1"/>
    </row>
    <row r="194" ht="15.75" customHeight="1">
      <c r="C194" s="1"/>
      <c r="D194" s="1"/>
    </row>
    <row r="195" ht="15.75" customHeight="1">
      <c r="C195" s="1"/>
      <c r="D195" s="1"/>
    </row>
    <row r="196" ht="15.75" customHeight="1">
      <c r="C196" s="1"/>
      <c r="D196" s="1"/>
    </row>
    <row r="197" ht="15.75" customHeight="1">
      <c r="C197" s="1"/>
      <c r="D197" s="1"/>
    </row>
    <row r="198" ht="15.75" customHeight="1">
      <c r="C198" s="1"/>
      <c r="D198" s="1"/>
    </row>
    <row r="199" ht="15.75" customHeight="1">
      <c r="C199" s="1"/>
      <c r="D199" s="1"/>
    </row>
    <row r="200" ht="15.75" customHeight="1">
      <c r="C200" s="1"/>
      <c r="D200" s="1"/>
    </row>
    <row r="201" ht="15.75" customHeight="1">
      <c r="C201" s="1"/>
      <c r="D201" s="1"/>
    </row>
    <row r="202" ht="15.75" customHeight="1">
      <c r="C202" s="1"/>
      <c r="D202" s="1"/>
    </row>
    <row r="203" ht="15.75" customHeight="1">
      <c r="C203" s="1"/>
      <c r="D203" s="1"/>
    </row>
    <row r="204" ht="15.75" customHeight="1">
      <c r="C204" s="1"/>
      <c r="D204" s="1"/>
    </row>
    <row r="205" ht="15.75" customHeight="1">
      <c r="C205" s="1"/>
      <c r="D205" s="1"/>
    </row>
    <row r="206" ht="15.75" customHeight="1">
      <c r="C206" s="1"/>
      <c r="D206" s="1"/>
    </row>
    <row r="207" ht="15.75" customHeight="1">
      <c r="C207" s="1"/>
      <c r="D207" s="1"/>
    </row>
    <row r="208" ht="15.75" customHeight="1">
      <c r="C208" s="1"/>
      <c r="D208" s="1"/>
    </row>
    <row r="209" ht="15.75" customHeight="1">
      <c r="C209" s="1"/>
      <c r="D209" s="1"/>
    </row>
    <row r="210" ht="15.75" customHeight="1">
      <c r="C210" s="1"/>
      <c r="D210" s="1"/>
    </row>
    <row r="211" ht="15.75" customHeight="1">
      <c r="C211" s="1"/>
      <c r="D211" s="1"/>
    </row>
    <row r="212" ht="15.75" customHeight="1">
      <c r="C212" s="1"/>
      <c r="D212" s="1"/>
    </row>
    <row r="213" ht="15.75" customHeight="1">
      <c r="C213" s="1"/>
      <c r="D213" s="1"/>
    </row>
    <row r="214" ht="15.75" customHeight="1">
      <c r="C214" s="1"/>
      <c r="D214" s="1"/>
    </row>
    <row r="215" ht="15.75" customHeight="1">
      <c r="C215" s="1"/>
      <c r="D215" s="1"/>
    </row>
    <row r="216" ht="15.75" customHeight="1">
      <c r="C216" s="1"/>
      <c r="D216" s="1"/>
    </row>
    <row r="217" ht="15.75" customHeight="1">
      <c r="C217" s="1"/>
      <c r="D217" s="1"/>
    </row>
    <row r="218" ht="15.75" customHeight="1">
      <c r="C218" s="1"/>
      <c r="D218" s="1"/>
    </row>
    <row r="219" ht="15.75" customHeight="1">
      <c r="C219" s="1"/>
      <c r="D219" s="1"/>
    </row>
    <row r="220" ht="15.75" customHeight="1">
      <c r="C220" s="1"/>
      <c r="D220" s="1"/>
    </row>
    <row r="221" ht="15.75" customHeight="1">
      <c r="C221" s="1"/>
      <c r="D221" s="1"/>
    </row>
    <row r="222" ht="15.75" customHeight="1">
      <c r="C222" s="1"/>
      <c r="D222" s="1"/>
    </row>
    <row r="223" ht="15.75" customHeight="1">
      <c r="C223" s="1"/>
      <c r="D223" s="1"/>
    </row>
    <row r="224" ht="15.75" customHeight="1">
      <c r="C224" s="1"/>
      <c r="D224" s="1"/>
    </row>
    <row r="225" ht="15.75" customHeight="1">
      <c r="C225" s="1"/>
      <c r="D225" s="1"/>
    </row>
    <row r="226" ht="15.75" customHeight="1">
      <c r="C226" s="1"/>
      <c r="D226" s="1"/>
    </row>
    <row r="227" ht="15.75" customHeight="1">
      <c r="C227" s="1"/>
      <c r="D227" s="1"/>
    </row>
    <row r="228" ht="15.75" customHeight="1">
      <c r="C228" s="1"/>
      <c r="D228" s="1"/>
    </row>
    <row r="229" ht="15.75" customHeight="1">
      <c r="C229" s="1"/>
      <c r="D229" s="1"/>
    </row>
    <row r="230" ht="15.75" customHeight="1">
      <c r="C230" s="1"/>
      <c r="D230" s="1"/>
    </row>
    <row r="231" ht="15.75" customHeight="1">
      <c r="C231" s="1"/>
      <c r="D231" s="1"/>
    </row>
    <row r="232" ht="15.75" customHeight="1">
      <c r="C232" s="1"/>
      <c r="D232" s="1"/>
    </row>
    <row r="233" ht="15.75" customHeight="1">
      <c r="C233" s="1"/>
      <c r="D233" s="1"/>
    </row>
    <row r="234" ht="15.75" customHeight="1">
      <c r="C234" s="1"/>
      <c r="D234" s="1"/>
    </row>
    <row r="235" ht="15.75" customHeight="1">
      <c r="C235" s="1"/>
      <c r="D235" s="1"/>
    </row>
    <row r="236" ht="15.75" customHeight="1">
      <c r="C236" s="1"/>
      <c r="D236" s="1"/>
    </row>
    <row r="237" ht="15.75" customHeight="1">
      <c r="C237" s="1"/>
      <c r="D237" s="1"/>
    </row>
    <row r="238" ht="15.75" customHeight="1">
      <c r="C238" s="1"/>
      <c r="D238" s="1"/>
    </row>
    <row r="239" ht="15.75" customHeight="1">
      <c r="C239" s="1"/>
      <c r="D239" s="1"/>
    </row>
    <row r="240" ht="15.75" customHeight="1">
      <c r="C240" s="1"/>
      <c r="D240" s="1"/>
    </row>
    <row r="241" ht="15.75" customHeight="1">
      <c r="C241" s="1"/>
      <c r="D241" s="1"/>
    </row>
    <row r="242" ht="15.75" customHeight="1">
      <c r="C242" s="1"/>
      <c r="D242" s="1"/>
    </row>
    <row r="243" ht="15.75" customHeight="1">
      <c r="C243" s="1"/>
      <c r="D243" s="1"/>
    </row>
    <row r="244" ht="15.75" customHeight="1">
      <c r="C244" s="1"/>
      <c r="D244" s="1"/>
    </row>
    <row r="245" ht="15.75" customHeight="1">
      <c r="C245" s="1"/>
      <c r="D245" s="1"/>
    </row>
    <row r="246" ht="15.75" customHeight="1">
      <c r="C246" s="1"/>
      <c r="D246" s="1"/>
    </row>
    <row r="247" ht="15.75" customHeight="1">
      <c r="C247" s="1"/>
      <c r="D247" s="1"/>
    </row>
    <row r="248" ht="15.75" customHeight="1">
      <c r="C248" s="1"/>
      <c r="D248" s="1"/>
    </row>
    <row r="249" ht="15.75" customHeight="1">
      <c r="C249" s="1"/>
      <c r="D249" s="1"/>
    </row>
    <row r="250" ht="15.75" customHeight="1">
      <c r="C250" s="1"/>
      <c r="D250" s="1"/>
    </row>
    <row r="251" ht="15.75" customHeight="1">
      <c r="C251" s="1"/>
      <c r="D251" s="1"/>
    </row>
    <row r="252" ht="15.75" customHeight="1">
      <c r="C252" s="1"/>
      <c r="D252" s="1"/>
    </row>
    <row r="253" ht="15.75" customHeight="1">
      <c r="C253" s="1"/>
      <c r="D253" s="1"/>
    </row>
    <row r="254" ht="15.75" customHeight="1">
      <c r="C254" s="1"/>
      <c r="D254" s="1"/>
    </row>
    <row r="255" ht="15.75" customHeight="1">
      <c r="C255" s="1"/>
      <c r="D255" s="1"/>
    </row>
    <row r="256" ht="15.75" customHeight="1">
      <c r="C256" s="1"/>
      <c r="D256" s="1"/>
    </row>
    <row r="257" ht="15.75" customHeight="1">
      <c r="C257" s="1"/>
      <c r="D257" s="1"/>
    </row>
    <row r="258" ht="15.75" customHeight="1">
      <c r="C258" s="1"/>
      <c r="D258" s="1"/>
    </row>
    <row r="259" ht="15.75" customHeight="1">
      <c r="C259" s="1"/>
      <c r="D259" s="1"/>
    </row>
    <row r="260" ht="15.75" customHeight="1">
      <c r="C260" s="1"/>
      <c r="D260" s="1"/>
    </row>
    <row r="261" ht="15.75" customHeight="1">
      <c r="C261" s="1"/>
      <c r="D261" s="1"/>
    </row>
    <row r="262" ht="15.75" customHeight="1">
      <c r="C262" s="1"/>
      <c r="D262" s="1"/>
    </row>
    <row r="263" ht="15.75" customHeight="1">
      <c r="C263" s="1"/>
      <c r="D263" s="1"/>
    </row>
    <row r="264" ht="15.75" customHeight="1">
      <c r="C264" s="1"/>
      <c r="D264" s="1"/>
    </row>
    <row r="265" ht="15.75" customHeight="1">
      <c r="C265" s="1"/>
      <c r="D265" s="1"/>
    </row>
    <row r="266" ht="15.75" customHeight="1">
      <c r="C266" s="1"/>
      <c r="D266" s="1"/>
    </row>
    <row r="267" ht="15.75" customHeight="1">
      <c r="C267" s="1"/>
      <c r="D267" s="1"/>
    </row>
    <row r="268" ht="15.75" customHeight="1">
      <c r="C268" s="1"/>
      <c r="D268" s="1"/>
    </row>
    <row r="269" ht="15.75" customHeight="1">
      <c r="C269" s="1"/>
      <c r="D269" s="1"/>
    </row>
    <row r="270" ht="15.75" customHeight="1">
      <c r="C270" s="1"/>
      <c r="D270" s="1"/>
    </row>
    <row r="271" ht="15.75" customHeight="1">
      <c r="C271" s="1"/>
      <c r="D271" s="1"/>
    </row>
    <row r="272" ht="15.75" customHeight="1">
      <c r="C272" s="1"/>
      <c r="D272" s="1"/>
    </row>
    <row r="273" ht="15.75" customHeight="1">
      <c r="C273" s="1"/>
      <c r="D273" s="1"/>
    </row>
    <row r="274" ht="15.75" customHeight="1">
      <c r="C274" s="1"/>
      <c r="D274" s="1"/>
    </row>
    <row r="275" ht="15.75" customHeight="1">
      <c r="C275" s="1"/>
      <c r="D275" s="1"/>
    </row>
    <row r="276" ht="15.75" customHeight="1">
      <c r="C276" s="1"/>
      <c r="D276" s="1"/>
    </row>
    <row r="277" ht="15.75" customHeight="1">
      <c r="C277" s="1"/>
      <c r="D277" s="1"/>
    </row>
    <row r="278" ht="15.75" customHeight="1">
      <c r="C278" s="1"/>
      <c r="D278" s="1"/>
    </row>
    <row r="279" ht="15.75" customHeight="1">
      <c r="C279" s="1"/>
      <c r="D279" s="1"/>
    </row>
    <row r="280" ht="15.75" customHeight="1">
      <c r="C280" s="1"/>
      <c r="D280" s="1"/>
    </row>
    <row r="281" ht="15.75" customHeight="1">
      <c r="C281" s="1"/>
      <c r="D281" s="1"/>
    </row>
    <row r="282" ht="15.75" customHeight="1">
      <c r="C282" s="1"/>
      <c r="D282" s="1"/>
    </row>
    <row r="283" ht="15.75" customHeight="1">
      <c r="C283" s="1"/>
      <c r="D283" s="1"/>
    </row>
    <row r="284" ht="15.75" customHeight="1">
      <c r="C284" s="1"/>
      <c r="D284" s="1"/>
    </row>
    <row r="285" ht="15.75" customHeight="1">
      <c r="C285" s="1"/>
      <c r="D285" s="1"/>
    </row>
    <row r="286" ht="15.75" customHeight="1">
      <c r="C286" s="1"/>
      <c r="D286" s="1"/>
    </row>
    <row r="287" ht="15.75" customHeight="1">
      <c r="C287" s="1"/>
      <c r="D287" s="1"/>
    </row>
    <row r="288" ht="15.75" customHeight="1">
      <c r="C288" s="1"/>
      <c r="D288" s="1"/>
    </row>
    <row r="289" ht="15.75" customHeight="1">
      <c r="C289" s="1"/>
      <c r="D289" s="1"/>
    </row>
    <row r="290" ht="15.75" customHeight="1">
      <c r="C290" s="1"/>
      <c r="D290" s="1"/>
    </row>
    <row r="291" ht="15.75" customHeight="1">
      <c r="C291" s="1"/>
      <c r="D291" s="1"/>
    </row>
    <row r="292" ht="15.75" customHeight="1">
      <c r="C292" s="1"/>
      <c r="D292" s="1"/>
    </row>
    <row r="293" ht="15.75" customHeight="1">
      <c r="C293" s="1"/>
      <c r="D293" s="1"/>
    </row>
    <row r="294" ht="15.75" customHeight="1">
      <c r="C294" s="1"/>
      <c r="D294" s="1"/>
    </row>
    <row r="295" ht="15.75" customHeight="1">
      <c r="C295" s="1"/>
      <c r="D295" s="1"/>
    </row>
    <row r="296" ht="15.75" customHeight="1">
      <c r="C296" s="1"/>
      <c r="D296" s="1"/>
    </row>
    <row r="297" ht="15.75" customHeight="1">
      <c r="C297" s="1"/>
      <c r="D297" s="1"/>
    </row>
    <row r="298" ht="15.75" customHeight="1">
      <c r="C298" s="1"/>
      <c r="D298" s="1"/>
    </row>
    <row r="299" ht="15.75" customHeight="1">
      <c r="C299" s="1"/>
      <c r="D299" s="1"/>
    </row>
    <row r="300" ht="15.75" customHeight="1">
      <c r="C300" s="1"/>
      <c r="D300" s="1"/>
    </row>
    <row r="301" ht="15.75" customHeight="1">
      <c r="C301" s="1"/>
      <c r="D301" s="1"/>
    </row>
    <row r="302" ht="15.75" customHeight="1">
      <c r="C302" s="1"/>
      <c r="D302" s="1"/>
    </row>
    <row r="303" ht="15.75" customHeight="1">
      <c r="C303" s="1"/>
      <c r="D303" s="1"/>
    </row>
    <row r="304" ht="15.75" customHeight="1">
      <c r="C304" s="1"/>
      <c r="D304" s="1"/>
    </row>
    <row r="305" ht="15.75" customHeight="1">
      <c r="C305" s="1"/>
      <c r="D305" s="1"/>
    </row>
    <row r="306" ht="15.75" customHeight="1">
      <c r="C306" s="1"/>
      <c r="D306" s="1"/>
    </row>
    <row r="307" ht="15.75" customHeight="1">
      <c r="C307" s="1"/>
      <c r="D307" s="1"/>
    </row>
    <row r="308" ht="15.75" customHeight="1">
      <c r="C308" s="1"/>
      <c r="D308" s="1"/>
    </row>
    <row r="309" ht="15.75" customHeight="1">
      <c r="C309" s="1"/>
      <c r="D309" s="1"/>
    </row>
    <row r="310" ht="15.75" customHeight="1">
      <c r="C310" s="1"/>
      <c r="D310" s="1"/>
    </row>
    <row r="311" ht="15.75" customHeight="1">
      <c r="C311" s="1"/>
      <c r="D311" s="1"/>
    </row>
    <row r="312" ht="15.75" customHeight="1">
      <c r="C312" s="1"/>
      <c r="D312" s="1"/>
    </row>
    <row r="313" ht="15.75" customHeight="1">
      <c r="C313" s="1"/>
      <c r="D313" s="1"/>
    </row>
    <row r="314" ht="15.75" customHeight="1">
      <c r="C314" s="1"/>
      <c r="D314" s="1"/>
    </row>
    <row r="315" ht="15.75" customHeight="1">
      <c r="C315" s="1"/>
      <c r="D315" s="1"/>
    </row>
    <row r="316" ht="15.75" customHeight="1">
      <c r="C316" s="1"/>
      <c r="D316" s="1"/>
    </row>
    <row r="317" ht="15.75" customHeight="1">
      <c r="C317" s="1"/>
      <c r="D317" s="1"/>
    </row>
    <row r="318" ht="15.75" customHeight="1">
      <c r="C318" s="1"/>
      <c r="D318" s="1"/>
    </row>
    <row r="319" ht="15.75" customHeight="1">
      <c r="C319" s="1"/>
      <c r="D319" s="1"/>
    </row>
    <row r="320" ht="15.75" customHeight="1">
      <c r="C320" s="1"/>
      <c r="D320" s="1"/>
    </row>
    <row r="321" ht="15.75" customHeight="1">
      <c r="C321" s="1"/>
      <c r="D321" s="1"/>
    </row>
    <row r="322" ht="15.75" customHeight="1">
      <c r="C322" s="1"/>
      <c r="D322" s="1"/>
    </row>
    <row r="323" ht="15.75" customHeight="1">
      <c r="C323" s="1"/>
      <c r="D323" s="1"/>
    </row>
    <row r="324" ht="15.75" customHeight="1">
      <c r="C324" s="1"/>
      <c r="D324" s="1"/>
    </row>
    <row r="325" ht="15.75" customHeight="1">
      <c r="C325" s="1"/>
      <c r="D325" s="1"/>
    </row>
    <row r="326" ht="15.75" customHeight="1">
      <c r="C326" s="1"/>
      <c r="D326" s="1"/>
    </row>
    <row r="327" ht="15.75" customHeight="1">
      <c r="C327" s="1"/>
      <c r="D327" s="1"/>
    </row>
    <row r="328" ht="15.75" customHeight="1">
      <c r="C328" s="1"/>
      <c r="D328" s="1"/>
    </row>
    <row r="329" ht="15.75" customHeight="1">
      <c r="C329" s="1"/>
      <c r="D329" s="1"/>
    </row>
    <row r="330" ht="15.75" customHeight="1">
      <c r="C330" s="1"/>
      <c r="D330" s="1"/>
    </row>
    <row r="331" ht="15.75" customHeight="1">
      <c r="C331" s="1"/>
      <c r="D331" s="1"/>
    </row>
    <row r="332" ht="15.75" customHeight="1">
      <c r="C332" s="1"/>
      <c r="D332" s="1"/>
    </row>
    <row r="333" ht="15.75" customHeight="1">
      <c r="C333" s="1"/>
      <c r="D333" s="1"/>
    </row>
    <row r="334" ht="15.75" customHeight="1">
      <c r="C334" s="1"/>
      <c r="D334" s="1"/>
    </row>
    <row r="335" ht="15.75" customHeight="1">
      <c r="C335" s="1"/>
      <c r="D335" s="1"/>
    </row>
    <row r="336" ht="15.75" customHeight="1">
      <c r="C336" s="1"/>
      <c r="D336" s="1"/>
    </row>
    <row r="337" ht="15.75" customHeight="1">
      <c r="C337" s="1"/>
      <c r="D337" s="1"/>
    </row>
    <row r="338" ht="15.75" customHeight="1">
      <c r="C338" s="1"/>
      <c r="D338" s="1"/>
    </row>
    <row r="339" ht="15.75" customHeight="1">
      <c r="C339" s="1"/>
      <c r="D339" s="1"/>
    </row>
    <row r="340" ht="15.75" customHeight="1">
      <c r="C340" s="1"/>
      <c r="D340" s="1"/>
    </row>
    <row r="341" ht="15.75" customHeight="1">
      <c r="C341" s="1"/>
      <c r="D341" s="1"/>
    </row>
    <row r="342" ht="15.75" customHeight="1">
      <c r="C342" s="1"/>
      <c r="D342" s="1"/>
    </row>
    <row r="343" ht="15.75" customHeight="1">
      <c r="C343" s="1"/>
      <c r="D343" s="1"/>
    </row>
    <row r="344" ht="15.75" customHeight="1">
      <c r="C344" s="1"/>
      <c r="D344" s="1"/>
    </row>
    <row r="345" ht="15.75" customHeight="1">
      <c r="C345" s="1"/>
      <c r="D345" s="1"/>
    </row>
    <row r="346" ht="15.75" customHeight="1">
      <c r="C346" s="1"/>
      <c r="D346" s="1"/>
    </row>
    <row r="347" ht="15.75" customHeight="1">
      <c r="C347" s="1"/>
      <c r="D347" s="1"/>
    </row>
    <row r="348" ht="15.75" customHeight="1">
      <c r="C348" s="1"/>
      <c r="D348" s="1"/>
    </row>
    <row r="349" ht="15.75" customHeight="1">
      <c r="C349" s="1"/>
      <c r="D349" s="1"/>
    </row>
    <row r="350" ht="15.75" customHeight="1">
      <c r="C350" s="1"/>
      <c r="D350" s="1"/>
    </row>
    <row r="351" ht="15.75" customHeight="1">
      <c r="C351" s="1"/>
      <c r="D351" s="1"/>
    </row>
    <row r="352" ht="15.75" customHeight="1">
      <c r="C352" s="1"/>
      <c r="D352" s="1"/>
    </row>
    <row r="353" ht="15.75" customHeight="1">
      <c r="C353" s="1"/>
      <c r="D353" s="1"/>
    </row>
    <row r="354" ht="15.75" customHeight="1">
      <c r="C354" s="1"/>
      <c r="D354" s="1"/>
    </row>
    <row r="355" ht="15.75" customHeight="1">
      <c r="C355" s="1"/>
      <c r="D355" s="1"/>
    </row>
    <row r="356" ht="15.75" customHeight="1">
      <c r="C356" s="1"/>
      <c r="D356" s="1"/>
    </row>
    <row r="357" ht="15.75" customHeight="1">
      <c r="C357" s="1"/>
      <c r="D357" s="1"/>
    </row>
    <row r="358" ht="15.75" customHeight="1">
      <c r="C358" s="1"/>
      <c r="D358" s="1"/>
    </row>
    <row r="359" ht="15.75" customHeight="1">
      <c r="C359" s="1"/>
      <c r="D359" s="1"/>
    </row>
    <row r="360" ht="15.75" customHeight="1">
      <c r="C360" s="1"/>
      <c r="D360" s="1"/>
    </row>
    <row r="361" ht="15.75" customHeight="1">
      <c r="C361" s="1"/>
      <c r="D361" s="1"/>
    </row>
    <row r="362" ht="15.75" customHeight="1">
      <c r="C362" s="1"/>
      <c r="D362" s="1"/>
    </row>
    <row r="363" ht="15.75" customHeight="1">
      <c r="C363" s="1"/>
      <c r="D363" s="1"/>
    </row>
    <row r="364" ht="15.75" customHeight="1">
      <c r="C364" s="1"/>
      <c r="D364" s="1"/>
    </row>
    <row r="365" ht="15.75" customHeight="1">
      <c r="C365" s="1"/>
      <c r="D365" s="1"/>
    </row>
    <row r="366" ht="15.75" customHeight="1">
      <c r="C366" s="1"/>
      <c r="D366" s="1"/>
    </row>
    <row r="367" ht="15.75" customHeight="1">
      <c r="C367" s="1"/>
      <c r="D367" s="1"/>
    </row>
    <row r="368" ht="15.75" customHeight="1">
      <c r="C368" s="1"/>
      <c r="D368" s="1"/>
    </row>
    <row r="369" ht="15.75" customHeight="1">
      <c r="C369" s="1"/>
      <c r="D369" s="1"/>
    </row>
    <row r="370" ht="15.75" customHeight="1">
      <c r="C370" s="1"/>
      <c r="D370" s="1"/>
    </row>
    <row r="371" ht="15.75" customHeight="1">
      <c r="C371" s="1"/>
      <c r="D371" s="1"/>
    </row>
    <row r="372" ht="15.75" customHeight="1">
      <c r="C372" s="1"/>
      <c r="D372" s="1"/>
    </row>
    <row r="373" ht="15.75" customHeight="1">
      <c r="C373" s="1"/>
      <c r="D373" s="1"/>
    </row>
    <row r="374" ht="15.75" customHeight="1">
      <c r="C374" s="1"/>
      <c r="D374" s="1"/>
    </row>
    <row r="375" ht="15.75" customHeight="1">
      <c r="C375" s="1"/>
      <c r="D375" s="1"/>
    </row>
    <row r="376" ht="15.75" customHeight="1">
      <c r="C376" s="1"/>
      <c r="D376" s="1"/>
    </row>
    <row r="377" ht="15.75" customHeight="1">
      <c r="C377" s="1"/>
      <c r="D377" s="1"/>
    </row>
    <row r="378" ht="15.75" customHeight="1">
      <c r="C378" s="1"/>
      <c r="D378" s="1"/>
    </row>
    <row r="379" ht="15.75" customHeight="1">
      <c r="C379" s="1"/>
      <c r="D379" s="1"/>
    </row>
    <row r="380" ht="15.75" customHeight="1">
      <c r="C380" s="1"/>
      <c r="D380" s="1"/>
    </row>
    <row r="381" ht="15.75" customHeight="1">
      <c r="C381" s="1"/>
      <c r="D381" s="1"/>
    </row>
    <row r="382" ht="15.75" customHeight="1">
      <c r="C382" s="1"/>
      <c r="D382" s="1"/>
    </row>
    <row r="383" ht="15.75" customHeight="1">
      <c r="C383" s="1"/>
      <c r="D383" s="1"/>
    </row>
    <row r="384" ht="15.75" customHeight="1">
      <c r="C384" s="1"/>
      <c r="D384" s="1"/>
    </row>
    <row r="385" ht="15.75" customHeight="1">
      <c r="C385" s="1"/>
      <c r="D385" s="1"/>
    </row>
    <row r="386" ht="15.75" customHeight="1">
      <c r="C386" s="1"/>
      <c r="D386" s="1"/>
    </row>
    <row r="387" ht="15.75" customHeight="1">
      <c r="C387" s="1"/>
      <c r="D387" s="1"/>
    </row>
    <row r="388" ht="15.75" customHeight="1">
      <c r="C388" s="1"/>
      <c r="D388" s="1"/>
    </row>
    <row r="389" ht="15.75" customHeight="1">
      <c r="C389" s="1"/>
      <c r="D389" s="1"/>
    </row>
    <row r="390" ht="15.75" customHeight="1">
      <c r="C390" s="1"/>
      <c r="D390" s="1"/>
    </row>
    <row r="391" ht="15.75" customHeight="1">
      <c r="C391" s="1"/>
      <c r="D391" s="1"/>
    </row>
    <row r="392" ht="15.75" customHeight="1">
      <c r="C392" s="1"/>
      <c r="D392" s="1"/>
    </row>
    <row r="393" ht="15.75" customHeight="1">
      <c r="C393" s="1"/>
      <c r="D393" s="1"/>
    </row>
    <row r="394" ht="15.75" customHeight="1">
      <c r="C394" s="1"/>
      <c r="D394" s="1"/>
    </row>
    <row r="395" ht="15.75" customHeight="1">
      <c r="C395" s="1"/>
      <c r="D395" s="1"/>
    </row>
    <row r="396" ht="15.75" customHeight="1">
      <c r="C396" s="1"/>
      <c r="D396" s="1"/>
    </row>
    <row r="397" ht="15.75" customHeight="1">
      <c r="C397" s="1"/>
      <c r="D397" s="1"/>
    </row>
    <row r="398" ht="15.75" customHeight="1">
      <c r="C398" s="1"/>
      <c r="D398" s="1"/>
    </row>
    <row r="399" ht="15.75" customHeight="1">
      <c r="C399" s="1"/>
      <c r="D399" s="1"/>
    </row>
    <row r="400" ht="15.75" customHeight="1">
      <c r="C400" s="1"/>
      <c r="D400" s="1"/>
    </row>
    <row r="401" ht="15.75" customHeight="1">
      <c r="C401" s="1"/>
      <c r="D401" s="1"/>
    </row>
    <row r="402" ht="15.75" customHeight="1">
      <c r="C402" s="1"/>
      <c r="D402" s="1"/>
    </row>
    <row r="403" ht="15.75" customHeight="1">
      <c r="C403" s="1"/>
      <c r="D403" s="1"/>
    </row>
    <row r="404" ht="15.75" customHeight="1">
      <c r="C404" s="1"/>
      <c r="D404" s="1"/>
    </row>
    <row r="405" ht="15.75" customHeight="1">
      <c r="C405" s="1"/>
      <c r="D405" s="1"/>
    </row>
    <row r="406" ht="15.75" customHeight="1">
      <c r="C406" s="1"/>
      <c r="D406" s="1"/>
    </row>
    <row r="407" ht="15.75" customHeight="1">
      <c r="C407" s="1"/>
      <c r="D407" s="1"/>
    </row>
    <row r="408" ht="15.75" customHeight="1">
      <c r="C408" s="1"/>
      <c r="D408" s="1"/>
    </row>
    <row r="409" ht="15.75" customHeight="1">
      <c r="C409" s="1"/>
      <c r="D409" s="1"/>
    </row>
    <row r="410" ht="15.75" customHeight="1">
      <c r="C410" s="1"/>
      <c r="D410" s="1"/>
    </row>
    <row r="411" ht="15.75" customHeight="1">
      <c r="C411" s="1"/>
      <c r="D411" s="1"/>
    </row>
    <row r="412" ht="15.75" customHeight="1">
      <c r="C412" s="1"/>
      <c r="D412" s="1"/>
    </row>
    <row r="413" ht="15.75" customHeight="1">
      <c r="C413" s="1"/>
      <c r="D413" s="1"/>
    </row>
    <row r="414" ht="15.75" customHeight="1">
      <c r="C414" s="1"/>
      <c r="D414" s="1"/>
    </row>
    <row r="415" ht="15.75" customHeight="1">
      <c r="C415" s="1"/>
      <c r="D415" s="1"/>
    </row>
    <row r="416" ht="15.75" customHeight="1">
      <c r="C416" s="1"/>
      <c r="D416" s="1"/>
    </row>
    <row r="417" ht="15.75" customHeight="1">
      <c r="C417" s="1"/>
      <c r="D417" s="1"/>
    </row>
    <row r="418" ht="15.75" customHeight="1">
      <c r="C418" s="1"/>
      <c r="D418" s="1"/>
    </row>
    <row r="419" ht="15.75" customHeight="1">
      <c r="C419" s="1"/>
      <c r="D419" s="1"/>
    </row>
    <row r="420" ht="15.75" customHeight="1">
      <c r="C420" s="1"/>
      <c r="D420" s="1"/>
    </row>
    <row r="421" ht="15.75" customHeight="1">
      <c r="C421" s="1"/>
      <c r="D421" s="1"/>
    </row>
    <row r="422" ht="15.75" customHeight="1">
      <c r="C422" s="1"/>
      <c r="D422" s="1"/>
    </row>
    <row r="423" ht="15.75" customHeight="1">
      <c r="C423" s="1"/>
      <c r="D423" s="1"/>
    </row>
    <row r="424" ht="15.75" customHeight="1">
      <c r="C424" s="1"/>
      <c r="D424" s="1"/>
    </row>
    <row r="425" ht="15.75" customHeight="1">
      <c r="C425" s="1"/>
      <c r="D425" s="1"/>
    </row>
    <row r="426" ht="15.75" customHeight="1">
      <c r="C426" s="1"/>
      <c r="D426" s="1"/>
    </row>
    <row r="427" ht="15.75" customHeight="1">
      <c r="C427" s="1"/>
      <c r="D427" s="1"/>
    </row>
    <row r="428" ht="15.75" customHeight="1">
      <c r="C428" s="1"/>
      <c r="D428" s="1"/>
    </row>
    <row r="429" ht="15.75" customHeight="1">
      <c r="C429" s="1"/>
      <c r="D429" s="1"/>
    </row>
    <row r="430" ht="15.75" customHeight="1">
      <c r="C430" s="1"/>
      <c r="D430" s="1"/>
    </row>
    <row r="431" ht="15.75" customHeight="1">
      <c r="C431" s="1"/>
      <c r="D431" s="1"/>
    </row>
    <row r="432" ht="15.75" customHeight="1">
      <c r="C432" s="1"/>
      <c r="D432" s="1"/>
    </row>
    <row r="433" ht="15.75" customHeight="1">
      <c r="C433" s="1"/>
      <c r="D433" s="1"/>
    </row>
    <row r="434" ht="15.75" customHeight="1">
      <c r="C434" s="1"/>
      <c r="D434" s="1"/>
    </row>
    <row r="435" ht="15.75" customHeight="1">
      <c r="C435" s="1"/>
      <c r="D435" s="1"/>
    </row>
    <row r="436" ht="15.75" customHeight="1">
      <c r="C436" s="1"/>
      <c r="D436" s="1"/>
    </row>
    <row r="437" ht="15.75" customHeight="1">
      <c r="C437" s="1"/>
      <c r="D437" s="1"/>
    </row>
    <row r="438" ht="15.75" customHeight="1">
      <c r="C438" s="1"/>
      <c r="D438" s="1"/>
    </row>
    <row r="439" ht="15.75" customHeight="1">
      <c r="C439" s="1"/>
      <c r="D439" s="1"/>
    </row>
    <row r="440" ht="15.75" customHeight="1">
      <c r="C440" s="1"/>
      <c r="D440" s="1"/>
    </row>
    <row r="441" ht="15.75" customHeight="1">
      <c r="C441" s="1"/>
      <c r="D441" s="1"/>
    </row>
    <row r="442" ht="15.75" customHeight="1">
      <c r="C442" s="1"/>
      <c r="D442" s="1"/>
    </row>
    <row r="443" ht="15.75" customHeight="1">
      <c r="C443" s="1"/>
      <c r="D443" s="1"/>
    </row>
    <row r="444" ht="15.75" customHeight="1">
      <c r="C444" s="1"/>
      <c r="D444" s="1"/>
    </row>
    <row r="445" ht="15.75" customHeight="1">
      <c r="C445" s="1"/>
      <c r="D445" s="1"/>
    </row>
    <row r="446" ht="15.75" customHeight="1">
      <c r="C446" s="1"/>
      <c r="D446" s="1"/>
    </row>
    <row r="447" ht="15.75" customHeight="1">
      <c r="C447" s="1"/>
      <c r="D447" s="1"/>
    </row>
    <row r="448" ht="15.75" customHeight="1">
      <c r="C448" s="1"/>
      <c r="D448" s="1"/>
    </row>
    <row r="449" ht="15.75" customHeight="1">
      <c r="C449" s="1"/>
      <c r="D449" s="1"/>
    </row>
    <row r="450" ht="15.75" customHeight="1">
      <c r="C450" s="1"/>
      <c r="D450" s="1"/>
    </row>
    <row r="451" ht="15.75" customHeight="1">
      <c r="C451" s="1"/>
      <c r="D451" s="1"/>
    </row>
    <row r="452" ht="15.75" customHeight="1">
      <c r="C452" s="1"/>
      <c r="D452" s="1"/>
    </row>
    <row r="453" ht="15.75" customHeight="1">
      <c r="C453" s="1"/>
      <c r="D453" s="1"/>
    </row>
    <row r="454" ht="15.75" customHeight="1">
      <c r="C454" s="1"/>
      <c r="D454" s="1"/>
    </row>
    <row r="455" ht="15.75" customHeight="1">
      <c r="C455" s="1"/>
      <c r="D455" s="1"/>
    </row>
    <row r="456" ht="15.75" customHeight="1">
      <c r="C456" s="1"/>
      <c r="D456" s="1"/>
    </row>
    <row r="457" ht="15.75" customHeight="1">
      <c r="C457" s="1"/>
      <c r="D457" s="1"/>
    </row>
    <row r="458" ht="15.75" customHeight="1">
      <c r="C458" s="1"/>
      <c r="D458" s="1"/>
    </row>
    <row r="459" ht="15.75" customHeight="1">
      <c r="C459" s="1"/>
      <c r="D459" s="1"/>
    </row>
    <row r="460" ht="15.75" customHeight="1">
      <c r="C460" s="1"/>
      <c r="D460" s="1"/>
    </row>
    <row r="461" ht="15.75" customHeight="1">
      <c r="C461" s="1"/>
      <c r="D461" s="1"/>
    </row>
    <row r="462" ht="15.75" customHeight="1">
      <c r="C462" s="1"/>
      <c r="D462" s="1"/>
    </row>
    <row r="463" ht="15.75" customHeight="1">
      <c r="C463" s="1"/>
      <c r="D463" s="1"/>
    </row>
    <row r="464" ht="15.75" customHeight="1">
      <c r="C464" s="1"/>
      <c r="D464" s="1"/>
    </row>
    <row r="465" ht="15.75" customHeight="1">
      <c r="C465" s="1"/>
      <c r="D465" s="1"/>
    </row>
    <row r="466" ht="15.75" customHeight="1">
      <c r="C466" s="1"/>
      <c r="D466" s="1"/>
    </row>
    <row r="467" ht="15.75" customHeight="1">
      <c r="C467" s="1"/>
      <c r="D467" s="1"/>
    </row>
    <row r="468" ht="15.75" customHeight="1">
      <c r="C468" s="1"/>
      <c r="D468" s="1"/>
    </row>
    <row r="469" ht="15.75" customHeight="1">
      <c r="C469" s="1"/>
      <c r="D469" s="1"/>
    </row>
    <row r="470" ht="15.75" customHeight="1">
      <c r="C470" s="1"/>
      <c r="D470" s="1"/>
    </row>
    <row r="471" ht="15.75" customHeight="1">
      <c r="C471" s="1"/>
      <c r="D471" s="1"/>
    </row>
    <row r="472" ht="15.75" customHeight="1">
      <c r="C472" s="1"/>
      <c r="D472" s="1"/>
    </row>
    <row r="473" ht="15.75" customHeight="1">
      <c r="C473" s="1"/>
      <c r="D473" s="1"/>
    </row>
    <row r="474" ht="15.75" customHeight="1">
      <c r="C474" s="1"/>
      <c r="D474" s="1"/>
    </row>
    <row r="475" ht="15.75" customHeight="1">
      <c r="C475" s="1"/>
      <c r="D475" s="1"/>
    </row>
    <row r="476" ht="15.75" customHeight="1">
      <c r="C476" s="1"/>
      <c r="D476" s="1"/>
    </row>
    <row r="477" ht="15.75" customHeight="1">
      <c r="C477" s="1"/>
      <c r="D477" s="1"/>
    </row>
    <row r="478" ht="15.75" customHeight="1">
      <c r="C478" s="1"/>
      <c r="D478" s="1"/>
    </row>
    <row r="479" ht="15.75" customHeight="1">
      <c r="C479" s="1"/>
      <c r="D479" s="1"/>
    </row>
    <row r="480" ht="15.75" customHeight="1">
      <c r="C480" s="1"/>
      <c r="D480" s="1"/>
    </row>
    <row r="481" ht="15.75" customHeight="1">
      <c r="C481" s="1"/>
      <c r="D481" s="1"/>
    </row>
    <row r="482" ht="15.75" customHeight="1">
      <c r="C482" s="1"/>
      <c r="D482" s="1"/>
    </row>
    <row r="483" ht="15.75" customHeight="1">
      <c r="C483" s="1"/>
      <c r="D483" s="1"/>
    </row>
    <row r="484" ht="15.75" customHeight="1">
      <c r="C484" s="1"/>
      <c r="D484" s="1"/>
    </row>
    <row r="485" ht="15.75" customHeight="1">
      <c r="C485" s="1"/>
      <c r="D485" s="1"/>
    </row>
    <row r="486" ht="15.75" customHeight="1">
      <c r="C486" s="1"/>
      <c r="D486" s="1"/>
    </row>
    <row r="487" ht="15.75" customHeight="1">
      <c r="C487" s="1"/>
      <c r="D487" s="1"/>
    </row>
    <row r="488" ht="15.75" customHeight="1">
      <c r="C488" s="1"/>
      <c r="D488" s="1"/>
    </row>
    <row r="489" ht="15.75" customHeight="1">
      <c r="C489" s="1"/>
      <c r="D489" s="1"/>
    </row>
    <row r="490" ht="15.75" customHeight="1">
      <c r="C490" s="1"/>
      <c r="D490" s="1"/>
    </row>
    <row r="491" ht="15.75" customHeight="1">
      <c r="C491" s="1"/>
      <c r="D491" s="1"/>
    </row>
    <row r="492" ht="15.75" customHeight="1">
      <c r="C492" s="1"/>
      <c r="D492" s="1"/>
    </row>
    <row r="493" ht="15.75" customHeight="1">
      <c r="C493" s="1"/>
      <c r="D493" s="1"/>
    </row>
    <row r="494" ht="15.75" customHeight="1">
      <c r="C494" s="1"/>
      <c r="D494" s="1"/>
    </row>
    <row r="495" ht="15.75" customHeight="1">
      <c r="C495" s="1"/>
      <c r="D495" s="1"/>
    </row>
    <row r="496" ht="15.75" customHeight="1">
      <c r="C496" s="1"/>
      <c r="D496" s="1"/>
    </row>
    <row r="497" ht="15.75" customHeight="1">
      <c r="C497" s="1"/>
      <c r="D497" s="1"/>
    </row>
    <row r="498" ht="15.75" customHeight="1">
      <c r="C498" s="1"/>
      <c r="D498" s="1"/>
    </row>
    <row r="499" ht="15.75" customHeight="1">
      <c r="C499" s="1"/>
      <c r="D499" s="1"/>
    </row>
    <row r="500" ht="15.75" customHeight="1">
      <c r="C500" s="1"/>
      <c r="D500" s="1"/>
    </row>
    <row r="501" ht="15.75" customHeight="1">
      <c r="C501" s="1"/>
      <c r="D501" s="1"/>
    </row>
    <row r="502" ht="15.75" customHeight="1">
      <c r="C502" s="1"/>
      <c r="D502" s="1"/>
    </row>
    <row r="503" ht="15.75" customHeight="1">
      <c r="C503" s="1"/>
      <c r="D503" s="1"/>
    </row>
    <row r="504" ht="15.75" customHeight="1">
      <c r="C504" s="1"/>
      <c r="D504" s="1"/>
    </row>
    <row r="505" ht="15.75" customHeight="1">
      <c r="C505" s="1"/>
      <c r="D505" s="1"/>
    </row>
    <row r="506" ht="15.75" customHeight="1">
      <c r="C506" s="1"/>
      <c r="D506" s="1"/>
    </row>
    <row r="507" ht="15.75" customHeight="1">
      <c r="C507" s="1"/>
      <c r="D507" s="1"/>
    </row>
    <row r="508" ht="15.75" customHeight="1">
      <c r="C508" s="1"/>
      <c r="D508" s="1"/>
    </row>
    <row r="509" ht="15.75" customHeight="1">
      <c r="C509" s="1"/>
      <c r="D509" s="1"/>
    </row>
    <row r="510" ht="15.75" customHeight="1">
      <c r="C510" s="1"/>
      <c r="D510" s="1"/>
    </row>
    <row r="511" ht="15.75" customHeight="1">
      <c r="C511" s="1"/>
      <c r="D511" s="1"/>
    </row>
    <row r="512" ht="15.75" customHeight="1">
      <c r="C512" s="1"/>
      <c r="D512" s="1"/>
    </row>
    <row r="513" ht="15.75" customHeight="1">
      <c r="C513" s="1"/>
      <c r="D513" s="1"/>
    </row>
    <row r="514" ht="15.75" customHeight="1">
      <c r="C514" s="1"/>
      <c r="D514" s="1"/>
    </row>
    <row r="515" ht="15.75" customHeight="1">
      <c r="C515" s="1"/>
      <c r="D515" s="1"/>
    </row>
    <row r="516" ht="15.75" customHeight="1">
      <c r="C516" s="1"/>
      <c r="D516" s="1"/>
    </row>
    <row r="517" ht="15.75" customHeight="1">
      <c r="C517" s="1"/>
      <c r="D517" s="1"/>
    </row>
    <row r="518" ht="15.75" customHeight="1">
      <c r="C518" s="1"/>
      <c r="D518" s="1"/>
    </row>
    <row r="519" ht="15.75" customHeight="1">
      <c r="C519" s="1"/>
      <c r="D519" s="1"/>
    </row>
    <row r="520" ht="15.75" customHeight="1">
      <c r="C520" s="1"/>
      <c r="D520" s="1"/>
    </row>
    <row r="521" ht="15.75" customHeight="1">
      <c r="C521" s="1"/>
      <c r="D521" s="1"/>
    </row>
    <row r="522" ht="15.75" customHeight="1">
      <c r="C522" s="1"/>
      <c r="D522" s="1"/>
    </row>
    <row r="523" ht="15.75" customHeight="1">
      <c r="C523" s="1"/>
      <c r="D523" s="1"/>
    </row>
    <row r="524" ht="15.75" customHeight="1">
      <c r="C524" s="1"/>
      <c r="D524" s="1"/>
    </row>
    <row r="525" ht="15.75" customHeight="1">
      <c r="C525" s="1"/>
      <c r="D525" s="1"/>
    </row>
    <row r="526" ht="15.75" customHeight="1">
      <c r="C526" s="1"/>
      <c r="D526" s="1"/>
    </row>
    <row r="527" ht="15.75" customHeight="1">
      <c r="C527" s="1"/>
      <c r="D527" s="1"/>
    </row>
    <row r="528" ht="15.75" customHeight="1">
      <c r="C528" s="1"/>
      <c r="D528" s="1"/>
    </row>
    <row r="529" ht="15.75" customHeight="1">
      <c r="C529" s="1"/>
      <c r="D529" s="1"/>
    </row>
    <row r="530" ht="15.75" customHeight="1">
      <c r="C530" s="1"/>
      <c r="D530" s="1"/>
    </row>
    <row r="531" ht="15.75" customHeight="1">
      <c r="C531" s="1"/>
      <c r="D531" s="1"/>
    </row>
    <row r="532" ht="15.75" customHeight="1">
      <c r="C532" s="1"/>
      <c r="D532" s="1"/>
    </row>
    <row r="533" ht="15.75" customHeight="1">
      <c r="C533" s="1"/>
      <c r="D533" s="1"/>
    </row>
    <row r="534" ht="15.75" customHeight="1">
      <c r="C534" s="1"/>
      <c r="D534" s="1"/>
    </row>
    <row r="535" ht="15.75" customHeight="1">
      <c r="C535" s="1"/>
      <c r="D535" s="1"/>
    </row>
    <row r="536" ht="15.75" customHeight="1">
      <c r="C536" s="1"/>
      <c r="D536" s="1"/>
    </row>
    <row r="537" ht="15.75" customHeight="1">
      <c r="C537" s="1"/>
      <c r="D537" s="1"/>
    </row>
    <row r="538" ht="15.75" customHeight="1">
      <c r="C538" s="1"/>
      <c r="D538" s="1"/>
    </row>
    <row r="539" ht="15.75" customHeight="1">
      <c r="C539" s="1"/>
      <c r="D539" s="1"/>
    </row>
    <row r="540" ht="15.75" customHeight="1">
      <c r="C540" s="1"/>
      <c r="D540" s="1"/>
    </row>
    <row r="541" ht="15.75" customHeight="1">
      <c r="C541" s="1"/>
      <c r="D541" s="1"/>
    </row>
    <row r="542" ht="15.75" customHeight="1">
      <c r="C542" s="1"/>
      <c r="D542" s="1"/>
    </row>
    <row r="543" ht="15.75" customHeight="1">
      <c r="C543" s="1"/>
      <c r="D543" s="1"/>
    </row>
    <row r="544" ht="15.75" customHeight="1">
      <c r="C544" s="1"/>
      <c r="D544" s="1"/>
    </row>
    <row r="545" ht="15.75" customHeight="1">
      <c r="C545" s="1"/>
      <c r="D545" s="1"/>
    </row>
    <row r="546" ht="15.75" customHeight="1">
      <c r="C546" s="1"/>
      <c r="D546" s="1"/>
    </row>
    <row r="547" ht="15.75" customHeight="1">
      <c r="C547" s="1"/>
      <c r="D547" s="1"/>
    </row>
    <row r="548" ht="15.75" customHeight="1">
      <c r="C548" s="1"/>
      <c r="D548" s="1"/>
    </row>
    <row r="549" ht="15.75" customHeight="1">
      <c r="C549" s="1"/>
      <c r="D549" s="1"/>
    </row>
    <row r="550" ht="15.75" customHeight="1">
      <c r="C550" s="1"/>
      <c r="D550" s="1"/>
    </row>
    <row r="551" ht="15.75" customHeight="1">
      <c r="C551" s="1"/>
      <c r="D551" s="1"/>
    </row>
    <row r="552" ht="15.75" customHeight="1">
      <c r="C552" s="1"/>
      <c r="D552" s="1"/>
    </row>
    <row r="553" ht="15.75" customHeight="1">
      <c r="C553" s="1"/>
      <c r="D553" s="1"/>
    </row>
    <row r="554" ht="15.75" customHeight="1">
      <c r="C554" s="1"/>
      <c r="D554" s="1"/>
    </row>
    <row r="555" ht="15.75" customHeight="1">
      <c r="C555" s="1"/>
      <c r="D555" s="1"/>
    </row>
    <row r="556" ht="15.75" customHeight="1">
      <c r="C556" s="1"/>
      <c r="D556" s="1"/>
    </row>
    <row r="557" ht="15.75" customHeight="1">
      <c r="C557" s="1"/>
      <c r="D557" s="1"/>
    </row>
    <row r="558" ht="15.75" customHeight="1">
      <c r="C558" s="1"/>
      <c r="D558" s="1"/>
    </row>
    <row r="559" ht="15.75" customHeight="1">
      <c r="C559" s="1"/>
      <c r="D559" s="1"/>
    </row>
    <row r="560" ht="15.75" customHeight="1">
      <c r="C560" s="1"/>
      <c r="D560" s="1"/>
    </row>
    <row r="561" ht="15.75" customHeight="1">
      <c r="C561" s="1"/>
      <c r="D561" s="1"/>
    </row>
    <row r="562" ht="15.75" customHeight="1">
      <c r="C562" s="1"/>
      <c r="D562" s="1"/>
    </row>
    <row r="563" ht="15.75" customHeight="1">
      <c r="C563" s="1"/>
      <c r="D563" s="1"/>
    </row>
    <row r="564" ht="15.75" customHeight="1">
      <c r="C564" s="1"/>
      <c r="D564" s="1"/>
    </row>
    <row r="565" ht="15.75" customHeight="1">
      <c r="C565" s="1"/>
      <c r="D565" s="1"/>
    </row>
    <row r="566" ht="15.75" customHeight="1">
      <c r="C566" s="1"/>
      <c r="D566" s="1"/>
    </row>
    <row r="567" ht="15.75" customHeight="1">
      <c r="C567" s="1"/>
      <c r="D567" s="1"/>
    </row>
    <row r="568" ht="15.75" customHeight="1">
      <c r="C568" s="1"/>
      <c r="D568" s="1"/>
    </row>
    <row r="569" ht="15.75" customHeight="1">
      <c r="C569" s="1"/>
      <c r="D569" s="1"/>
    </row>
    <row r="570" ht="15.75" customHeight="1">
      <c r="C570" s="1"/>
      <c r="D570" s="1"/>
    </row>
    <row r="571" ht="15.75" customHeight="1">
      <c r="C571" s="1"/>
      <c r="D571" s="1"/>
    </row>
    <row r="572" ht="15.75" customHeight="1">
      <c r="C572" s="1"/>
      <c r="D572" s="1"/>
    </row>
    <row r="573" ht="15.75" customHeight="1">
      <c r="C573" s="1"/>
      <c r="D573" s="1"/>
    </row>
    <row r="574" ht="15.75" customHeight="1">
      <c r="C574" s="1"/>
      <c r="D574" s="1"/>
    </row>
    <row r="575" ht="15.75" customHeight="1">
      <c r="C575" s="1"/>
      <c r="D575" s="1"/>
    </row>
    <row r="576" ht="15.75" customHeight="1">
      <c r="C576" s="1"/>
      <c r="D576" s="1"/>
    </row>
    <row r="577" ht="15.75" customHeight="1">
      <c r="C577" s="1"/>
      <c r="D577" s="1"/>
    </row>
    <row r="578" ht="15.75" customHeight="1">
      <c r="C578" s="1"/>
      <c r="D578" s="1"/>
    </row>
    <row r="579" ht="15.75" customHeight="1">
      <c r="C579" s="1"/>
      <c r="D579" s="1"/>
    </row>
    <row r="580" ht="15.75" customHeight="1">
      <c r="C580" s="1"/>
      <c r="D580" s="1"/>
    </row>
    <row r="581" ht="15.75" customHeight="1">
      <c r="C581" s="1"/>
      <c r="D581" s="1"/>
    </row>
    <row r="582" ht="15.75" customHeight="1">
      <c r="C582" s="1"/>
      <c r="D582" s="1"/>
    </row>
    <row r="583" ht="15.75" customHeight="1">
      <c r="C583" s="1"/>
      <c r="D583" s="1"/>
    </row>
    <row r="584" ht="15.75" customHeight="1">
      <c r="C584" s="1"/>
      <c r="D584" s="1"/>
    </row>
    <row r="585" ht="15.75" customHeight="1">
      <c r="C585" s="1"/>
      <c r="D585" s="1"/>
    </row>
    <row r="586" ht="15.75" customHeight="1">
      <c r="C586" s="1"/>
      <c r="D586" s="1"/>
    </row>
    <row r="587" ht="15.75" customHeight="1">
      <c r="C587" s="1"/>
      <c r="D587" s="1"/>
    </row>
    <row r="588" ht="15.75" customHeight="1">
      <c r="C588" s="1"/>
      <c r="D588" s="1"/>
    </row>
    <row r="589" ht="15.75" customHeight="1">
      <c r="C589" s="1"/>
      <c r="D589" s="1"/>
    </row>
    <row r="590" ht="15.75" customHeight="1">
      <c r="C590" s="1"/>
      <c r="D590" s="1"/>
    </row>
    <row r="591" ht="15.75" customHeight="1">
      <c r="C591" s="1"/>
      <c r="D591" s="1"/>
    </row>
    <row r="592" ht="15.75" customHeight="1">
      <c r="C592" s="1"/>
      <c r="D592" s="1"/>
    </row>
    <row r="593" ht="15.75" customHeight="1">
      <c r="C593" s="1"/>
      <c r="D593" s="1"/>
    </row>
    <row r="594" ht="15.75" customHeight="1">
      <c r="C594" s="1"/>
      <c r="D594" s="1"/>
    </row>
    <row r="595" ht="15.75" customHeight="1">
      <c r="C595" s="1"/>
      <c r="D595" s="1"/>
    </row>
    <row r="596" ht="15.75" customHeight="1">
      <c r="C596" s="1"/>
      <c r="D596" s="1"/>
    </row>
    <row r="597" ht="15.75" customHeight="1">
      <c r="C597" s="1"/>
      <c r="D597" s="1"/>
    </row>
    <row r="598" ht="15.75" customHeight="1">
      <c r="C598" s="1"/>
      <c r="D598" s="1"/>
    </row>
    <row r="599" ht="15.75" customHeight="1">
      <c r="C599" s="1"/>
      <c r="D599" s="1"/>
    </row>
    <row r="600" ht="15.75" customHeight="1">
      <c r="C600" s="1"/>
      <c r="D600" s="1"/>
    </row>
    <row r="601" ht="15.75" customHeight="1">
      <c r="C601" s="1"/>
      <c r="D601" s="1"/>
    </row>
    <row r="602" ht="15.75" customHeight="1">
      <c r="C602" s="1"/>
      <c r="D602" s="1"/>
    </row>
    <row r="603" ht="15.75" customHeight="1">
      <c r="C603" s="1"/>
      <c r="D603" s="1"/>
    </row>
    <row r="604" ht="15.75" customHeight="1">
      <c r="C604" s="1"/>
      <c r="D604" s="1"/>
    </row>
    <row r="605" ht="15.75" customHeight="1">
      <c r="C605" s="1"/>
      <c r="D605" s="1"/>
    </row>
    <row r="606" ht="15.75" customHeight="1">
      <c r="C606" s="1"/>
      <c r="D606" s="1"/>
    </row>
    <row r="607" ht="15.75" customHeight="1">
      <c r="C607" s="1"/>
      <c r="D607" s="1"/>
    </row>
    <row r="608" ht="15.75" customHeight="1">
      <c r="C608" s="1"/>
      <c r="D608" s="1"/>
    </row>
    <row r="609" ht="15.75" customHeight="1">
      <c r="C609" s="1"/>
      <c r="D609" s="1"/>
    </row>
    <row r="610" ht="15.75" customHeight="1">
      <c r="C610" s="1"/>
      <c r="D610" s="1"/>
    </row>
    <row r="611" ht="15.75" customHeight="1">
      <c r="C611" s="1"/>
      <c r="D611" s="1"/>
    </row>
    <row r="612" ht="15.75" customHeight="1">
      <c r="C612" s="1"/>
      <c r="D612" s="1"/>
    </row>
    <row r="613" ht="15.75" customHeight="1">
      <c r="C613" s="1"/>
      <c r="D613" s="1"/>
    </row>
    <row r="614" ht="15.75" customHeight="1">
      <c r="C614" s="1"/>
      <c r="D614" s="1"/>
    </row>
    <row r="615" ht="15.75" customHeight="1">
      <c r="C615" s="1"/>
      <c r="D615" s="1"/>
    </row>
    <row r="616" ht="15.75" customHeight="1">
      <c r="C616" s="1"/>
      <c r="D616" s="1"/>
    </row>
    <row r="617" ht="15.75" customHeight="1">
      <c r="C617" s="1"/>
      <c r="D617" s="1"/>
    </row>
    <row r="618" ht="15.75" customHeight="1">
      <c r="C618" s="1"/>
      <c r="D618" s="1"/>
    </row>
    <row r="619" ht="15.75" customHeight="1">
      <c r="C619" s="1"/>
      <c r="D619" s="1"/>
    </row>
    <row r="620" ht="15.75" customHeight="1">
      <c r="C620" s="1"/>
      <c r="D620" s="1"/>
    </row>
    <row r="621" ht="15.75" customHeight="1">
      <c r="C621" s="1"/>
      <c r="D621" s="1"/>
    </row>
    <row r="622" ht="15.75" customHeight="1">
      <c r="C622" s="1"/>
      <c r="D622" s="1"/>
    </row>
    <row r="623" ht="15.75" customHeight="1">
      <c r="C623" s="1"/>
      <c r="D623" s="1"/>
    </row>
    <row r="624" ht="15.75" customHeight="1">
      <c r="C624" s="1"/>
      <c r="D624" s="1"/>
    </row>
    <row r="625" ht="15.75" customHeight="1">
      <c r="C625" s="1"/>
      <c r="D625" s="1"/>
    </row>
    <row r="626" ht="15.75" customHeight="1">
      <c r="C626" s="1"/>
      <c r="D626" s="1"/>
    </row>
    <row r="627" ht="15.75" customHeight="1">
      <c r="C627" s="1"/>
      <c r="D627" s="1"/>
    </row>
    <row r="628" ht="15.75" customHeight="1">
      <c r="C628" s="1"/>
      <c r="D628" s="1"/>
    </row>
    <row r="629" ht="15.75" customHeight="1">
      <c r="C629" s="1"/>
      <c r="D629" s="1"/>
    </row>
    <row r="630" ht="15.75" customHeight="1">
      <c r="C630" s="1"/>
      <c r="D630" s="1"/>
    </row>
    <row r="631" ht="15.75" customHeight="1">
      <c r="C631" s="1"/>
      <c r="D631" s="1"/>
    </row>
    <row r="632" ht="15.75" customHeight="1">
      <c r="C632" s="1"/>
      <c r="D632" s="1"/>
    </row>
    <row r="633" ht="15.75" customHeight="1">
      <c r="C633" s="1"/>
      <c r="D633" s="1"/>
    </row>
    <row r="634" ht="15.75" customHeight="1">
      <c r="C634" s="1"/>
      <c r="D634" s="1"/>
    </row>
    <row r="635" ht="15.75" customHeight="1">
      <c r="C635" s="1"/>
      <c r="D635" s="1"/>
    </row>
    <row r="636" ht="15.75" customHeight="1">
      <c r="C636" s="1"/>
      <c r="D636" s="1"/>
    </row>
    <row r="637" ht="15.75" customHeight="1">
      <c r="C637" s="1"/>
      <c r="D637" s="1"/>
    </row>
    <row r="638" ht="15.75" customHeight="1">
      <c r="C638" s="1"/>
      <c r="D638" s="1"/>
    </row>
    <row r="639" ht="15.75" customHeight="1">
      <c r="C639" s="1"/>
      <c r="D639" s="1"/>
    </row>
    <row r="640" ht="15.75" customHeight="1">
      <c r="C640" s="1"/>
      <c r="D640" s="1"/>
    </row>
    <row r="641" ht="15.75" customHeight="1">
      <c r="C641" s="1"/>
      <c r="D641" s="1"/>
    </row>
    <row r="642" ht="15.75" customHeight="1">
      <c r="C642" s="1"/>
      <c r="D642" s="1"/>
    </row>
    <row r="643" ht="15.75" customHeight="1">
      <c r="C643" s="1"/>
      <c r="D643" s="1"/>
    </row>
    <row r="644" ht="15.75" customHeight="1">
      <c r="C644" s="1"/>
      <c r="D644" s="1"/>
    </row>
    <row r="645" ht="15.75" customHeight="1">
      <c r="C645" s="1"/>
      <c r="D645" s="1"/>
    </row>
    <row r="646" ht="15.75" customHeight="1">
      <c r="C646" s="1"/>
      <c r="D646" s="1"/>
    </row>
    <row r="647" ht="15.75" customHeight="1">
      <c r="C647" s="1"/>
      <c r="D647" s="1"/>
    </row>
    <row r="648" ht="15.75" customHeight="1">
      <c r="C648" s="1"/>
      <c r="D648" s="1"/>
    </row>
    <row r="649" ht="15.75" customHeight="1">
      <c r="C649" s="1"/>
      <c r="D649" s="1"/>
    </row>
    <row r="650" ht="15.75" customHeight="1">
      <c r="C650" s="1"/>
      <c r="D650" s="1"/>
    </row>
    <row r="651" ht="15.75" customHeight="1">
      <c r="C651" s="1"/>
      <c r="D651" s="1"/>
    </row>
    <row r="652" ht="15.75" customHeight="1">
      <c r="C652" s="1"/>
      <c r="D652" s="1"/>
    </row>
    <row r="653" ht="15.75" customHeight="1">
      <c r="C653" s="1"/>
      <c r="D653" s="1"/>
    </row>
    <row r="654" ht="15.75" customHeight="1">
      <c r="C654" s="1"/>
      <c r="D654" s="1"/>
    </row>
    <row r="655" ht="15.75" customHeight="1">
      <c r="C655" s="1"/>
      <c r="D655" s="1"/>
    </row>
    <row r="656" ht="15.75" customHeight="1">
      <c r="C656" s="1"/>
      <c r="D656" s="1"/>
    </row>
    <row r="657" ht="15.75" customHeight="1">
      <c r="C657" s="1"/>
      <c r="D657" s="1"/>
    </row>
    <row r="658" ht="15.75" customHeight="1">
      <c r="C658" s="1"/>
      <c r="D658" s="1"/>
    </row>
    <row r="659" ht="15.75" customHeight="1">
      <c r="C659" s="1"/>
      <c r="D659" s="1"/>
    </row>
    <row r="660" ht="15.75" customHeight="1">
      <c r="C660" s="1"/>
      <c r="D660" s="1"/>
    </row>
    <row r="661" ht="15.75" customHeight="1">
      <c r="C661" s="1"/>
      <c r="D661" s="1"/>
    </row>
    <row r="662" ht="15.75" customHeight="1">
      <c r="C662" s="1"/>
      <c r="D662" s="1"/>
    </row>
    <row r="663" ht="15.75" customHeight="1">
      <c r="C663" s="1"/>
      <c r="D663" s="1"/>
    </row>
    <row r="664" ht="15.75" customHeight="1">
      <c r="C664" s="1"/>
      <c r="D664" s="1"/>
    </row>
    <row r="665" ht="15.75" customHeight="1">
      <c r="C665" s="1"/>
      <c r="D665" s="1"/>
    </row>
    <row r="666" ht="15.75" customHeight="1">
      <c r="C666" s="1"/>
      <c r="D666" s="1"/>
    </row>
    <row r="667" ht="15.75" customHeight="1">
      <c r="C667" s="1"/>
      <c r="D667" s="1"/>
    </row>
    <row r="668" ht="15.75" customHeight="1">
      <c r="C668" s="1"/>
      <c r="D668" s="1"/>
    </row>
    <row r="669" ht="15.75" customHeight="1">
      <c r="C669" s="1"/>
      <c r="D669" s="1"/>
    </row>
    <row r="670" ht="15.75" customHeight="1">
      <c r="C670" s="1"/>
      <c r="D670" s="1"/>
    </row>
    <row r="671" ht="15.75" customHeight="1">
      <c r="C671" s="1"/>
      <c r="D671" s="1"/>
    </row>
    <row r="672" ht="15.75" customHeight="1">
      <c r="C672" s="1"/>
      <c r="D672" s="1"/>
    </row>
    <row r="673" ht="15.75" customHeight="1">
      <c r="C673" s="1"/>
      <c r="D673" s="1"/>
    </row>
    <row r="674" ht="15.75" customHeight="1">
      <c r="C674" s="1"/>
      <c r="D674" s="1"/>
    </row>
    <row r="675" ht="15.75" customHeight="1">
      <c r="C675" s="1"/>
      <c r="D675" s="1"/>
    </row>
    <row r="676" ht="15.75" customHeight="1">
      <c r="C676" s="1"/>
      <c r="D676" s="1"/>
    </row>
    <row r="677" ht="15.75" customHeight="1">
      <c r="C677" s="1"/>
      <c r="D677" s="1"/>
    </row>
    <row r="678" ht="15.75" customHeight="1">
      <c r="C678" s="1"/>
      <c r="D678" s="1"/>
    </row>
    <row r="679" ht="15.75" customHeight="1">
      <c r="C679" s="1"/>
      <c r="D679" s="1"/>
    </row>
    <row r="680" ht="15.75" customHeight="1">
      <c r="C680" s="1"/>
      <c r="D680" s="1"/>
    </row>
    <row r="681" ht="15.75" customHeight="1">
      <c r="C681" s="1"/>
      <c r="D681" s="1"/>
    </row>
    <row r="682" ht="15.75" customHeight="1">
      <c r="C682" s="1"/>
      <c r="D682" s="1"/>
    </row>
    <row r="683" ht="15.75" customHeight="1">
      <c r="C683" s="1"/>
      <c r="D683" s="1"/>
    </row>
    <row r="684" ht="15.75" customHeight="1">
      <c r="C684" s="1"/>
      <c r="D684" s="1"/>
    </row>
    <row r="685" ht="15.75" customHeight="1">
      <c r="C685" s="1"/>
      <c r="D685" s="1"/>
    </row>
    <row r="686" ht="15.75" customHeight="1">
      <c r="C686" s="1"/>
      <c r="D686" s="1"/>
    </row>
    <row r="687" ht="15.75" customHeight="1">
      <c r="C687" s="1"/>
      <c r="D687" s="1"/>
    </row>
    <row r="688" ht="15.75" customHeight="1">
      <c r="C688" s="1"/>
      <c r="D688" s="1"/>
    </row>
    <row r="689" ht="15.75" customHeight="1">
      <c r="C689" s="1"/>
      <c r="D689" s="1"/>
    </row>
    <row r="690" ht="15.75" customHeight="1">
      <c r="C690" s="1"/>
      <c r="D690" s="1"/>
    </row>
    <row r="691" ht="15.75" customHeight="1">
      <c r="C691" s="1"/>
      <c r="D691" s="1"/>
    </row>
    <row r="692" ht="15.75" customHeight="1">
      <c r="C692" s="1"/>
      <c r="D692" s="1"/>
    </row>
    <row r="693" ht="15.75" customHeight="1">
      <c r="C693" s="1"/>
      <c r="D693" s="1"/>
    </row>
    <row r="694" ht="15.75" customHeight="1">
      <c r="C694" s="1"/>
      <c r="D694" s="1"/>
    </row>
    <row r="695" ht="15.75" customHeight="1">
      <c r="C695" s="1"/>
      <c r="D695" s="1"/>
    </row>
    <row r="696" ht="15.75" customHeight="1">
      <c r="C696" s="1"/>
      <c r="D696" s="1"/>
    </row>
    <row r="697" ht="15.75" customHeight="1">
      <c r="C697" s="1"/>
      <c r="D697" s="1"/>
    </row>
    <row r="698" ht="15.75" customHeight="1">
      <c r="C698" s="1"/>
      <c r="D698" s="1"/>
    </row>
    <row r="699" ht="15.75" customHeight="1">
      <c r="C699" s="1"/>
      <c r="D699" s="1"/>
    </row>
    <row r="700" ht="15.75" customHeight="1">
      <c r="C700" s="1"/>
      <c r="D700" s="1"/>
    </row>
    <row r="701" ht="15.75" customHeight="1">
      <c r="C701" s="1"/>
      <c r="D701" s="1"/>
    </row>
    <row r="702" ht="15.75" customHeight="1">
      <c r="C702" s="1"/>
      <c r="D702" s="1"/>
    </row>
    <row r="703" ht="15.75" customHeight="1">
      <c r="C703" s="1"/>
      <c r="D703" s="1"/>
    </row>
    <row r="704" ht="15.75" customHeight="1">
      <c r="C704" s="1"/>
      <c r="D704" s="1"/>
    </row>
    <row r="705" ht="15.75" customHeight="1">
      <c r="C705" s="1"/>
      <c r="D705" s="1"/>
    </row>
    <row r="706" ht="15.75" customHeight="1">
      <c r="C706" s="1"/>
      <c r="D706" s="1"/>
    </row>
    <row r="707" ht="15.75" customHeight="1">
      <c r="C707" s="1"/>
      <c r="D707" s="1"/>
    </row>
    <row r="708" ht="15.75" customHeight="1">
      <c r="C708" s="1"/>
      <c r="D708" s="1"/>
    </row>
    <row r="709" ht="15.75" customHeight="1">
      <c r="C709" s="1"/>
      <c r="D709" s="1"/>
    </row>
    <row r="710" ht="15.75" customHeight="1">
      <c r="C710" s="1"/>
      <c r="D710" s="1"/>
    </row>
    <row r="711" ht="15.75" customHeight="1">
      <c r="C711" s="1"/>
      <c r="D711" s="1"/>
    </row>
    <row r="712" ht="15.75" customHeight="1">
      <c r="C712" s="1"/>
      <c r="D712" s="1"/>
    </row>
    <row r="713" ht="15.75" customHeight="1">
      <c r="C713" s="1"/>
      <c r="D713" s="1"/>
    </row>
    <row r="714" ht="15.75" customHeight="1">
      <c r="C714" s="1"/>
      <c r="D714" s="1"/>
    </row>
    <row r="715" ht="15.75" customHeight="1">
      <c r="C715" s="1"/>
      <c r="D715" s="1"/>
    </row>
    <row r="716" ht="15.75" customHeight="1">
      <c r="C716" s="1"/>
      <c r="D716" s="1"/>
    </row>
    <row r="717" ht="15.75" customHeight="1">
      <c r="C717" s="1"/>
      <c r="D717" s="1"/>
    </row>
    <row r="718" ht="15.75" customHeight="1">
      <c r="C718" s="1"/>
      <c r="D718" s="1"/>
    </row>
    <row r="719" ht="15.75" customHeight="1">
      <c r="C719" s="1"/>
      <c r="D719" s="1"/>
    </row>
    <row r="720" ht="15.75" customHeight="1">
      <c r="C720" s="1"/>
      <c r="D720" s="1"/>
    </row>
    <row r="721" ht="15.75" customHeight="1">
      <c r="C721" s="1"/>
      <c r="D721" s="1"/>
    </row>
    <row r="722" ht="15.75" customHeight="1">
      <c r="C722" s="1"/>
      <c r="D722" s="1"/>
    </row>
    <row r="723" ht="15.75" customHeight="1">
      <c r="C723" s="1"/>
      <c r="D723" s="1"/>
    </row>
    <row r="724" ht="15.75" customHeight="1">
      <c r="C724" s="1"/>
      <c r="D724" s="1"/>
    </row>
    <row r="725" ht="15.75" customHeight="1">
      <c r="C725" s="1"/>
      <c r="D725" s="1"/>
    </row>
    <row r="726" ht="15.75" customHeight="1">
      <c r="C726" s="1"/>
      <c r="D726" s="1"/>
    </row>
    <row r="727" ht="15.75" customHeight="1">
      <c r="C727" s="1"/>
      <c r="D727" s="1"/>
    </row>
    <row r="728" ht="15.75" customHeight="1">
      <c r="C728" s="1"/>
      <c r="D728" s="1"/>
    </row>
    <row r="729" ht="15.75" customHeight="1">
      <c r="C729" s="1"/>
      <c r="D729" s="1"/>
    </row>
    <row r="730" ht="15.75" customHeight="1">
      <c r="C730" s="1"/>
      <c r="D730" s="1"/>
    </row>
    <row r="731" ht="15.75" customHeight="1">
      <c r="C731" s="1"/>
      <c r="D731" s="1"/>
    </row>
    <row r="732" ht="15.75" customHeight="1">
      <c r="C732" s="1"/>
      <c r="D732" s="1"/>
    </row>
    <row r="733" ht="15.75" customHeight="1">
      <c r="C733" s="1"/>
      <c r="D733" s="1"/>
    </row>
    <row r="734" ht="15.75" customHeight="1">
      <c r="C734" s="1"/>
      <c r="D734" s="1"/>
    </row>
    <row r="735" ht="15.75" customHeight="1">
      <c r="C735" s="1"/>
      <c r="D735" s="1"/>
    </row>
    <row r="736" ht="15.75" customHeight="1">
      <c r="C736" s="1"/>
      <c r="D736" s="1"/>
    </row>
    <row r="737" ht="15.75" customHeight="1">
      <c r="C737" s="1"/>
      <c r="D737" s="1"/>
    </row>
    <row r="738" ht="15.75" customHeight="1">
      <c r="C738" s="1"/>
      <c r="D738" s="1"/>
    </row>
    <row r="739" ht="15.75" customHeight="1">
      <c r="C739" s="1"/>
      <c r="D739" s="1"/>
    </row>
    <row r="740" ht="15.75" customHeight="1">
      <c r="C740" s="1"/>
      <c r="D740" s="1"/>
    </row>
    <row r="741" ht="15.75" customHeight="1">
      <c r="C741" s="1"/>
      <c r="D741" s="1"/>
    </row>
    <row r="742" ht="15.75" customHeight="1">
      <c r="C742" s="1"/>
      <c r="D742" s="1"/>
    </row>
    <row r="743" ht="15.75" customHeight="1">
      <c r="C743" s="1"/>
      <c r="D743" s="1"/>
    </row>
    <row r="744" ht="15.75" customHeight="1">
      <c r="C744" s="1"/>
      <c r="D744" s="1"/>
    </row>
    <row r="745" ht="15.75" customHeight="1">
      <c r="C745" s="1"/>
      <c r="D745" s="1"/>
    </row>
    <row r="746" ht="15.75" customHeight="1">
      <c r="C746" s="1"/>
      <c r="D746" s="1"/>
    </row>
    <row r="747" ht="15.75" customHeight="1">
      <c r="C747" s="1"/>
      <c r="D747" s="1"/>
    </row>
    <row r="748" ht="15.75" customHeight="1">
      <c r="C748" s="1"/>
      <c r="D748" s="1"/>
    </row>
    <row r="749" ht="15.75" customHeight="1">
      <c r="C749" s="1"/>
      <c r="D749" s="1"/>
    </row>
    <row r="750" ht="15.75" customHeight="1">
      <c r="C750" s="1"/>
      <c r="D750" s="1"/>
    </row>
    <row r="751" ht="15.75" customHeight="1">
      <c r="C751" s="1"/>
      <c r="D751" s="1"/>
    </row>
    <row r="752" ht="15.75" customHeight="1">
      <c r="C752" s="1"/>
      <c r="D752" s="1"/>
    </row>
    <row r="753" ht="15.75" customHeight="1">
      <c r="C753" s="1"/>
      <c r="D753" s="1"/>
    </row>
    <row r="754" ht="15.75" customHeight="1">
      <c r="C754" s="1"/>
      <c r="D754" s="1"/>
    </row>
    <row r="755" ht="15.75" customHeight="1">
      <c r="C755" s="1"/>
      <c r="D755" s="1"/>
    </row>
    <row r="756" ht="15.75" customHeight="1">
      <c r="C756" s="1"/>
      <c r="D756" s="1"/>
    </row>
    <row r="757" ht="15.75" customHeight="1">
      <c r="C757" s="1"/>
      <c r="D757" s="1"/>
    </row>
    <row r="758" ht="15.75" customHeight="1">
      <c r="C758" s="1"/>
      <c r="D758" s="1"/>
    </row>
    <row r="759" ht="15.75" customHeight="1">
      <c r="C759" s="1"/>
      <c r="D759" s="1"/>
    </row>
    <row r="760" ht="15.75" customHeight="1">
      <c r="C760" s="1"/>
      <c r="D760" s="1"/>
    </row>
    <row r="761" ht="15.75" customHeight="1">
      <c r="C761" s="1"/>
      <c r="D761" s="1"/>
    </row>
    <row r="762" ht="15.75" customHeight="1">
      <c r="C762" s="1"/>
      <c r="D762" s="1"/>
    </row>
    <row r="763" ht="15.75" customHeight="1">
      <c r="C763" s="1"/>
      <c r="D763" s="1"/>
    </row>
    <row r="764" ht="15.75" customHeight="1">
      <c r="C764" s="1"/>
      <c r="D764" s="1"/>
    </row>
    <row r="765" ht="15.75" customHeight="1">
      <c r="C765" s="1"/>
      <c r="D765" s="1"/>
    </row>
    <row r="766" ht="15.75" customHeight="1">
      <c r="C766" s="1"/>
      <c r="D766" s="1"/>
    </row>
    <row r="767" ht="15.75" customHeight="1">
      <c r="C767" s="1"/>
      <c r="D767" s="1"/>
    </row>
    <row r="768" ht="15.75" customHeight="1">
      <c r="C768" s="1"/>
      <c r="D768" s="1"/>
    </row>
    <row r="769" ht="15.75" customHeight="1">
      <c r="C769" s="1"/>
      <c r="D769" s="1"/>
    </row>
    <row r="770" ht="15.75" customHeight="1">
      <c r="C770" s="1"/>
      <c r="D770" s="1"/>
    </row>
    <row r="771" ht="15.75" customHeight="1">
      <c r="C771" s="1"/>
      <c r="D771" s="1"/>
    </row>
    <row r="772" ht="15.75" customHeight="1">
      <c r="C772" s="1"/>
      <c r="D772" s="1"/>
    </row>
    <row r="773" ht="15.75" customHeight="1">
      <c r="C773" s="1"/>
      <c r="D773" s="1"/>
    </row>
    <row r="774" ht="15.75" customHeight="1">
      <c r="C774" s="1"/>
      <c r="D774" s="1"/>
    </row>
    <row r="775" ht="15.75" customHeight="1">
      <c r="C775" s="1"/>
      <c r="D775" s="1"/>
    </row>
    <row r="776" ht="15.75" customHeight="1">
      <c r="C776" s="1"/>
      <c r="D776" s="1"/>
    </row>
    <row r="777" ht="15.75" customHeight="1">
      <c r="C777" s="1"/>
      <c r="D777" s="1"/>
    </row>
    <row r="778" ht="15.75" customHeight="1">
      <c r="C778" s="1"/>
      <c r="D778" s="1"/>
    </row>
    <row r="779" ht="15.75" customHeight="1">
      <c r="C779" s="1"/>
      <c r="D779" s="1"/>
    </row>
    <row r="780" ht="15.75" customHeight="1">
      <c r="C780" s="1"/>
      <c r="D780" s="1"/>
    </row>
    <row r="781" ht="15.75" customHeight="1">
      <c r="C781" s="1"/>
      <c r="D781" s="1"/>
    </row>
    <row r="782" ht="15.75" customHeight="1">
      <c r="C782" s="1"/>
      <c r="D782" s="1"/>
    </row>
    <row r="783" ht="15.75" customHeight="1">
      <c r="C783" s="1"/>
      <c r="D783" s="1"/>
    </row>
    <row r="784" ht="15.75" customHeight="1">
      <c r="C784" s="1"/>
      <c r="D784" s="1"/>
    </row>
    <row r="785" ht="15.75" customHeight="1">
      <c r="C785" s="1"/>
      <c r="D785" s="1"/>
    </row>
    <row r="786" ht="15.75" customHeight="1">
      <c r="C786" s="1"/>
      <c r="D786" s="1"/>
    </row>
    <row r="787" ht="15.75" customHeight="1">
      <c r="C787" s="1"/>
      <c r="D787" s="1"/>
    </row>
    <row r="788" ht="15.75" customHeight="1">
      <c r="C788" s="1"/>
      <c r="D788" s="1"/>
    </row>
    <row r="789" ht="15.75" customHeight="1">
      <c r="C789" s="1"/>
      <c r="D789" s="1"/>
    </row>
    <row r="790" ht="15.75" customHeight="1">
      <c r="C790" s="1"/>
      <c r="D790" s="1"/>
    </row>
    <row r="791" ht="15.75" customHeight="1">
      <c r="C791" s="1"/>
      <c r="D791" s="1"/>
    </row>
    <row r="792" ht="15.75" customHeight="1">
      <c r="C792" s="1"/>
      <c r="D792" s="1"/>
    </row>
    <row r="793" ht="15.75" customHeight="1">
      <c r="C793" s="1"/>
      <c r="D793" s="1"/>
    </row>
    <row r="794" ht="15.75" customHeight="1">
      <c r="C794" s="1"/>
      <c r="D794" s="1"/>
    </row>
    <row r="795" ht="15.75" customHeight="1">
      <c r="C795" s="1"/>
      <c r="D795" s="1"/>
    </row>
    <row r="796" ht="15.75" customHeight="1">
      <c r="C796" s="1"/>
      <c r="D796" s="1"/>
    </row>
    <row r="797" ht="15.75" customHeight="1">
      <c r="C797" s="1"/>
      <c r="D797" s="1"/>
    </row>
    <row r="798" ht="15.75" customHeight="1">
      <c r="C798" s="1"/>
      <c r="D798" s="1"/>
    </row>
    <row r="799" ht="15.75" customHeight="1">
      <c r="C799" s="1"/>
      <c r="D799" s="1"/>
    </row>
    <row r="800" ht="15.75" customHeight="1">
      <c r="C800" s="1"/>
      <c r="D800" s="1"/>
    </row>
    <row r="801" ht="15.75" customHeight="1">
      <c r="C801" s="1"/>
      <c r="D801" s="1"/>
    </row>
    <row r="802" ht="15.75" customHeight="1">
      <c r="C802" s="1"/>
      <c r="D802" s="1"/>
    </row>
    <row r="803" ht="15.75" customHeight="1">
      <c r="C803" s="1"/>
      <c r="D803" s="1"/>
    </row>
    <row r="804" ht="15.75" customHeight="1">
      <c r="C804" s="1"/>
      <c r="D804" s="1"/>
    </row>
    <row r="805" ht="15.75" customHeight="1">
      <c r="C805" s="1"/>
      <c r="D805" s="1"/>
    </row>
    <row r="806" ht="15.75" customHeight="1">
      <c r="C806" s="1"/>
      <c r="D806" s="1"/>
    </row>
    <row r="807" ht="15.75" customHeight="1">
      <c r="C807" s="1"/>
      <c r="D807" s="1"/>
    </row>
    <row r="808" ht="15.75" customHeight="1">
      <c r="C808" s="1"/>
      <c r="D808" s="1"/>
    </row>
    <row r="809" ht="15.75" customHeight="1">
      <c r="C809" s="1"/>
      <c r="D809" s="1"/>
    </row>
    <row r="810" ht="15.75" customHeight="1">
      <c r="C810" s="1"/>
      <c r="D810" s="1"/>
    </row>
    <row r="811" ht="15.75" customHeight="1">
      <c r="C811" s="1"/>
      <c r="D811" s="1"/>
    </row>
    <row r="812" ht="15.75" customHeight="1">
      <c r="C812" s="1"/>
      <c r="D812" s="1"/>
    </row>
    <row r="813" ht="15.75" customHeight="1">
      <c r="C813" s="1"/>
      <c r="D813" s="1"/>
    </row>
    <row r="814" ht="15.75" customHeight="1">
      <c r="C814" s="1"/>
      <c r="D814" s="1"/>
    </row>
    <row r="815" ht="15.75" customHeight="1">
      <c r="C815" s="1"/>
      <c r="D815" s="1"/>
    </row>
    <row r="816" ht="15.75" customHeight="1">
      <c r="C816" s="1"/>
      <c r="D816" s="1"/>
    </row>
    <row r="817" ht="15.75" customHeight="1">
      <c r="C817" s="1"/>
      <c r="D817" s="1"/>
    </row>
    <row r="818" ht="15.75" customHeight="1">
      <c r="C818" s="1"/>
      <c r="D818" s="1"/>
    </row>
    <row r="819" ht="15.75" customHeight="1">
      <c r="C819" s="1"/>
      <c r="D819" s="1"/>
    </row>
    <row r="820" ht="15.75" customHeight="1">
      <c r="C820" s="1"/>
      <c r="D820" s="1"/>
    </row>
    <row r="821" ht="15.75" customHeight="1">
      <c r="C821" s="1"/>
      <c r="D821" s="1"/>
    </row>
    <row r="822" ht="15.75" customHeight="1">
      <c r="C822" s="1"/>
      <c r="D822" s="1"/>
    </row>
    <row r="823" ht="15.75" customHeight="1">
      <c r="C823" s="1"/>
      <c r="D823" s="1"/>
    </row>
    <row r="824" ht="15.75" customHeight="1">
      <c r="C824" s="1"/>
      <c r="D824" s="1"/>
    </row>
    <row r="825" ht="15.75" customHeight="1">
      <c r="C825" s="1"/>
      <c r="D825" s="1"/>
    </row>
    <row r="826" ht="15.75" customHeight="1">
      <c r="C826" s="1"/>
      <c r="D826" s="1"/>
    </row>
    <row r="827" ht="15.75" customHeight="1">
      <c r="C827" s="1"/>
      <c r="D827" s="1"/>
    </row>
    <row r="828" ht="15.75" customHeight="1">
      <c r="C828" s="1"/>
      <c r="D828" s="1"/>
    </row>
    <row r="829" ht="15.75" customHeight="1">
      <c r="C829" s="1"/>
      <c r="D829" s="1"/>
    </row>
    <row r="830" ht="15.75" customHeight="1">
      <c r="C830" s="1"/>
      <c r="D830" s="1"/>
    </row>
    <row r="831" ht="15.75" customHeight="1">
      <c r="C831" s="1"/>
      <c r="D831" s="1"/>
    </row>
    <row r="832" ht="15.75" customHeight="1">
      <c r="C832" s="1"/>
      <c r="D832" s="1"/>
    </row>
    <row r="833" ht="15.75" customHeight="1">
      <c r="C833" s="1"/>
      <c r="D833" s="1"/>
    </row>
    <row r="834" ht="15.75" customHeight="1">
      <c r="C834" s="1"/>
      <c r="D834" s="1"/>
    </row>
    <row r="835" ht="15.75" customHeight="1">
      <c r="C835" s="1"/>
      <c r="D835" s="1"/>
    </row>
    <row r="836" ht="15.75" customHeight="1">
      <c r="C836" s="1"/>
      <c r="D836" s="1"/>
    </row>
    <row r="837" ht="15.75" customHeight="1">
      <c r="C837" s="1"/>
      <c r="D837" s="1"/>
    </row>
    <row r="838" ht="15.75" customHeight="1">
      <c r="C838" s="1"/>
      <c r="D838" s="1"/>
    </row>
    <row r="839" ht="15.75" customHeight="1">
      <c r="C839" s="1"/>
      <c r="D839" s="1"/>
    </row>
    <row r="840" ht="15.75" customHeight="1">
      <c r="C840" s="1"/>
      <c r="D840" s="1"/>
    </row>
    <row r="841" ht="15.75" customHeight="1">
      <c r="C841" s="1"/>
      <c r="D841" s="1"/>
    </row>
    <row r="842" ht="15.75" customHeight="1">
      <c r="C842" s="1"/>
      <c r="D842" s="1"/>
    </row>
    <row r="843" ht="15.75" customHeight="1">
      <c r="C843" s="1"/>
      <c r="D843" s="1"/>
    </row>
    <row r="844" ht="15.75" customHeight="1">
      <c r="C844" s="1"/>
      <c r="D844" s="1"/>
    </row>
    <row r="845" ht="15.75" customHeight="1">
      <c r="C845" s="1"/>
      <c r="D845" s="1"/>
    </row>
    <row r="846" ht="15.75" customHeight="1">
      <c r="C846" s="1"/>
      <c r="D846" s="1"/>
    </row>
    <row r="847" ht="15.75" customHeight="1">
      <c r="C847" s="1"/>
      <c r="D847" s="1"/>
    </row>
    <row r="848" ht="15.75" customHeight="1">
      <c r="C848" s="1"/>
      <c r="D848" s="1"/>
    </row>
    <row r="849" ht="15.75" customHeight="1">
      <c r="C849" s="1"/>
      <c r="D849" s="1"/>
    </row>
    <row r="850" ht="15.75" customHeight="1">
      <c r="C850" s="1"/>
      <c r="D850" s="1"/>
    </row>
    <row r="851" ht="15.75" customHeight="1">
      <c r="C851" s="1"/>
      <c r="D851" s="1"/>
    </row>
    <row r="852" ht="15.75" customHeight="1">
      <c r="C852" s="1"/>
      <c r="D852" s="1"/>
    </row>
    <row r="853" ht="15.75" customHeight="1">
      <c r="C853" s="1"/>
      <c r="D853" s="1"/>
    </row>
    <row r="854" ht="15.75" customHeight="1">
      <c r="C854" s="1"/>
      <c r="D854" s="1"/>
    </row>
    <row r="855" ht="15.75" customHeight="1">
      <c r="C855" s="1"/>
      <c r="D855" s="1"/>
    </row>
    <row r="856" ht="15.75" customHeight="1">
      <c r="C856" s="1"/>
      <c r="D856" s="1"/>
    </row>
    <row r="857" ht="15.75" customHeight="1">
      <c r="C857" s="1"/>
      <c r="D857" s="1"/>
    </row>
    <row r="858" ht="15.75" customHeight="1">
      <c r="C858" s="1"/>
      <c r="D858" s="1"/>
    </row>
    <row r="859" ht="15.75" customHeight="1">
      <c r="C859" s="1"/>
      <c r="D859" s="1"/>
    </row>
    <row r="860" ht="15.75" customHeight="1">
      <c r="C860" s="1"/>
      <c r="D860" s="1"/>
    </row>
    <row r="861" ht="15.75" customHeight="1">
      <c r="C861" s="1"/>
      <c r="D861" s="1"/>
    </row>
    <row r="862" ht="15.75" customHeight="1">
      <c r="C862" s="1"/>
      <c r="D862" s="1"/>
    </row>
    <row r="863" ht="15.75" customHeight="1">
      <c r="C863" s="1"/>
      <c r="D863" s="1"/>
    </row>
    <row r="864" ht="15.75" customHeight="1">
      <c r="C864" s="1"/>
      <c r="D864" s="1"/>
    </row>
    <row r="865" ht="15.75" customHeight="1">
      <c r="C865" s="1"/>
      <c r="D865" s="1"/>
    </row>
    <row r="866" ht="15.75" customHeight="1">
      <c r="C866" s="1"/>
      <c r="D866" s="1"/>
    </row>
    <row r="867" ht="15.75" customHeight="1">
      <c r="C867" s="1"/>
      <c r="D867" s="1"/>
    </row>
    <row r="868" ht="15.75" customHeight="1">
      <c r="C868" s="1"/>
      <c r="D868" s="1"/>
    </row>
    <row r="869" ht="15.75" customHeight="1">
      <c r="C869" s="1"/>
      <c r="D869" s="1"/>
    </row>
    <row r="870" ht="15.75" customHeight="1">
      <c r="C870" s="1"/>
      <c r="D870" s="1"/>
    </row>
    <row r="871" ht="15.75" customHeight="1">
      <c r="C871" s="1"/>
      <c r="D871" s="1"/>
    </row>
    <row r="872" ht="15.75" customHeight="1">
      <c r="C872" s="1"/>
      <c r="D872" s="1"/>
    </row>
    <row r="873" ht="15.75" customHeight="1">
      <c r="C873" s="1"/>
      <c r="D873" s="1"/>
    </row>
    <row r="874" ht="15.75" customHeight="1">
      <c r="C874" s="1"/>
      <c r="D874" s="1"/>
    </row>
    <row r="875" ht="15.75" customHeight="1">
      <c r="C875" s="1"/>
      <c r="D875" s="1"/>
    </row>
    <row r="876" ht="15.75" customHeight="1">
      <c r="C876" s="1"/>
      <c r="D876" s="1"/>
    </row>
    <row r="877" ht="15.75" customHeight="1">
      <c r="C877" s="1"/>
      <c r="D877" s="1"/>
    </row>
    <row r="878" ht="15.75" customHeight="1">
      <c r="C878" s="1"/>
      <c r="D878" s="1"/>
    </row>
    <row r="879" ht="15.75" customHeight="1">
      <c r="C879" s="1"/>
      <c r="D879" s="1"/>
    </row>
    <row r="880" ht="15.75" customHeight="1">
      <c r="C880" s="1"/>
      <c r="D880" s="1"/>
    </row>
    <row r="881" ht="15.75" customHeight="1">
      <c r="C881" s="1"/>
      <c r="D881" s="1"/>
    </row>
    <row r="882" ht="15.75" customHeight="1">
      <c r="C882" s="1"/>
      <c r="D882" s="1"/>
    </row>
    <row r="883" ht="15.75" customHeight="1">
      <c r="C883" s="1"/>
      <c r="D883" s="1"/>
    </row>
    <row r="884" ht="15.75" customHeight="1">
      <c r="C884" s="1"/>
      <c r="D884" s="1"/>
    </row>
    <row r="885" ht="15.75" customHeight="1">
      <c r="C885" s="1"/>
      <c r="D885" s="1"/>
    </row>
    <row r="886" ht="15.75" customHeight="1">
      <c r="C886" s="1"/>
      <c r="D886" s="1"/>
    </row>
    <row r="887" ht="15.75" customHeight="1">
      <c r="C887" s="1"/>
      <c r="D887" s="1"/>
    </row>
    <row r="888" ht="15.75" customHeight="1">
      <c r="C888" s="1"/>
      <c r="D888" s="1"/>
    </row>
    <row r="889" ht="15.75" customHeight="1">
      <c r="C889" s="1"/>
      <c r="D889" s="1"/>
    </row>
    <row r="890" ht="15.75" customHeight="1">
      <c r="C890" s="1"/>
      <c r="D890" s="1"/>
    </row>
    <row r="891" ht="15.75" customHeight="1">
      <c r="C891" s="1"/>
      <c r="D891" s="1"/>
    </row>
    <row r="892" ht="15.75" customHeight="1">
      <c r="C892" s="1"/>
      <c r="D892" s="1"/>
    </row>
    <row r="893" ht="15.75" customHeight="1">
      <c r="C893" s="1"/>
      <c r="D893" s="1"/>
    </row>
    <row r="894" ht="15.75" customHeight="1">
      <c r="C894" s="1"/>
      <c r="D894" s="1"/>
    </row>
    <row r="895" ht="15.75" customHeight="1">
      <c r="C895" s="1"/>
      <c r="D895" s="1"/>
    </row>
    <row r="896" ht="15.75" customHeight="1">
      <c r="C896" s="1"/>
      <c r="D896" s="1"/>
    </row>
    <row r="897" ht="15.75" customHeight="1">
      <c r="C897" s="1"/>
      <c r="D897" s="1"/>
    </row>
    <row r="898" ht="15.75" customHeight="1">
      <c r="C898" s="1"/>
      <c r="D898" s="1"/>
    </row>
    <row r="899" ht="15.75" customHeight="1">
      <c r="C899" s="1"/>
      <c r="D899" s="1"/>
    </row>
    <row r="900" ht="15.75" customHeight="1">
      <c r="C900" s="1"/>
      <c r="D900" s="1"/>
    </row>
    <row r="901" ht="15.75" customHeight="1">
      <c r="C901" s="1"/>
      <c r="D901" s="1"/>
    </row>
    <row r="902" ht="15.75" customHeight="1">
      <c r="C902" s="1"/>
      <c r="D902" s="1"/>
    </row>
    <row r="903" ht="15.75" customHeight="1">
      <c r="C903" s="1"/>
      <c r="D903" s="1"/>
    </row>
    <row r="904" ht="15.75" customHeight="1">
      <c r="C904" s="1"/>
      <c r="D904" s="1"/>
    </row>
    <row r="905" ht="15.75" customHeight="1">
      <c r="C905" s="1"/>
      <c r="D905" s="1"/>
    </row>
    <row r="906" ht="15.75" customHeight="1">
      <c r="C906" s="1"/>
      <c r="D906" s="1"/>
    </row>
    <row r="907" ht="15.75" customHeight="1">
      <c r="C907" s="1"/>
      <c r="D907" s="1"/>
    </row>
    <row r="908" ht="15.75" customHeight="1">
      <c r="C908" s="1"/>
      <c r="D908" s="1"/>
    </row>
    <row r="909" ht="15.75" customHeight="1">
      <c r="C909" s="1"/>
      <c r="D909" s="1"/>
    </row>
    <row r="910" ht="15.75" customHeight="1">
      <c r="C910" s="1"/>
      <c r="D910" s="1"/>
    </row>
    <row r="911" ht="15.75" customHeight="1">
      <c r="C911" s="1"/>
      <c r="D911" s="1"/>
    </row>
    <row r="912" ht="15.75" customHeight="1">
      <c r="C912" s="1"/>
      <c r="D912" s="1"/>
    </row>
    <row r="913" ht="15.75" customHeight="1">
      <c r="C913" s="1"/>
      <c r="D913" s="1"/>
    </row>
    <row r="914" ht="15.75" customHeight="1">
      <c r="C914" s="1"/>
      <c r="D914" s="1"/>
    </row>
    <row r="915" ht="15.75" customHeight="1">
      <c r="C915" s="1"/>
      <c r="D915" s="1"/>
    </row>
    <row r="916" ht="15.75" customHeight="1">
      <c r="C916" s="1"/>
      <c r="D916" s="1"/>
    </row>
    <row r="917" ht="15.75" customHeight="1">
      <c r="C917" s="1"/>
      <c r="D917" s="1"/>
    </row>
    <row r="918" ht="15.75" customHeight="1">
      <c r="C918" s="1"/>
      <c r="D918" s="1"/>
    </row>
    <row r="919" ht="15.75" customHeight="1">
      <c r="C919" s="1"/>
      <c r="D919" s="1"/>
    </row>
    <row r="920" ht="15.75" customHeight="1">
      <c r="C920" s="1"/>
      <c r="D920" s="1"/>
    </row>
    <row r="921" ht="15.75" customHeight="1">
      <c r="C921" s="1"/>
      <c r="D921" s="1"/>
    </row>
    <row r="922" ht="15.75" customHeight="1">
      <c r="C922" s="1"/>
      <c r="D922" s="1"/>
    </row>
    <row r="923" ht="15.75" customHeight="1">
      <c r="C923" s="1"/>
      <c r="D923" s="1"/>
    </row>
    <row r="924" ht="15.75" customHeight="1">
      <c r="C924" s="1"/>
      <c r="D924" s="1"/>
    </row>
    <row r="925" ht="15.75" customHeight="1">
      <c r="C925" s="1"/>
      <c r="D925" s="1"/>
    </row>
    <row r="926" ht="15.75" customHeight="1">
      <c r="C926" s="1"/>
      <c r="D926" s="1"/>
    </row>
    <row r="927" ht="15.75" customHeight="1">
      <c r="C927" s="1"/>
      <c r="D927" s="1"/>
    </row>
    <row r="928" ht="15.75" customHeight="1">
      <c r="C928" s="1"/>
      <c r="D928" s="1"/>
    </row>
    <row r="929" ht="15.75" customHeight="1">
      <c r="C929" s="1"/>
      <c r="D929" s="1"/>
    </row>
    <row r="930" ht="15.75" customHeight="1">
      <c r="C930" s="1"/>
      <c r="D930" s="1"/>
    </row>
    <row r="931" ht="15.75" customHeight="1">
      <c r="C931" s="1"/>
      <c r="D931" s="1"/>
    </row>
    <row r="932" ht="15.75" customHeight="1">
      <c r="C932" s="1"/>
      <c r="D932" s="1"/>
    </row>
    <row r="933" ht="15.75" customHeight="1">
      <c r="C933" s="1"/>
      <c r="D933" s="1"/>
    </row>
    <row r="934" ht="15.75" customHeight="1">
      <c r="C934" s="1"/>
      <c r="D934" s="1"/>
    </row>
    <row r="935" ht="15.75" customHeight="1">
      <c r="C935" s="1"/>
      <c r="D935" s="1"/>
    </row>
    <row r="936" ht="15.75" customHeight="1">
      <c r="C936" s="1"/>
      <c r="D936" s="1"/>
    </row>
    <row r="937" ht="15.75" customHeight="1">
      <c r="C937" s="1"/>
      <c r="D937" s="1"/>
    </row>
    <row r="938" ht="15.75" customHeight="1">
      <c r="C938" s="1"/>
      <c r="D938" s="1"/>
    </row>
    <row r="939" ht="15.75" customHeight="1">
      <c r="C939" s="1"/>
      <c r="D939" s="1"/>
    </row>
    <row r="940" ht="15.75" customHeight="1">
      <c r="C940" s="1"/>
      <c r="D940" s="1"/>
    </row>
    <row r="941" ht="15.75" customHeight="1">
      <c r="C941" s="1"/>
      <c r="D941" s="1"/>
    </row>
    <row r="942" ht="15.75" customHeight="1">
      <c r="C942" s="1"/>
      <c r="D942" s="1"/>
    </row>
    <row r="943" ht="15.75" customHeight="1">
      <c r="C943" s="1"/>
      <c r="D943" s="1"/>
    </row>
    <row r="944" ht="15.75" customHeight="1">
      <c r="C944" s="1"/>
      <c r="D944" s="1"/>
    </row>
    <row r="945" ht="15.75" customHeight="1">
      <c r="C945" s="1"/>
      <c r="D945" s="1"/>
    </row>
    <row r="946" ht="15.75" customHeight="1">
      <c r="C946" s="1"/>
      <c r="D946" s="1"/>
    </row>
    <row r="947" ht="15.75" customHeight="1">
      <c r="C947" s="1"/>
      <c r="D947" s="1"/>
    </row>
    <row r="948" ht="15.75" customHeight="1">
      <c r="C948" s="1"/>
      <c r="D948" s="1"/>
    </row>
    <row r="949" ht="15.75" customHeight="1">
      <c r="C949" s="1"/>
      <c r="D949" s="1"/>
    </row>
    <row r="950" ht="15.75" customHeight="1">
      <c r="C950" s="1"/>
      <c r="D950" s="1"/>
    </row>
    <row r="951" ht="15.75" customHeight="1">
      <c r="C951" s="1"/>
      <c r="D951" s="1"/>
    </row>
    <row r="952" ht="15.75" customHeight="1">
      <c r="C952" s="1"/>
      <c r="D952" s="1"/>
    </row>
    <row r="953" ht="15.75" customHeight="1">
      <c r="C953" s="1"/>
      <c r="D953" s="1"/>
    </row>
    <row r="954" ht="15.75" customHeight="1">
      <c r="C954" s="1"/>
      <c r="D954" s="1"/>
    </row>
    <row r="955" ht="15.75" customHeight="1">
      <c r="C955" s="1"/>
      <c r="D955" s="1"/>
    </row>
    <row r="956" ht="15.75" customHeight="1">
      <c r="C956" s="1"/>
      <c r="D956" s="1"/>
    </row>
    <row r="957" ht="15.75" customHeight="1">
      <c r="C957" s="1"/>
      <c r="D957" s="1"/>
    </row>
    <row r="958" ht="15.75" customHeight="1">
      <c r="C958" s="1"/>
      <c r="D958" s="1"/>
    </row>
    <row r="959" ht="15.75" customHeight="1">
      <c r="C959" s="1"/>
      <c r="D959" s="1"/>
    </row>
    <row r="960" ht="15.75" customHeight="1">
      <c r="C960" s="1"/>
      <c r="D960" s="1"/>
    </row>
    <row r="961" ht="15.75" customHeight="1">
      <c r="C961" s="1"/>
      <c r="D961" s="1"/>
    </row>
    <row r="962" ht="15.75" customHeight="1">
      <c r="C962" s="1"/>
      <c r="D962" s="1"/>
    </row>
    <row r="963" ht="15.75" customHeight="1">
      <c r="C963" s="1"/>
      <c r="D963" s="1"/>
    </row>
    <row r="964" ht="15.75" customHeight="1">
      <c r="C964" s="1"/>
      <c r="D964" s="1"/>
    </row>
    <row r="965" ht="15.75" customHeight="1">
      <c r="C965" s="1"/>
      <c r="D965" s="1"/>
    </row>
    <row r="966" ht="15.75" customHeight="1">
      <c r="C966" s="1"/>
      <c r="D966" s="1"/>
    </row>
    <row r="967" ht="15.75" customHeight="1">
      <c r="C967" s="1"/>
      <c r="D967" s="1"/>
    </row>
    <row r="968" ht="15.75" customHeight="1">
      <c r="C968" s="1"/>
      <c r="D968" s="1"/>
    </row>
    <row r="969" ht="15.75" customHeight="1">
      <c r="C969" s="1"/>
      <c r="D969" s="1"/>
    </row>
    <row r="970" ht="15.75" customHeight="1">
      <c r="C970" s="1"/>
      <c r="D970" s="1"/>
    </row>
    <row r="971" ht="15.75" customHeight="1">
      <c r="C971" s="1"/>
      <c r="D971" s="1"/>
    </row>
    <row r="972" ht="15.75" customHeight="1">
      <c r="C972" s="1"/>
      <c r="D972" s="1"/>
    </row>
    <row r="973" ht="15.75" customHeight="1">
      <c r="C973" s="1"/>
      <c r="D973" s="1"/>
    </row>
    <row r="974" ht="15.75" customHeight="1">
      <c r="C974" s="1"/>
      <c r="D974" s="1"/>
    </row>
    <row r="975" ht="15.75" customHeight="1">
      <c r="C975" s="1"/>
      <c r="D975" s="1"/>
    </row>
    <row r="976" ht="15.75" customHeight="1">
      <c r="C976" s="1"/>
      <c r="D976" s="1"/>
    </row>
    <row r="977" ht="15.75" customHeight="1">
      <c r="C977" s="1"/>
      <c r="D977" s="1"/>
    </row>
    <row r="978" ht="15.75" customHeight="1">
      <c r="C978" s="1"/>
      <c r="D978" s="1"/>
    </row>
    <row r="979" ht="15.75" customHeight="1">
      <c r="C979" s="1"/>
      <c r="D979" s="1"/>
    </row>
    <row r="980" ht="15.75" customHeight="1">
      <c r="C980" s="1"/>
      <c r="D980" s="1"/>
    </row>
    <row r="981" ht="15.75" customHeight="1">
      <c r="C981" s="1"/>
      <c r="D981" s="1"/>
    </row>
    <row r="982" ht="15.75" customHeight="1">
      <c r="C982" s="1"/>
      <c r="D982" s="1"/>
    </row>
    <row r="983" ht="15.75" customHeight="1">
      <c r="C983" s="1"/>
      <c r="D983" s="1"/>
    </row>
    <row r="984" ht="15.75" customHeight="1">
      <c r="C984" s="1"/>
      <c r="D984" s="1"/>
    </row>
    <row r="985" ht="15.75" customHeight="1">
      <c r="C985" s="1"/>
      <c r="D985" s="1"/>
    </row>
    <row r="986" ht="15.75" customHeight="1">
      <c r="C986" s="1"/>
      <c r="D986" s="1"/>
    </row>
    <row r="987" ht="15.75" customHeight="1">
      <c r="C987" s="1"/>
      <c r="D987" s="1"/>
    </row>
    <row r="988" ht="15.75" customHeight="1">
      <c r="C988" s="1"/>
      <c r="D988" s="1"/>
    </row>
    <row r="989" ht="15.75" customHeight="1">
      <c r="C989" s="1"/>
      <c r="D989" s="1"/>
    </row>
    <row r="990" ht="15.75" customHeight="1">
      <c r="C990" s="1"/>
      <c r="D990" s="1"/>
    </row>
    <row r="991" ht="15.75" customHeight="1">
      <c r="C991" s="1"/>
      <c r="D991" s="1"/>
    </row>
    <row r="992" ht="15.75" customHeight="1">
      <c r="C992" s="1"/>
      <c r="D992" s="1"/>
    </row>
    <row r="993" ht="15.75" customHeight="1">
      <c r="C993" s="1"/>
      <c r="D993" s="1"/>
    </row>
    <row r="994" ht="15.75" customHeight="1">
      <c r="C994" s="1"/>
      <c r="D994" s="1"/>
    </row>
    <row r="995" ht="15.75" customHeight="1">
      <c r="C995" s="1"/>
      <c r="D995" s="1"/>
    </row>
    <row r="996" ht="15.75" customHeight="1">
      <c r="C996" s="1"/>
      <c r="D996" s="1"/>
    </row>
    <row r="997" ht="15.75" customHeight="1">
      <c r="C997" s="1"/>
      <c r="D997" s="1"/>
    </row>
    <row r="998" ht="15.75" customHeight="1">
      <c r="C998" s="1"/>
      <c r="D998" s="1"/>
    </row>
    <row r="999" ht="15.75" customHeight="1">
      <c r="C999" s="1"/>
      <c r="D999" s="1"/>
    </row>
  </sheetData>
  <mergeCells count="4">
    <mergeCell ref="H12:I12"/>
    <mergeCell ref="E33:E34"/>
    <mergeCell ref="H47:I47"/>
    <mergeCell ref="E49:E50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4" width="11.29"/>
    <col customWidth="1" min="5" max="5" width="37.86"/>
    <col customWidth="1" min="6" max="6" width="10.57"/>
    <col customWidth="1" min="7" max="7" width="9.43"/>
    <col customWidth="1" min="8" max="8" width="17.57"/>
    <col customWidth="1" min="9" max="9" width="9.71"/>
    <col customWidth="1" min="10" max="10" width="12.43"/>
    <col customWidth="1" min="11" max="11" width="6.29"/>
    <col customWidth="1" min="12" max="12" width="7.86"/>
    <col customWidth="1" min="13" max="13" width="7.57"/>
    <col customWidth="1" min="14" max="17" width="8.71"/>
    <col customWidth="1" min="18" max="18" width="12.0"/>
    <col customWidth="1" min="19" max="19" width="12.29"/>
    <col customWidth="1" min="20" max="26" width="8.71"/>
  </cols>
  <sheetData>
    <row r="1">
      <c r="W1" s="26" t="s">
        <v>101</v>
      </c>
    </row>
    <row r="2">
      <c r="C2" s="1"/>
      <c r="D2" s="1"/>
      <c r="W2" s="62">
        <v>45896.0</v>
      </c>
      <c r="X2" s="63">
        <v>20000.0</v>
      </c>
      <c r="Y2" s="33" t="s">
        <v>102</v>
      </c>
    </row>
    <row r="3">
      <c r="C3" s="2" t="s">
        <v>0</v>
      </c>
      <c r="D3" s="2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/>
      <c r="J3" s="3"/>
      <c r="K3" s="3" t="s">
        <v>14</v>
      </c>
      <c r="L3" s="3" t="s">
        <v>15</v>
      </c>
      <c r="M3" s="3" t="s">
        <v>16</v>
      </c>
      <c r="W3" s="62">
        <v>45917.0</v>
      </c>
      <c r="X3" s="63">
        <v>35000.0</v>
      </c>
      <c r="Y3" s="33" t="s">
        <v>102</v>
      </c>
    </row>
    <row r="4">
      <c r="C4" s="22">
        <v>46041.0</v>
      </c>
      <c r="D4" s="22">
        <v>46051.0</v>
      </c>
      <c r="E4" s="6" t="s">
        <v>103</v>
      </c>
      <c r="F4" s="23">
        <v>7541.6</v>
      </c>
      <c r="G4" s="23">
        <v>7600.0</v>
      </c>
      <c r="H4" s="7">
        <f t="shared" ref="H4:H9" si="1">G4-F4</f>
        <v>58.4</v>
      </c>
      <c r="I4" s="21">
        <v>380.0</v>
      </c>
      <c r="J4" s="8">
        <f t="shared" ref="J4:J5" si="2">H4*I4</f>
        <v>22192</v>
      </c>
      <c r="K4" s="7"/>
      <c r="L4" s="7"/>
      <c r="M4" s="14">
        <f>K4*L4</f>
        <v>0</v>
      </c>
      <c r="W4" s="64"/>
      <c r="X4" s="63">
        <v>50000.0</v>
      </c>
      <c r="Y4" s="33" t="s">
        <v>104</v>
      </c>
      <c r="Z4" s="26" t="s">
        <v>105</v>
      </c>
    </row>
    <row r="5">
      <c r="C5" s="22">
        <v>46055.0</v>
      </c>
      <c r="D5" s="22">
        <v>46069.0</v>
      </c>
      <c r="E5" s="6" t="s">
        <v>106</v>
      </c>
      <c r="F5" s="23">
        <v>7600.0</v>
      </c>
      <c r="G5" s="23">
        <v>7673.3</v>
      </c>
      <c r="H5" s="7">
        <f t="shared" si="1"/>
        <v>73.3</v>
      </c>
      <c r="I5" s="24">
        <v>380.0</v>
      </c>
      <c r="J5" s="8">
        <f t="shared" si="2"/>
        <v>27854</v>
      </c>
      <c r="K5" s="7"/>
      <c r="L5" s="7"/>
      <c r="M5" s="14"/>
      <c r="W5" s="64"/>
      <c r="X5" s="63">
        <v>50000.0</v>
      </c>
      <c r="Y5" s="33" t="s">
        <v>107</v>
      </c>
    </row>
    <row r="6">
      <c r="C6" s="5"/>
      <c r="D6" s="5"/>
      <c r="E6" s="6" t="s">
        <v>108</v>
      </c>
      <c r="F6" s="7">
        <v>0.0</v>
      </c>
      <c r="G6" s="7"/>
      <c r="H6" s="7">
        <f t="shared" si="1"/>
        <v>0</v>
      </c>
      <c r="I6" s="7"/>
      <c r="J6" s="21">
        <v>20000.0</v>
      </c>
      <c r="K6" s="7"/>
      <c r="L6" s="7"/>
      <c r="M6" s="14"/>
      <c r="W6" s="64"/>
      <c r="X6" s="63">
        <v>50000.0</v>
      </c>
      <c r="Y6" s="33" t="s">
        <v>107</v>
      </c>
    </row>
    <row r="7">
      <c r="C7" s="5"/>
      <c r="D7" s="5"/>
      <c r="E7" s="9"/>
      <c r="F7" s="7">
        <v>0.0</v>
      </c>
      <c r="G7" s="7"/>
      <c r="H7" s="7">
        <f t="shared" si="1"/>
        <v>0</v>
      </c>
      <c r="I7" s="7"/>
      <c r="J7" s="8">
        <f t="shared" ref="J7:J9" si="3">H7*I7</f>
        <v>0</v>
      </c>
      <c r="K7" s="7"/>
      <c r="L7" s="7"/>
      <c r="M7" s="14"/>
      <c r="W7" s="64"/>
      <c r="X7" s="63">
        <v>5000.0</v>
      </c>
      <c r="Y7" s="65"/>
    </row>
    <row r="8">
      <c r="C8" s="5"/>
      <c r="D8" s="5"/>
      <c r="E8" s="9"/>
      <c r="F8" s="7">
        <v>0.0</v>
      </c>
      <c r="G8" s="7"/>
      <c r="H8" s="7">
        <f t="shared" si="1"/>
        <v>0</v>
      </c>
      <c r="I8" s="7"/>
      <c r="J8" s="8">
        <f t="shared" si="3"/>
        <v>0</v>
      </c>
      <c r="K8" s="7"/>
      <c r="L8" s="7"/>
      <c r="M8" s="14"/>
      <c r="W8" s="64"/>
      <c r="X8" s="66"/>
      <c r="Y8" s="65"/>
    </row>
    <row r="9">
      <c r="C9" s="5"/>
      <c r="D9" s="5"/>
      <c r="E9" s="9"/>
      <c r="F9" s="7">
        <v>0.0</v>
      </c>
      <c r="G9" s="7"/>
      <c r="H9" s="7">
        <f t="shared" si="1"/>
        <v>0</v>
      </c>
      <c r="I9" s="7"/>
      <c r="J9" s="8">
        <f t="shared" si="3"/>
        <v>0</v>
      </c>
      <c r="K9" s="7"/>
      <c r="L9" s="7"/>
      <c r="M9" s="14"/>
    </row>
    <row r="10">
      <c r="C10" s="1"/>
      <c r="D10" s="1"/>
      <c r="I10" s="15" t="s">
        <v>11</v>
      </c>
      <c r="J10" s="11">
        <f>SUM(J4+J5-J6)</f>
        <v>30046</v>
      </c>
      <c r="M10" s="16">
        <f>SUM(M4:M9)</f>
        <v>0</v>
      </c>
    </row>
    <row r="11">
      <c r="C11" s="1"/>
      <c r="D11" s="1"/>
    </row>
    <row r="12">
      <c r="C12" s="1"/>
      <c r="D12" s="1"/>
      <c r="H12" s="17" t="s">
        <v>18</v>
      </c>
      <c r="I12" s="18"/>
      <c r="J12" s="19">
        <f>J10-M10</f>
        <v>30046</v>
      </c>
    </row>
    <row r="13">
      <c r="C13" s="1"/>
      <c r="D13" s="1"/>
    </row>
    <row r="14">
      <c r="C14" s="1"/>
      <c r="D14" s="1"/>
      <c r="E14" s="20" t="s">
        <v>12</v>
      </c>
    </row>
    <row r="15">
      <c r="C15" s="1"/>
      <c r="D15" s="1"/>
      <c r="E15" s="13"/>
    </row>
    <row r="16">
      <c r="C16" s="1"/>
      <c r="D16" s="1"/>
    </row>
    <row r="21" ht="15.75" customHeight="1">
      <c r="C21" s="1"/>
      <c r="D21" s="1"/>
    </row>
    <row r="22" ht="15.75" customHeight="1">
      <c r="C22" s="2" t="s">
        <v>0</v>
      </c>
      <c r="D22" s="2" t="s">
        <v>1</v>
      </c>
      <c r="E22" s="3" t="s">
        <v>2</v>
      </c>
      <c r="F22" s="3" t="s">
        <v>3</v>
      </c>
      <c r="G22" s="3" t="s">
        <v>4</v>
      </c>
      <c r="H22" s="3" t="s">
        <v>5</v>
      </c>
      <c r="I22" s="3"/>
      <c r="J22" s="3"/>
      <c r="K22" s="3" t="s">
        <v>14</v>
      </c>
      <c r="L22" s="3" t="s">
        <v>15</v>
      </c>
      <c r="M22" s="3" t="s">
        <v>16</v>
      </c>
    </row>
    <row r="23" ht="15.75" customHeight="1">
      <c r="C23" s="22">
        <v>46043.0</v>
      </c>
      <c r="D23" s="22">
        <v>46067.0</v>
      </c>
      <c r="E23" s="6" t="s">
        <v>109</v>
      </c>
      <c r="F23" s="23"/>
      <c r="G23" s="23"/>
      <c r="H23" s="23">
        <v>32.01</v>
      </c>
      <c r="I23" s="21">
        <v>187.5</v>
      </c>
      <c r="J23" s="8">
        <f t="shared" ref="J23:J28" si="4">H23*I23</f>
        <v>6001.875</v>
      </c>
      <c r="K23" s="23">
        <v>190.0</v>
      </c>
      <c r="L23" s="7"/>
      <c r="M23" s="14">
        <f>K23*L23</f>
        <v>0</v>
      </c>
    </row>
    <row r="24" ht="15.75" customHeight="1">
      <c r="C24" s="5"/>
      <c r="D24" s="5"/>
      <c r="E24" s="6" t="s">
        <v>110</v>
      </c>
      <c r="F24" s="7"/>
      <c r="G24" s="7"/>
      <c r="H24" s="23">
        <v>3.0</v>
      </c>
      <c r="I24" s="7"/>
      <c r="J24" s="8">
        <f t="shared" si="4"/>
        <v>0</v>
      </c>
      <c r="K24" s="7"/>
      <c r="L24" s="7"/>
      <c r="M24" s="14"/>
    </row>
    <row r="25" ht="15.75" customHeight="1">
      <c r="C25" s="5"/>
      <c r="D25" s="5"/>
      <c r="E25" s="6" t="s">
        <v>111</v>
      </c>
      <c r="F25" s="7">
        <v>0.0</v>
      </c>
      <c r="G25" s="7"/>
      <c r="H25" s="7">
        <f t="shared" ref="H25:H28" si="5">G25-F25</f>
        <v>0</v>
      </c>
      <c r="I25" s="7"/>
      <c r="J25" s="8">
        <f t="shared" si="4"/>
        <v>0</v>
      </c>
      <c r="K25" s="7"/>
      <c r="L25" s="7"/>
      <c r="M25" s="14"/>
    </row>
    <row r="26" ht="15.75" customHeight="1">
      <c r="C26" s="5"/>
      <c r="D26" s="5"/>
      <c r="E26" s="9"/>
      <c r="F26" s="7">
        <v>0.0</v>
      </c>
      <c r="G26" s="7"/>
      <c r="H26" s="7">
        <f t="shared" si="5"/>
        <v>0</v>
      </c>
      <c r="I26" s="7"/>
      <c r="J26" s="8">
        <f t="shared" si="4"/>
        <v>0</v>
      </c>
      <c r="K26" s="7"/>
      <c r="L26" s="7"/>
      <c r="M26" s="14"/>
    </row>
    <row r="27" ht="15.75" customHeight="1">
      <c r="C27" s="5"/>
      <c r="D27" s="5"/>
      <c r="E27" s="9"/>
      <c r="F27" s="7">
        <v>0.0</v>
      </c>
      <c r="G27" s="7"/>
      <c r="H27" s="7">
        <f t="shared" si="5"/>
        <v>0</v>
      </c>
      <c r="I27" s="7"/>
      <c r="J27" s="8">
        <f t="shared" si="4"/>
        <v>0</v>
      </c>
      <c r="K27" s="7"/>
      <c r="L27" s="7"/>
      <c r="M27" s="14"/>
    </row>
    <row r="28" ht="15.75" customHeight="1">
      <c r="C28" s="5"/>
      <c r="D28" s="5"/>
      <c r="E28" s="9"/>
      <c r="F28" s="7">
        <v>0.0</v>
      </c>
      <c r="G28" s="7"/>
      <c r="H28" s="7">
        <f t="shared" si="5"/>
        <v>0</v>
      </c>
      <c r="I28" s="7"/>
      <c r="J28" s="8">
        <f t="shared" si="4"/>
        <v>0</v>
      </c>
      <c r="K28" s="7"/>
      <c r="L28" s="7"/>
      <c r="M28" s="14"/>
    </row>
    <row r="29" ht="15.75" customHeight="1">
      <c r="C29" s="1"/>
      <c r="D29" s="1"/>
      <c r="I29" s="15" t="s">
        <v>11</v>
      </c>
      <c r="J29" s="11">
        <f>SUM(J23:J28)</f>
        <v>6001.875</v>
      </c>
      <c r="M29" s="16">
        <f>SUM(M23:M28)</f>
        <v>0</v>
      </c>
    </row>
    <row r="30" ht="15.75" customHeight="1">
      <c r="C30" s="1"/>
      <c r="D30" s="1"/>
    </row>
    <row r="31" ht="15.75" customHeight="1">
      <c r="C31" s="1"/>
      <c r="D31" s="1"/>
      <c r="H31" s="17" t="s">
        <v>18</v>
      </c>
      <c r="I31" s="18"/>
      <c r="J31" s="19">
        <f>J29-M29</f>
        <v>6001.875</v>
      </c>
    </row>
    <row r="32" ht="15.75" customHeight="1">
      <c r="C32" s="1"/>
      <c r="D32" s="1"/>
    </row>
    <row r="33" ht="15.75" customHeight="1">
      <c r="C33" s="1"/>
      <c r="D33" s="1"/>
      <c r="E33" s="20" t="s">
        <v>12</v>
      </c>
    </row>
    <row r="34" ht="15.75" customHeight="1">
      <c r="C34" s="1"/>
      <c r="D34" s="1"/>
      <c r="E34" s="13"/>
    </row>
    <row r="35" ht="15.75" customHeight="1">
      <c r="C35" s="1"/>
      <c r="D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2:I12"/>
    <mergeCell ref="E14:E15"/>
    <mergeCell ref="H31:I31"/>
    <mergeCell ref="E33:E34"/>
  </mergeCells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4" width="11.29"/>
    <col customWidth="1" min="5" max="5" width="37.86"/>
    <col customWidth="1" min="6" max="6" width="10.57"/>
    <col customWidth="1" min="7" max="7" width="9.43"/>
    <col customWidth="1" min="8" max="8" width="17.57"/>
    <col customWidth="1" min="9" max="9" width="9.71"/>
    <col customWidth="1" min="10" max="10" width="12.43"/>
    <col customWidth="1" min="11" max="11" width="6.29"/>
    <col customWidth="1" min="12" max="12" width="7.86"/>
    <col customWidth="1" min="13" max="13" width="11.29"/>
    <col customWidth="1" min="14" max="25" width="8.71"/>
  </cols>
  <sheetData>
    <row r="2">
      <c r="C2" s="1"/>
      <c r="D2" s="1"/>
    </row>
    <row r="3">
      <c r="C3" s="1"/>
      <c r="D3" s="1"/>
    </row>
    <row r="4">
      <c r="C4" s="38" t="s">
        <v>112</v>
      </c>
      <c r="D4" s="38" t="s">
        <v>113</v>
      </c>
      <c r="E4" s="38" t="s">
        <v>114</v>
      </c>
      <c r="F4" s="38" t="s">
        <v>115</v>
      </c>
      <c r="G4" s="38" t="s">
        <v>116</v>
      </c>
      <c r="H4" s="38" t="s">
        <v>117</v>
      </c>
      <c r="I4" s="38" t="s">
        <v>118</v>
      </c>
      <c r="J4" s="3"/>
      <c r="K4" s="3" t="s">
        <v>14</v>
      </c>
      <c r="L4" s="3" t="s">
        <v>15</v>
      </c>
      <c r="M4" s="3" t="s">
        <v>16</v>
      </c>
    </row>
    <row r="5">
      <c r="C5" s="22">
        <v>46018.0</v>
      </c>
      <c r="D5" s="6" t="s">
        <v>119</v>
      </c>
      <c r="E5" s="6" t="s">
        <v>120</v>
      </c>
      <c r="F5" s="23">
        <v>956292.6</v>
      </c>
      <c r="G5" s="23">
        <v>956463.8</v>
      </c>
      <c r="H5" s="7">
        <f t="shared" ref="H5:H10" si="1">G5-F5</f>
        <v>171.2</v>
      </c>
      <c r="I5" s="21">
        <v>15.0</v>
      </c>
      <c r="J5" s="8">
        <f t="shared" ref="J5:J10" si="2">H5*I5</f>
        <v>2568</v>
      </c>
      <c r="K5" s="7"/>
      <c r="L5" s="7"/>
      <c r="M5" s="14">
        <f>K5*L5</f>
        <v>0</v>
      </c>
    </row>
    <row r="6">
      <c r="C6" s="5"/>
      <c r="D6" s="5"/>
      <c r="E6" s="6" t="s">
        <v>121</v>
      </c>
      <c r="F6" s="7">
        <v>0.0</v>
      </c>
      <c r="G6" s="7"/>
      <c r="H6" s="7">
        <f t="shared" si="1"/>
        <v>0</v>
      </c>
      <c r="I6" s="7"/>
      <c r="J6" s="8">
        <f t="shared" si="2"/>
        <v>0</v>
      </c>
      <c r="K6" s="7"/>
      <c r="L6" s="7"/>
      <c r="M6" s="14"/>
    </row>
    <row r="7">
      <c r="C7" s="5"/>
      <c r="D7" s="5"/>
      <c r="E7" s="6"/>
      <c r="F7" s="7">
        <v>0.0</v>
      </c>
      <c r="G7" s="7"/>
      <c r="H7" s="7">
        <f t="shared" si="1"/>
        <v>0</v>
      </c>
      <c r="I7" s="7"/>
      <c r="J7" s="8">
        <f t="shared" si="2"/>
        <v>0</v>
      </c>
      <c r="K7" s="7"/>
      <c r="L7" s="7"/>
      <c r="M7" s="14"/>
    </row>
    <row r="8">
      <c r="C8" s="5"/>
      <c r="D8" s="5"/>
      <c r="E8" s="9"/>
      <c r="F8" s="7">
        <v>0.0</v>
      </c>
      <c r="G8" s="7"/>
      <c r="H8" s="7">
        <f t="shared" si="1"/>
        <v>0</v>
      </c>
      <c r="I8" s="7"/>
      <c r="J8" s="8">
        <f t="shared" si="2"/>
        <v>0</v>
      </c>
      <c r="K8" s="7"/>
      <c r="L8" s="7"/>
      <c r="M8" s="14"/>
    </row>
    <row r="9">
      <c r="C9" s="5"/>
      <c r="D9" s="5"/>
      <c r="E9" s="9"/>
      <c r="F9" s="7">
        <v>0.0</v>
      </c>
      <c r="G9" s="7"/>
      <c r="H9" s="7">
        <f t="shared" si="1"/>
        <v>0</v>
      </c>
      <c r="I9" s="7"/>
      <c r="J9" s="8">
        <f t="shared" si="2"/>
        <v>0</v>
      </c>
      <c r="K9" s="7"/>
      <c r="L9" s="7"/>
      <c r="M9" s="14"/>
    </row>
    <row r="10">
      <c r="C10" s="5"/>
      <c r="D10" s="5"/>
      <c r="E10" s="9"/>
      <c r="F10" s="7">
        <v>0.0</v>
      </c>
      <c r="G10" s="7"/>
      <c r="H10" s="7">
        <f t="shared" si="1"/>
        <v>0</v>
      </c>
      <c r="I10" s="7"/>
      <c r="J10" s="8">
        <f t="shared" si="2"/>
        <v>0</v>
      </c>
      <c r="K10" s="7"/>
      <c r="L10" s="7"/>
      <c r="M10" s="14"/>
    </row>
    <row r="11">
      <c r="C11" s="1"/>
      <c r="D11" s="1"/>
      <c r="I11" s="15" t="s">
        <v>11</v>
      </c>
      <c r="J11" s="11">
        <f>SUM(J5:J10)</f>
        <v>2568</v>
      </c>
      <c r="M11" s="16">
        <f>SUM(M5:M10)</f>
        <v>0</v>
      </c>
    </row>
    <row r="12">
      <c r="C12" s="1"/>
      <c r="D12" s="1"/>
    </row>
    <row r="13">
      <c r="C13" s="1"/>
      <c r="D13" s="1"/>
      <c r="H13" s="17" t="s">
        <v>18</v>
      </c>
      <c r="I13" s="18"/>
      <c r="J13" s="19">
        <f>J11-M11</f>
        <v>2568</v>
      </c>
    </row>
    <row r="14">
      <c r="C14" s="1"/>
      <c r="D14" s="1"/>
    </row>
    <row r="15">
      <c r="C15" s="1"/>
      <c r="D15" s="1"/>
      <c r="E15" s="12" t="s">
        <v>12</v>
      </c>
    </row>
    <row r="16">
      <c r="C16" s="1"/>
      <c r="D16" s="1"/>
      <c r="E16" s="13"/>
    </row>
    <row r="19" ht="15.75" customHeight="1"/>
    <row r="20" ht="15.75" customHeight="1"/>
    <row r="21" ht="15.75" customHeight="1"/>
    <row r="22" ht="15.75" customHeight="1"/>
    <row r="23" ht="15.75" customHeight="1">
      <c r="C23" s="1"/>
      <c r="D23" s="1"/>
    </row>
    <row r="24" ht="15.75" customHeight="1">
      <c r="C24" s="1"/>
      <c r="D24" s="1"/>
    </row>
    <row r="25" ht="15.75" customHeight="1">
      <c r="C25" s="38" t="s">
        <v>112</v>
      </c>
      <c r="D25" s="38" t="s">
        <v>113</v>
      </c>
      <c r="E25" s="38" t="s">
        <v>114</v>
      </c>
      <c r="F25" s="38" t="s">
        <v>115</v>
      </c>
      <c r="G25" s="38" t="s">
        <v>116</v>
      </c>
      <c r="H25" s="38" t="s">
        <v>117</v>
      </c>
      <c r="I25" s="38" t="s">
        <v>118</v>
      </c>
      <c r="J25" s="3"/>
      <c r="K25" s="3" t="s">
        <v>14</v>
      </c>
      <c r="L25" s="3" t="s">
        <v>15</v>
      </c>
      <c r="M25" s="3" t="s">
        <v>16</v>
      </c>
    </row>
    <row r="26" ht="15.75" customHeight="1">
      <c r="C26" s="22">
        <v>45989.0</v>
      </c>
      <c r="D26" s="23" t="s">
        <v>122</v>
      </c>
      <c r="E26" s="6" t="s">
        <v>123</v>
      </c>
      <c r="F26" s="23">
        <v>952442.0</v>
      </c>
      <c r="G26" s="23">
        <v>952610.3</v>
      </c>
      <c r="H26" s="7">
        <f t="shared" ref="H26:H31" si="3">G26-F26</f>
        <v>168.3</v>
      </c>
      <c r="I26" s="21">
        <v>15.0</v>
      </c>
      <c r="J26" s="8">
        <f t="shared" ref="J26:J31" si="4">H26*I26</f>
        <v>2524.5</v>
      </c>
      <c r="K26" s="7"/>
      <c r="L26" s="7"/>
      <c r="M26" s="14">
        <f>K26*L26</f>
        <v>0</v>
      </c>
    </row>
    <row r="27" ht="15.75" customHeight="1">
      <c r="C27" s="5"/>
      <c r="D27" s="5"/>
      <c r="E27" s="6" t="s">
        <v>124</v>
      </c>
      <c r="F27" s="7">
        <v>0.0</v>
      </c>
      <c r="G27" s="7"/>
      <c r="H27" s="7">
        <f t="shared" si="3"/>
        <v>0</v>
      </c>
      <c r="I27" s="7"/>
      <c r="J27" s="8">
        <f t="shared" si="4"/>
        <v>0</v>
      </c>
      <c r="K27" s="7"/>
      <c r="L27" s="7"/>
      <c r="M27" s="14"/>
    </row>
    <row r="28" ht="15.75" customHeight="1">
      <c r="C28" s="5"/>
      <c r="D28" s="5"/>
      <c r="E28" s="6"/>
      <c r="F28" s="7">
        <v>0.0</v>
      </c>
      <c r="G28" s="7"/>
      <c r="H28" s="7">
        <f t="shared" si="3"/>
        <v>0</v>
      </c>
      <c r="I28" s="7"/>
      <c r="J28" s="8">
        <f t="shared" si="4"/>
        <v>0</v>
      </c>
      <c r="K28" s="7"/>
      <c r="L28" s="7"/>
      <c r="M28" s="14"/>
    </row>
    <row r="29" ht="15.75" customHeight="1">
      <c r="C29" s="5"/>
      <c r="D29" s="5"/>
      <c r="E29" s="9"/>
      <c r="F29" s="7">
        <v>0.0</v>
      </c>
      <c r="G29" s="7"/>
      <c r="H29" s="7">
        <f t="shared" si="3"/>
        <v>0</v>
      </c>
      <c r="I29" s="7"/>
      <c r="J29" s="8">
        <f t="shared" si="4"/>
        <v>0</v>
      </c>
      <c r="K29" s="7"/>
      <c r="L29" s="7"/>
      <c r="M29" s="14"/>
    </row>
    <row r="30" ht="15.75" customHeight="1">
      <c r="C30" s="5"/>
      <c r="D30" s="5"/>
      <c r="E30" s="9"/>
      <c r="F30" s="7">
        <v>0.0</v>
      </c>
      <c r="G30" s="7"/>
      <c r="H30" s="7">
        <f t="shared" si="3"/>
        <v>0</v>
      </c>
      <c r="I30" s="7"/>
      <c r="J30" s="8">
        <f t="shared" si="4"/>
        <v>0</v>
      </c>
      <c r="K30" s="7"/>
      <c r="L30" s="7"/>
      <c r="M30" s="14"/>
    </row>
    <row r="31" ht="15.75" customHeight="1">
      <c r="C31" s="5"/>
      <c r="D31" s="5"/>
      <c r="E31" s="9"/>
      <c r="F31" s="7">
        <v>0.0</v>
      </c>
      <c r="G31" s="7"/>
      <c r="H31" s="7">
        <f t="shared" si="3"/>
        <v>0</v>
      </c>
      <c r="I31" s="7"/>
      <c r="J31" s="8">
        <f t="shared" si="4"/>
        <v>0</v>
      </c>
      <c r="K31" s="7"/>
      <c r="L31" s="7"/>
      <c r="M31" s="14"/>
    </row>
    <row r="32" ht="15.75" customHeight="1">
      <c r="C32" s="1"/>
      <c r="D32" s="1"/>
      <c r="I32" s="15" t="s">
        <v>11</v>
      </c>
      <c r="J32" s="11">
        <f>SUM(J26:J31)</f>
        <v>2524.5</v>
      </c>
      <c r="M32" s="16">
        <f>SUM(M26:M31)</f>
        <v>0</v>
      </c>
    </row>
    <row r="33" ht="15.75" customHeight="1">
      <c r="C33" s="1"/>
      <c r="D33" s="1"/>
    </row>
    <row r="34" ht="15.75" customHeight="1">
      <c r="C34" s="1"/>
      <c r="D34" s="1"/>
      <c r="H34" s="17" t="s">
        <v>18</v>
      </c>
      <c r="I34" s="18"/>
      <c r="J34" s="19">
        <f>J32-M32</f>
        <v>2524.5</v>
      </c>
    </row>
    <row r="35" ht="15.75" customHeight="1">
      <c r="C35" s="1"/>
      <c r="D35" s="1"/>
    </row>
    <row r="36" ht="15.75" customHeight="1">
      <c r="C36" s="1"/>
      <c r="D36" s="1"/>
      <c r="E36" s="12" t="s">
        <v>12</v>
      </c>
    </row>
    <row r="37" ht="15.75" customHeight="1">
      <c r="C37" s="1"/>
      <c r="D37" s="1"/>
      <c r="E37" s="1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H13:I13"/>
    <mergeCell ref="E15:E16"/>
    <mergeCell ref="H34:I34"/>
    <mergeCell ref="E36:E37"/>
  </mergeCells>
  <conditionalFormatting sqref="B14 B35">
    <cfRule type="notContainsBlanks" dxfId="0" priority="1">
      <formula>LEN(TRIM(B14))&gt;0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2025-10-29T13:41:43Z</dcterms:created>
  <dc:creator>Felipe Amadeu</dc:creator>
</cp:coreProperties>
</file>