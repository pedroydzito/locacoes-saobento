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0 NOVA ESCAV" sheetId="1" r:id="rId4"/>
    <sheet state="visible" name="220 ANTIGA  ESCAV" sheetId="2" r:id="rId5"/>
    <sheet state="visible" name="SANNY" sheetId="3" r:id="rId6"/>
    <sheet state="visible" name="700J novo A" sheetId="4" r:id="rId7"/>
    <sheet state="visible" name="700J Nova " sheetId="5" r:id="rId8"/>
    <sheet state="visible" name="Caminhão 2544" sheetId="6" r:id="rId9"/>
    <sheet state="visible" name="Caminhão 1513" sheetId="7" r:id="rId10"/>
    <sheet state="visible" name="12B Pá Carregadeira " sheetId="8" r:id="rId11"/>
    <sheet state="visible" name="Trator 7D1" sheetId="9" r:id="rId12"/>
    <sheet state="visible" name="MAQ DO JOÃO" sheetId="10" r:id="rId13"/>
    <sheet state="visible" name="STRADA PRETA " sheetId="11" r:id="rId14"/>
    <sheet state="visible" name="STRADA BRANCA " sheetId="12" r:id="rId15"/>
    <sheet state="visible" name="Moto " sheetId="13" r:id="rId16"/>
    <sheet state="visible" name="D150" sheetId="14" r:id="rId17"/>
  </sheets>
  <externalReferences>
    <externalReference r:id="rId18"/>
  </externalReferences>
  <definedNames>
    <definedName hidden="1" localSheetId="0" name="_xlnm._FilterDatabase">'220 NOVA ESCAV'!$A$6:$AB$201</definedName>
    <definedName hidden="1" localSheetId="1" name="_xlnm._FilterDatabase">'220 ANTIGA  ESCAV'!$A$6:$Z$134</definedName>
    <definedName hidden="1" localSheetId="2" name="_xlnm._FilterDatabase">SANNY!$A$26:$N$367</definedName>
    <definedName hidden="1" localSheetId="4" name="_xlnm._FilterDatabase">'700J Nova '!$A$6:$Z$109</definedName>
  </definedNames>
  <calcPr/>
  <extLst>
    <ext uri="GoogleSheetsCustomDataVersion2">
      <go:sheetsCustomData xmlns:go="http://customooxmlschemas.google.com/" r:id="rId19" roundtripDataChecksum="2RtQRa7xYKXta8gjJkk1UAfLdbdiff8DXHqItiplnD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ID#AAABuof89iY
Livia    (2023-08-30 16:24:55)
A data do lançamento é a data que a informação esta sendo imputada na planilha.</t>
      </text>
    </comment>
    <comment authorId="0" ref="J6">
      <text>
        <t xml:space="preserve">======
ID#AAABuof89jI
Livia    (2023-08-30 16:24:55)
Total de horas trabalhadas</t>
      </text>
    </comment>
  </commentList>
  <extLst>
    <ext uri="GoogleSheetsCustomDataVersion2">
      <go:sheetsCustomData xmlns:go="http://customooxmlschemas.google.com/" r:id="rId1" roundtripDataSignature="AMtx7mgOMzahBNeVGP4CJXvhzp/JselBC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ID#AAABuof89iU
Livia    (2023-08-30 16:24:55)
A data do lançamento é a data que a informação esta sendo imputada na planilha.</t>
      </text>
    </comment>
    <comment authorId="0" ref="J6">
      <text>
        <t xml:space="preserve">======
ID#AAABuof89io
Livia    (2023-08-30 16:24:55)
Total de horas trabalhadas</t>
      </text>
    </comment>
  </commentList>
  <extLst>
    <ext uri="GoogleSheetsCustomDataVersion2">
      <go:sheetsCustomData xmlns:go="http://customooxmlschemas.google.com/" r:id="rId1" roundtripDataSignature="AMtx7mjqZHQEQYlcUe58zFpz/0L8//AIX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ID#AAABuof89iQ
Livia    (2023-08-30 16:24:55)
A data do lançamento é a data que a informação esta sendo imputada na planilha.</t>
      </text>
    </comment>
    <comment authorId="0" ref="J6">
      <text>
        <t xml:space="preserve">======
ID#AAABuof89iE
Livia    (2023-08-30 16:24:55)
Total de horas trabalhadas</t>
      </text>
    </comment>
  </commentList>
  <extLst>
    <ext uri="GoogleSheetsCustomDataVersion2">
      <go:sheetsCustomData xmlns:go="http://customooxmlschemas.google.com/" r:id="rId1" roundtripDataSignature="AMtx7miR+z0yudEAaLg2qF0VtZsPGjrcf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6">
      <text>
        <t xml:space="preserve">======
ID#AAABuof89jM
Grazi    (2025-11-03 13:55:08)
Locações</t>
      </text>
    </comment>
    <comment authorId="0" ref="J6">
      <text>
        <t xml:space="preserve">======
ID#AAABuof89h4
Livia    (2023-08-30 16:24:55)
Total de horas trabalhadas</t>
      </text>
    </comment>
    <comment authorId="0" ref="B6">
      <text>
        <t xml:space="preserve">======
ID#AAABuof89jA
Livia    (2023-08-30 16:24:55)
A data do lançamento é a data que a informação esta sendo imputada na planilha.</t>
      </text>
    </comment>
  </commentList>
  <extLst>
    <ext uri="GoogleSheetsCustomDataVersion2">
      <go:sheetsCustomData xmlns:go="http://customooxmlschemas.google.com/" r:id="rId1" roundtripDataSignature="AMtx7mgNamnFxiRRPBSSMOxpUUypsBYY6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2">
      <text>
        <t xml:space="preserve">======
ID#AAABuof89i0
Grazi    (2025-11-03 13:55:08)
400 lts foi retirado na fazenda -  a desonctar do cliente no fechamento</t>
      </text>
    </comment>
  </commentList>
  <extLst>
    <ext uri="GoogleSheetsCustomDataVersion2">
      <go:sheetsCustomData xmlns:go="http://customooxmlschemas.google.com/" r:id="rId1" roundtripDataSignature="AMtx7mg29Jxc/ZQztbJxFdfTQApH/fAQ6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ID#AAABuof89h0
Livia    (2023-08-30 16:24:55)
A data do lançamento é a data que a informação esta sendo imputada na planilha.</t>
      </text>
    </comment>
    <comment authorId="0" ref="H6">
      <text>
        <t xml:space="preserve">======
ID#AAABuof89iw
Livia    (2023-08-30 16:24:55)
Total de horas trabalhadas</t>
      </text>
    </comment>
  </commentList>
  <extLst>
    <ext uri="GoogleSheetsCustomDataVersion2">
      <go:sheetsCustomData xmlns:go="http://customooxmlschemas.google.com/" r:id="rId1" roundtripDataSignature="AMtx7mi5YYaNMaKNPPjQjSopHspA9E9pA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ID#AAABuof89jU
Livia    (2023-08-30 16:24:55)
A data do lançamento é a data que a informação esta sendo imputada na planilha.</t>
      </text>
    </comment>
    <comment authorId="0" ref="J6">
      <text>
        <t xml:space="preserve">======
ID#AAABuof89jQ
Livia    (2023-08-30 16:24:55)
Total de horas trabalhadas</t>
      </text>
    </comment>
  </commentList>
  <extLst>
    <ext uri="GoogleSheetsCustomDataVersion2">
      <go:sheetsCustomData xmlns:go="http://customooxmlschemas.google.com/" r:id="rId1" roundtripDataSignature="AMtx7mhw4f/G2jfMnyfGU871rNHkTfCmIQ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======
ID#AAABuof89is
Livia    (2023-08-30 16:24:55)
A data do lançamento é a data que a informação esta sendo imputada na planilha.</t>
      </text>
    </comment>
    <comment authorId="0" ref="J6">
      <text>
        <t xml:space="preserve">======
ID#AAABuof89ik
Livia    (2023-08-30 16:24:55)
Total de horas trabalhadas</t>
      </text>
    </comment>
  </commentList>
  <extLst>
    <ext uri="GoogleSheetsCustomDataVersion2">
      <go:sheetsCustomData xmlns:go="http://customooxmlschemas.google.com/" r:id="rId1" roundtripDataSignature="AMtx7mhvyLs2NBxl9AoCFkYe3lUSJsmM3g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ID#AAABuof89i4
Livia    (2023-08-30 16:24:55)
Total de horas trabalhadas</t>
      </text>
    </comment>
    <comment authorId="0" ref="B5">
      <text>
        <t xml:space="preserve">======
ID#AAABuof89jE
Livia    (2023-08-30 16:24:55)
A data do lançamento é a data que a informação esta sendo imputada na planilha.</t>
      </text>
    </comment>
  </commentList>
  <extLst>
    <ext uri="GoogleSheetsCustomDataVersion2">
      <go:sheetsCustomData xmlns:go="http://customooxmlschemas.google.com/" r:id="rId1" roundtripDataSignature="AMtx7mgfFKlAh1DYR5qG6kiUYu+lGvAiXg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ID#AAABuof89iI
Livia    (2023-08-30 16:24:55)
Total de horas trabalhadas</t>
      </text>
    </comment>
    <comment authorId="0" ref="B6">
      <text>
        <t xml:space="preserve">======
ID#AAABuof89ic
Livia    (2023-08-30 16:24:55)
A data do lançamento é a data que a informação esta sendo imputada na planilha.</t>
      </text>
    </comment>
  </commentList>
  <extLst>
    <ext uri="GoogleSheetsCustomDataVersion2">
      <go:sheetsCustomData xmlns:go="http://customooxmlschemas.google.com/" r:id="rId1" roundtripDataSignature="AMtx7mhtra8OrsHyjIZI135s0C4JoYkmXw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ID#AAABuof89iM
Livia    (2023-08-30 16:24:55)
Total de horas trabalhadas</t>
      </text>
    </comment>
    <comment authorId="0" ref="B6">
      <text>
        <t xml:space="preserve">======
ID#AAABuof89ig
Livia    (2023-08-30 16:24:55)
A data do lançamento é a data que a informação esta sendo imputada na planilha.</t>
      </text>
    </comment>
  </commentList>
  <extLst>
    <ext uri="GoogleSheetsCustomDataVersion2">
      <go:sheetsCustomData xmlns:go="http://customooxmlschemas.google.com/" r:id="rId1" roundtripDataSignature="AMtx7mgfKdLbCPqT1pWdaiRgYhhlvi8a2g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ID#AAABuof89hw
Livia    (2023-08-30 16:24:55)
A data do lançamento é a data que a informação esta sendo imputada na planilha.</t>
      </text>
    </comment>
    <comment authorId="0" ref="F6">
      <text>
        <t xml:space="preserve">======
ID#AAABuof89i8
Livia    (2023-08-30 16:24:55)
Total de horas trabalhadas</t>
      </text>
    </comment>
  </commentList>
  <extLst>
    <ext uri="GoogleSheetsCustomDataVersion2">
      <go:sheetsCustomData xmlns:go="http://customooxmlschemas.google.com/" r:id="rId1" roundtripDataSignature="AMtx7miID8wXObOQQa2ufd2UhrP7wtri8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ID#AAABuof89h8
Livia    (2023-08-30 16:24:55)
A data do lançamento é a data que a informação esta sendo imputada na planilha.</t>
      </text>
    </comment>
    <comment authorId="0" ref="H5">
      <text>
        <t xml:space="preserve">======
ID#AAABuof89iA
Livia    (2023-08-30 16:24:55)
Total de horas trabalhadas</t>
      </text>
    </comment>
  </commentList>
  <extLst>
    <ext uri="GoogleSheetsCustomDataVersion2">
      <go:sheetsCustomData xmlns:go="http://customooxmlschemas.google.com/" r:id="rId1" roundtripDataSignature="AMtx7mjvrIUiL8pkGldTwOWvyuiOlzMS+A=="/>
    </ext>
  </extLst>
</comments>
</file>

<file path=xl/sharedStrings.xml><?xml version="1.0" encoding="utf-8"?>
<sst xmlns="http://schemas.openxmlformats.org/spreadsheetml/2006/main" count="2945" uniqueCount="991">
  <si>
    <t xml:space="preserve">Apontamentos Máquina: Escavadeira Hidráulica 220 Nova </t>
  </si>
  <si>
    <t xml:space="preserve">Data Inicio </t>
  </si>
  <si>
    <t xml:space="preserve">Data término </t>
  </si>
  <si>
    <t xml:space="preserve">Cliente </t>
  </si>
  <si>
    <t>Local</t>
  </si>
  <si>
    <t>Colaborador</t>
  </si>
  <si>
    <t>H. Inicial</t>
  </si>
  <si>
    <t xml:space="preserve">H. Final </t>
  </si>
  <si>
    <t xml:space="preserve">H Realizadas </t>
  </si>
  <si>
    <t xml:space="preserve">Diesel </t>
  </si>
  <si>
    <t xml:space="preserve">Serviço Realizado/Local </t>
  </si>
  <si>
    <t xml:space="preserve">CODORNA </t>
  </si>
  <si>
    <t>Anderson</t>
  </si>
  <si>
    <t xml:space="preserve">DRENO PARA ALEXANDRE CODORNA </t>
  </si>
  <si>
    <t xml:space="preserve">DESATOLAR MAQUINA </t>
  </si>
  <si>
    <t xml:space="preserve">CLARÉ </t>
  </si>
  <si>
    <t>DESTOCA VALO</t>
  </si>
  <si>
    <t xml:space="preserve">SÃO BENTO </t>
  </si>
  <si>
    <t>(SOCORRO 1938)</t>
  </si>
  <si>
    <t xml:space="preserve">SOCORRER 1938 DE QUEDA </t>
  </si>
  <si>
    <t xml:space="preserve">VARIOS </t>
  </si>
  <si>
    <t xml:space="preserve">FAZENDA SANTA FÉ </t>
  </si>
  <si>
    <t xml:space="preserve">CASCALHO ESTRADA </t>
  </si>
  <si>
    <t xml:space="preserve">CASCALHO </t>
  </si>
  <si>
    <t xml:space="preserve">Juninho Marins </t>
  </si>
  <si>
    <t xml:space="preserve">Vargem, Dreno </t>
  </si>
  <si>
    <t xml:space="preserve">Claré </t>
  </si>
  <si>
    <t xml:space="preserve">Dreno </t>
  </si>
  <si>
    <t xml:space="preserve">Bonella </t>
  </si>
  <si>
    <t xml:space="preserve">Limpeza açude e caixa </t>
  </si>
  <si>
    <t xml:space="preserve">Anderson </t>
  </si>
  <si>
    <t>Diversos</t>
  </si>
  <si>
    <t>Pedro Iabrud</t>
  </si>
  <si>
    <t>AgroBanco</t>
  </si>
  <si>
    <t xml:space="preserve">limpeza represa </t>
  </si>
  <si>
    <t>Dalto</t>
  </si>
  <si>
    <t xml:space="preserve">Campestre </t>
  </si>
  <si>
    <t xml:space="preserve">Limpeza </t>
  </si>
  <si>
    <t>Arnaldo</t>
  </si>
  <si>
    <t>Terraplanagem</t>
  </si>
  <si>
    <t xml:space="preserve">Faz Horliens </t>
  </si>
  <si>
    <t xml:space="preserve">Destoca </t>
  </si>
  <si>
    <t xml:space="preserve">Giovane Reis </t>
  </si>
  <si>
    <t xml:space="preserve">Fazenda Ponte Alta </t>
  </si>
  <si>
    <t xml:space="preserve">Detoca de café </t>
  </si>
  <si>
    <t>Faz Barreiro</t>
  </si>
  <si>
    <t xml:space="preserve">Esterco </t>
  </si>
  <si>
    <t>Retirar esterco</t>
  </si>
  <si>
    <t xml:space="preserve">André Moura </t>
  </si>
  <si>
    <t xml:space="preserve">São Bento Abade </t>
  </si>
  <si>
    <t xml:space="preserve">Mauro </t>
  </si>
  <si>
    <t xml:space="preserve">Arnaldo </t>
  </si>
  <si>
    <t xml:space="preserve">Fazenda Barreiro </t>
  </si>
  <si>
    <t>anderson</t>
  </si>
  <si>
    <t xml:space="preserve">Terraplanagem </t>
  </si>
  <si>
    <t xml:space="preserve">Valder Farmácia </t>
  </si>
  <si>
    <t>Farmácia</t>
  </si>
  <si>
    <t xml:space="preserve">Faz Divisa </t>
  </si>
  <si>
    <t xml:space="preserve">Gabriel </t>
  </si>
  <si>
    <t xml:space="preserve">Luminárias </t>
  </si>
  <si>
    <t xml:space="preserve">Luminárias/ Destoca </t>
  </si>
  <si>
    <t xml:space="preserve">Palheta </t>
  </si>
  <si>
    <t xml:space="preserve">Silo </t>
  </si>
  <si>
    <t xml:space="preserve">Biel </t>
  </si>
  <si>
    <t xml:space="preserve">Barra mansa </t>
  </si>
  <si>
    <t xml:space="preserve">Mateus Capistrano </t>
  </si>
  <si>
    <t>Fazenda Catanduvas</t>
  </si>
  <si>
    <t xml:space="preserve">Lucas </t>
  </si>
  <si>
    <t xml:space="preserve">Erick Demarch </t>
  </si>
  <si>
    <t xml:space="preserve">Fazenda São José </t>
  </si>
  <si>
    <t xml:space="preserve">Guto Guarnize </t>
  </si>
  <si>
    <t xml:space="preserve">Campanha </t>
  </si>
  <si>
    <t>AGV</t>
  </si>
  <si>
    <t xml:space="preserve">Cambuquira </t>
  </si>
  <si>
    <t>Giovanni</t>
  </si>
  <si>
    <t xml:space="preserve">Ponte Alta </t>
  </si>
  <si>
    <t xml:space="preserve">Santo Antônio </t>
  </si>
  <si>
    <t xml:space="preserve">Andersom </t>
  </si>
  <si>
    <t xml:space="preserve">Iara Mercado </t>
  </si>
  <si>
    <t>Rincão</t>
  </si>
  <si>
    <t xml:space="preserve">Evandro lima </t>
  </si>
  <si>
    <t xml:space="preserve">Faz sagrado coração/ pratinha </t>
  </si>
  <si>
    <t xml:space="preserve">Reginaldo </t>
  </si>
  <si>
    <t xml:space="preserve">Cocatrel </t>
  </si>
  <si>
    <t xml:space="preserve">café </t>
  </si>
  <si>
    <t xml:space="preserve">Fazenda São Francisco </t>
  </si>
  <si>
    <t xml:space="preserve">Miguel </t>
  </si>
  <si>
    <t>PG</t>
  </si>
  <si>
    <t xml:space="preserve">Varginha </t>
  </si>
  <si>
    <t xml:space="preserve">Deslocamento </t>
  </si>
  <si>
    <t xml:space="preserve">Carmo da Cachoeira </t>
  </si>
  <si>
    <t>Desembar</t>
  </si>
  <si>
    <t xml:space="preserve">DEslocamento para o Pedro </t>
  </si>
  <si>
    <t xml:space="preserve">Pedro Iabrud </t>
  </si>
  <si>
    <t xml:space="preserve">Vabinho </t>
  </si>
  <si>
    <t>Itumirim</t>
  </si>
  <si>
    <t xml:space="preserve">terraplanagem </t>
  </si>
  <si>
    <t xml:space="preserve">Represa roseira </t>
  </si>
  <si>
    <t xml:space="preserve">Peme </t>
  </si>
  <si>
    <t xml:space="preserve">Construtora </t>
  </si>
  <si>
    <t xml:space="preserve">Itumirim </t>
  </si>
  <si>
    <t xml:space="preserve">Sérgio </t>
  </si>
  <si>
    <t xml:space="preserve">Fazenda Campestre </t>
  </si>
  <si>
    <t>Silvinho</t>
  </si>
  <si>
    <t xml:space="preserve">Bonela </t>
  </si>
  <si>
    <t xml:space="preserve">Roseira </t>
  </si>
  <si>
    <t xml:space="preserve">Vera Cruz </t>
  </si>
  <si>
    <t xml:space="preserve">Silvia </t>
  </si>
  <si>
    <t xml:space="preserve">Campo Belo </t>
  </si>
  <si>
    <t xml:space="preserve">Fazenda Capina </t>
  </si>
  <si>
    <t>Ander5son</t>
  </si>
  <si>
    <t>Defrazon</t>
  </si>
  <si>
    <t xml:space="preserve">Denis </t>
  </si>
  <si>
    <t xml:space="preserve">Fazenda da Laje </t>
  </si>
  <si>
    <t xml:space="preserve">Barreiro </t>
  </si>
  <si>
    <t xml:space="preserve">Fazenda Laje </t>
  </si>
  <si>
    <t xml:space="preserve">Desatolar Carreta </t>
  </si>
  <si>
    <t xml:space="preserve">Denis e Jean </t>
  </si>
  <si>
    <t xml:space="preserve">Cascalho </t>
  </si>
  <si>
    <t xml:space="preserve">Leo Pizzaria </t>
  </si>
  <si>
    <t>Represa</t>
  </si>
  <si>
    <t xml:space="preserve">Mauro Bonézio </t>
  </si>
  <si>
    <t>Deslocamento</t>
  </si>
  <si>
    <t>Mimoso</t>
  </si>
  <si>
    <t xml:space="preserve">Divisa Represa </t>
  </si>
  <si>
    <t>Limpeza de Valo</t>
  </si>
  <si>
    <t>Curiango</t>
  </si>
  <si>
    <t xml:space="preserve">Lucas Ricardo </t>
  </si>
  <si>
    <t xml:space="preserve">Destoca café </t>
  </si>
  <si>
    <t xml:space="preserve">Zé Carlos </t>
  </si>
  <si>
    <t>Thiago</t>
  </si>
  <si>
    <t xml:space="preserve">Lote </t>
  </si>
  <si>
    <t>Diogo</t>
  </si>
  <si>
    <t>Campestre</t>
  </si>
  <si>
    <t xml:space="preserve">Antenor </t>
  </si>
  <si>
    <t xml:space="preserve">Agricola </t>
  </si>
  <si>
    <t xml:space="preserve">Mimoso </t>
  </si>
  <si>
    <t xml:space="preserve">minoso </t>
  </si>
  <si>
    <t xml:space="preserve">Valdeci Purcina </t>
  </si>
  <si>
    <t xml:space="preserve">Campo do meio </t>
  </si>
  <si>
    <t>Cam</t>
  </si>
  <si>
    <t xml:space="preserve">Miguel - Sérgio </t>
  </si>
  <si>
    <t xml:space="preserve">São Francisci </t>
  </si>
  <si>
    <t xml:space="preserve">João Ernesto </t>
  </si>
  <si>
    <t xml:space="preserve">Sitio Varginha </t>
  </si>
  <si>
    <t xml:space="preserve">Geovane </t>
  </si>
  <si>
    <t xml:space="preserve">Bananal </t>
  </si>
  <si>
    <t>Jaguarão</t>
  </si>
  <si>
    <t xml:space="preserve">Juninho </t>
  </si>
  <si>
    <t xml:space="preserve">Faz Laginha </t>
  </si>
  <si>
    <t>Apontamentos Máquina: Escavadeira Hidráulica 220 Antiga  04</t>
  </si>
  <si>
    <t xml:space="preserve">Data Término </t>
  </si>
  <si>
    <t xml:space="preserve">CLIENTE </t>
  </si>
  <si>
    <t>Local:</t>
  </si>
  <si>
    <t xml:space="preserve">H. Realizadas </t>
  </si>
  <si>
    <t xml:space="preserve">Consumo </t>
  </si>
  <si>
    <t>PEPINO</t>
  </si>
  <si>
    <t>Cleiton</t>
  </si>
  <si>
    <t xml:space="preserve">DESTOCA </t>
  </si>
  <si>
    <t xml:space="preserve">ZÉ CARLOS </t>
  </si>
  <si>
    <t>LUIZ CARLOS CURIANGO</t>
  </si>
  <si>
    <t>DESTOCA E QUEBRA DE BARRANCO</t>
  </si>
  <si>
    <t>JOÃO PAULO (JOÃO DE GETÚLIO)</t>
  </si>
  <si>
    <t>DESTOCA DE TERRENO</t>
  </si>
  <si>
    <t xml:space="preserve">EVANDRO LIMA </t>
  </si>
  <si>
    <t xml:space="preserve">CORREDOR E DESTOCA </t>
  </si>
  <si>
    <t>FAZENDA TABOÃO (ADILSON)</t>
  </si>
  <si>
    <t xml:space="preserve">SOCORRO PARA DESATOLAR MAQUINA </t>
  </si>
  <si>
    <t xml:space="preserve">FELIPE FAZ SÃO MIGUEL </t>
  </si>
  <si>
    <t>ESTRADA/ TERRENO/ REPRESA</t>
  </si>
  <si>
    <t xml:space="preserve">RODRIGO DA MARTA </t>
  </si>
  <si>
    <t xml:space="preserve">PASSAGEM/ GROTA </t>
  </si>
  <si>
    <t xml:space="preserve">LIMPEZA DE CAIXA SECA </t>
  </si>
  <si>
    <t xml:space="preserve">TITONEL </t>
  </si>
  <si>
    <t>BARRAGEM/ BEBEDOURO/ REPRESA</t>
  </si>
  <si>
    <t xml:space="preserve">Dalto </t>
  </si>
  <si>
    <t>Fazenda Campestre</t>
  </si>
  <si>
    <t>Limpeza de carreador (socorro codorna durante)</t>
  </si>
  <si>
    <t xml:space="preserve">Socorro em escavadeira Codorna </t>
  </si>
  <si>
    <t>Desatolar maquina, codorna + frete de 2000,00</t>
  </si>
  <si>
    <t xml:space="preserve">Pedro Agrobando </t>
  </si>
  <si>
    <t>Limpeza de represa na Venda do chico</t>
  </si>
  <si>
    <t xml:space="preserve">Antenor/ Casa nova </t>
  </si>
  <si>
    <t xml:space="preserve">Casa Nova </t>
  </si>
  <si>
    <t xml:space="preserve">Aterro e limpeza </t>
  </si>
  <si>
    <t xml:space="preserve">Campestre/ Dalto </t>
  </si>
  <si>
    <t>Limpeza fazenda campestre</t>
  </si>
  <si>
    <t xml:space="preserve">Filipe </t>
  </si>
  <si>
    <t>Fazenda Jardim</t>
  </si>
  <si>
    <t>Fardim, limpeza</t>
  </si>
  <si>
    <t xml:space="preserve">Marco Aurélio, Faz Issaras </t>
  </si>
  <si>
    <t>Fazenda Issaras</t>
  </si>
  <si>
    <t>Destoca/ estrada/ Dreno</t>
  </si>
  <si>
    <t xml:space="preserve">Grilo </t>
  </si>
  <si>
    <t xml:space="preserve">Esterqueira </t>
  </si>
  <si>
    <t xml:space="preserve">Estrada e Grota </t>
  </si>
  <si>
    <t xml:space="preserve">Caixa seca/ repreza/ Limpeza </t>
  </si>
  <si>
    <t xml:space="preserve">Manutenção </t>
  </si>
  <si>
    <t>Manutenção</t>
  </si>
  <si>
    <t>Valdeci Purcino</t>
  </si>
  <si>
    <t xml:space="preserve">Fazenda Campo do Meio </t>
  </si>
  <si>
    <t>Terraplanagem - 20/10</t>
  </si>
  <si>
    <t>Terraplanagem - 20/11 - 20/12</t>
  </si>
  <si>
    <t xml:space="preserve">Luiz Batateiro (Marco Aurélio) </t>
  </si>
  <si>
    <t xml:space="preserve">Fazenda das Posses </t>
  </si>
  <si>
    <t xml:space="preserve">Silvinho </t>
  </si>
  <si>
    <t>Faz Santa Luciana</t>
  </si>
  <si>
    <t>Limpeza</t>
  </si>
  <si>
    <t>Diego Fachardo</t>
  </si>
  <si>
    <t xml:space="preserve">Faz Ponte Alta </t>
  </si>
  <si>
    <t xml:space="preserve">Zé Moura </t>
  </si>
  <si>
    <t xml:space="preserve">Faz da Prata </t>
  </si>
  <si>
    <t xml:space="preserve">Fazenda Ponte alta </t>
  </si>
  <si>
    <t>Denis Vilela</t>
  </si>
  <si>
    <t>Fazenda zé Campo</t>
  </si>
  <si>
    <t xml:space="preserve">Padroeira </t>
  </si>
  <si>
    <t xml:space="preserve">Zeti Careca </t>
  </si>
  <si>
    <t xml:space="preserve">Ivan </t>
  </si>
  <si>
    <t>Peão</t>
  </si>
  <si>
    <t xml:space="preserve">Marcal </t>
  </si>
  <si>
    <t xml:space="preserve">Vista alegre </t>
  </si>
  <si>
    <t xml:space="preserve"> </t>
  </si>
  <si>
    <t xml:space="preserve">São francisco </t>
  </si>
  <si>
    <t xml:space="preserve">Iabrud </t>
  </si>
  <si>
    <t xml:space="preserve">Faz taboão </t>
  </si>
  <si>
    <t>Jean</t>
  </si>
  <si>
    <t>Fazenda Zé Campo</t>
  </si>
  <si>
    <t>Jardim</t>
  </si>
  <si>
    <t xml:space="preserve">Agrobanco </t>
  </si>
  <si>
    <t xml:space="preserve">itumirim </t>
  </si>
  <si>
    <t>Adilson</t>
  </si>
  <si>
    <t>Fazenda Tira Couro</t>
  </si>
  <si>
    <t>De Marchi</t>
  </si>
  <si>
    <t>fazenda barreiro</t>
  </si>
  <si>
    <t>Sr Calil</t>
  </si>
  <si>
    <t xml:space="preserve">Felipe </t>
  </si>
  <si>
    <t xml:space="preserve">Giovane - Daniel </t>
  </si>
  <si>
    <t xml:space="preserve">Jardim </t>
  </si>
  <si>
    <t xml:space="preserve">Guri e Vinicius </t>
  </si>
  <si>
    <t xml:space="preserve">São Miguel </t>
  </si>
  <si>
    <t xml:space="preserve">Guri </t>
  </si>
  <si>
    <t xml:space="preserve">Recanto </t>
  </si>
  <si>
    <t xml:space="preserve">Zé Bastos </t>
  </si>
  <si>
    <t xml:space="preserve">Fazenda Capelinha </t>
  </si>
  <si>
    <t xml:space="preserve">Junior Vilela </t>
  </si>
  <si>
    <t xml:space="preserve">Fazenda Barra Mansa </t>
  </si>
  <si>
    <t xml:space="preserve">Valdo Farmácia </t>
  </si>
  <si>
    <t xml:space="preserve">Fazenda Santo antênio </t>
  </si>
  <si>
    <t xml:space="preserve">Fazendinha </t>
  </si>
  <si>
    <t>silvinho</t>
  </si>
  <si>
    <t xml:space="preserve">Fazenda Lage </t>
  </si>
  <si>
    <t>Danilo</t>
  </si>
  <si>
    <t>Tira couro</t>
  </si>
  <si>
    <t xml:space="preserve">Zé bastos </t>
  </si>
  <si>
    <t>01/05/0225</t>
  </si>
  <si>
    <t>Ingaí</t>
  </si>
  <si>
    <t xml:space="preserve">Lavras </t>
  </si>
  <si>
    <t xml:space="preserve">Divisa </t>
  </si>
  <si>
    <t xml:space="preserve">Rafael Vallim </t>
  </si>
  <si>
    <t xml:space="preserve">Vinicius </t>
  </si>
  <si>
    <t xml:space="preserve">Sitio </t>
  </si>
  <si>
    <t xml:space="preserve">Tair </t>
  </si>
  <si>
    <t>Silbinho</t>
  </si>
  <si>
    <t xml:space="preserve">Tião </t>
  </si>
  <si>
    <t>João Ernesto</t>
  </si>
  <si>
    <t xml:space="preserve">Estevam Mario </t>
  </si>
  <si>
    <t>Filipe - Terra Verde</t>
  </si>
  <si>
    <t>,</t>
  </si>
  <si>
    <t xml:space="preserve"> Apontamentos Máquina </t>
  </si>
  <si>
    <t>Data Término</t>
  </si>
  <si>
    <t>Horimetro Inicial</t>
  </si>
  <si>
    <t xml:space="preserve">Horimetro Final </t>
  </si>
  <si>
    <t xml:space="preserve">Horas Realizadas </t>
  </si>
  <si>
    <t xml:space="preserve">Álvaro </t>
  </si>
  <si>
    <t xml:space="preserve">ROMILDO </t>
  </si>
  <si>
    <t xml:space="preserve">DIVERSOS, ALVARO ADINATOU 20000,00/ devolvidos </t>
  </si>
  <si>
    <t>ANDERSON</t>
  </si>
  <si>
    <t xml:space="preserve">A DISPOSIÇÃO </t>
  </si>
  <si>
    <t xml:space="preserve">Enio Rezende </t>
  </si>
  <si>
    <t xml:space="preserve">SILVINHO </t>
  </si>
  <si>
    <t xml:space="preserve">Colocar mês 4 inteiro </t>
  </si>
  <si>
    <t xml:space="preserve">SOCORRER CARRETA FELIPE </t>
  </si>
  <si>
    <t xml:space="preserve">Terras Jardim, Felipe Chitão </t>
  </si>
  <si>
    <t xml:space="preserve">Sem operador </t>
  </si>
  <si>
    <t xml:space="preserve">Valdivino </t>
  </si>
  <si>
    <t xml:space="preserve">Reginaldo 2 dias </t>
  </si>
  <si>
    <t xml:space="preserve">Acertar Terras </t>
  </si>
  <si>
    <t xml:space="preserve">Rafael </t>
  </si>
  <si>
    <t xml:space="preserve">Onofre </t>
  </si>
  <si>
    <t xml:space="preserve">Wendel </t>
  </si>
  <si>
    <t xml:space="preserve">Fazenda Divisa </t>
  </si>
  <si>
    <t xml:space="preserve">Revisão </t>
  </si>
  <si>
    <t>Wendel</t>
  </si>
  <si>
    <t>pg</t>
  </si>
  <si>
    <t>Iabrud</t>
  </si>
  <si>
    <t xml:space="preserve">Taboão </t>
  </si>
  <si>
    <t>maq AGV</t>
  </si>
  <si>
    <t>pq</t>
  </si>
  <si>
    <t xml:space="preserve">Daniel </t>
  </si>
  <si>
    <t xml:space="preserve">Faz Palmital </t>
  </si>
  <si>
    <t>Manurenção</t>
  </si>
  <si>
    <t xml:space="preserve">Regianldo </t>
  </si>
  <si>
    <t xml:space="preserve">Terra nova </t>
  </si>
  <si>
    <t>Origo / Enegy</t>
  </si>
  <si>
    <t xml:space="preserve">Sr Calil </t>
  </si>
  <si>
    <t xml:space="preserve">Santa Luciana </t>
  </si>
  <si>
    <t xml:space="preserve">Marco aurélio </t>
  </si>
  <si>
    <t xml:space="preserve">Marçal </t>
  </si>
  <si>
    <t xml:space="preserve">Máquina marcal </t>
  </si>
  <si>
    <t xml:space="preserve">Três Corações </t>
  </si>
  <si>
    <t xml:space="preserve">Defrazon </t>
  </si>
  <si>
    <t xml:space="preserve">Mirante </t>
  </si>
  <si>
    <t xml:space="preserve">Marcos </t>
  </si>
  <si>
    <t xml:space="preserve">Lucio </t>
  </si>
  <si>
    <t xml:space="preserve">Evandro </t>
  </si>
  <si>
    <t xml:space="preserve">Sagrado Coração </t>
  </si>
  <si>
    <t xml:space="preserve">filipe </t>
  </si>
  <si>
    <t xml:space="preserve">Carmo </t>
  </si>
  <si>
    <t>Santo Antônio</t>
  </si>
  <si>
    <t xml:space="preserve"> Escavadeira Sanny </t>
  </si>
  <si>
    <t xml:space="preserve">Marcps </t>
  </si>
  <si>
    <t xml:space="preserve">Apontamentos Máquina: Trator Esteira 7D2 </t>
  </si>
  <si>
    <t xml:space="preserve">RETIRADA DE PEDRA DA ROÇA </t>
  </si>
  <si>
    <t>MARCIO</t>
  </si>
  <si>
    <t>JOZIEL</t>
  </si>
  <si>
    <t>LIMPEZA TERRENO + 2 HORAS DIA 24/03</t>
  </si>
  <si>
    <t xml:space="preserve">ANTENOR </t>
  </si>
  <si>
    <t xml:space="preserve">ZIEL </t>
  </si>
  <si>
    <t xml:space="preserve">MARCO ARRUDA </t>
  </si>
  <si>
    <t xml:space="preserve">DONIZETE </t>
  </si>
  <si>
    <t>MARCO ARRUDA</t>
  </si>
  <si>
    <t xml:space="preserve">Fazenda da Fé </t>
  </si>
  <si>
    <t xml:space="preserve">Filipe  </t>
  </si>
  <si>
    <t xml:space="preserve">Fazenda Fazendinha </t>
  </si>
  <si>
    <t>Entupir estradas/ Caixas</t>
  </si>
  <si>
    <t>Vinicius</t>
  </si>
  <si>
    <t>Tamiro</t>
  </si>
  <si>
    <t>Donizete/ Tamiro</t>
  </si>
  <si>
    <t xml:space="preserve">Corrigir terras </t>
  </si>
  <si>
    <t xml:space="preserve">Corrigir terras/ horímetro quebrado. </t>
  </si>
  <si>
    <t xml:space="preserve">Tamiro </t>
  </si>
  <si>
    <t>Corrigir terras/ máquina quebrada.</t>
  </si>
  <si>
    <t xml:space="preserve"> Maquina quebrou alguns dias</t>
  </si>
  <si>
    <t>Manutenção /614,0 h</t>
  </si>
  <si>
    <t xml:space="preserve">Material rodante e filtros e óleos </t>
  </si>
  <si>
    <t>Onofre</t>
  </si>
  <si>
    <t xml:space="preserve">Máquina parada </t>
  </si>
  <si>
    <t xml:space="preserve">Paiva </t>
  </si>
  <si>
    <t xml:space="preserve">Acertar Terreno </t>
  </si>
  <si>
    <t xml:space="preserve">Valdinho </t>
  </si>
  <si>
    <t>Valdinho da farmácia</t>
  </si>
  <si>
    <t xml:space="preserve">Manutenção/ Chuva </t>
  </si>
  <si>
    <t xml:space="preserve">PicaPau </t>
  </si>
  <si>
    <t>Faz Terreiro de pica pau</t>
  </si>
  <si>
    <t xml:space="preserve">Terreiro </t>
  </si>
  <si>
    <t xml:space="preserve">revisao </t>
  </si>
  <si>
    <t xml:space="preserve">Erick </t>
  </si>
  <si>
    <t xml:space="preserve">Demarck </t>
  </si>
  <si>
    <t xml:space="preserve">Vinicius operador </t>
  </si>
  <si>
    <t>Valdir/ Diogo</t>
  </si>
  <si>
    <t xml:space="preserve">Fazenda dos Terras </t>
  </si>
  <si>
    <t xml:space="preserve">Fazenda Padroeira </t>
  </si>
  <si>
    <t>Bonella</t>
  </si>
  <si>
    <t xml:space="preserve">Fazenda Vitórinha </t>
  </si>
  <si>
    <t>Fazenda Guto</t>
  </si>
  <si>
    <t xml:space="preserve">Pratinha </t>
  </si>
  <si>
    <t>Origo energy</t>
  </si>
  <si>
    <t xml:space="preserve">Fazenda São Bento </t>
  </si>
  <si>
    <t xml:space="preserve">Café </t>
  </si>
  <si>
    <t xml:space="preserve">(+ 9 horas) </t>
  </si>
  <si>
    <t>vabinho</t>
  </si>
  <si>
    <t>Terreno</t>
  </si>
  <si>
    <t>Terreiro</t>
  </si>
  <si>
    <t>Guri</t>
  </si>
  <si>
    <t xml:space="preserve">Máquina Sem operador </t>
  </si>
  <si>
    <t>Geovane</t>
  </si>
  <si>
    <t xml:space="preserve">Dilson </t>
  </si>
  <si>
    <t>Geovanne</t>
  </si>
  <si>
    <t>Filipe</t>
  </si>
  <si>
    <t>Anizio</t>
  </si>
  <si>
    <t xml:space="preserve">Daniel - Giovane </t>
  </si>
  <si>
    <t xml:space="preserve">Dirso Reis </t>
  </si>
  <si>
    <t xml:space="preserve">Tachos </t>
  </si>
  <si>
    <t xml:space="preserve">Origo </t>
  </si>
  <si>
    <t>Placa Sr Calil</t>
  </si>
  <si>
    <t>Divisa</t>
  </si>
  <si>
    <t>Fazenda Laginha Cana</t>
  </si>
  <si>
    <t xml:space="preserve">Recanto - limpar Caixa </t>
  </si>
  <si>
    <t>Barreiro</t>
  </si>
  <si>
    <t xml:space="preserve">Chuva </t>
  </si>
  <si>
    <t>Daniel - Giovane</t>
  </si>
  <si>
    <t xml:space="preserve">Dieso Reis </t>
  </si>
  <si>
    <t xml:space="preserve">Lúcia Javomassi </t>
  </si>
  <si>
    <t xml:space="preserve">Eucalípto </t>
  </si>
  <si>
    <t>Osmar</t>
  </si>
  <si>
    <t xml:space="preserve">700J novo A </t>
  </si>
  <si>
    <t xml:space="preserve">Osmar </t>
  </si>
  <si>
    <t xml:space="preserve">Claret </t>
  </si>
  <si>
    <t xml:space="preserve">Leandro </t>
  </si>
  <si>
    <t>Maria Vitória</t>
  </si>
  <si>
    <t xml:space="preserve">Maria Vitoria </t>
  </si>
  <si>
    <t xml:space="preserve">Maria Vitória </t>
  </si>
  <si>
    <t xml:space="preserve">Lucas - trabalha com Leandro </t>
  </si>
  <si>
    <t xml:space="preserve">Pessoal Lucas </t>
  </si>
  <si>
    <t xml:space="preserve">Pessoal </t>
  </si>
  <si>
    <t>Pedrinho Mujola</t>
  </si>
  <si>
    <t xml:space="preserve">  </t>
  </si>
  <si>
    <t xml:space="preserve">Filipe - Terra Verde </t>
  </si>
  <si>
    <t>Lavras</t>
  </si>
  <si>
    <t>Caio</t>
  </si>
  <si>
    <t>Acertar Terras</t>
  </si>
  <si>
    <t xml:space="preserve">Caio/ Vinicius </t>
  </si>
  <si>
    <t xml:space="preserve">Terraplanagem/ Represa </t>
  </si>
  <si>
    <t xml:space="preserve">Diego Fachardo </t>
  </si>
  <si>
    <t xml:space="preserve">limpeza </t>
  </si>
  <si>
    <t xml:space="preserve">Walder </t>
  </si>
  <si>
    <t xml:space="preserve">aterro </t>
  </si>
  <si>
    <t xml:space="preserve">Grota </t>
  </si>
  <si>
    <t xml:space="preserve">Fazazenda Barreiro </t>
  </si>
  <si>
    <t xml:space="preserve">caio </t>
  </si>
  <si>
    <t xml:space="preserve">Diego </t>
  </si>
  <si>
    <t xml:space="preserve">Vinicius Bondi </t>
  </si>
  <si>
    <t>Estrada Divisa</t>
  </si>
  <si>
    <t>Fazenda Barreiro</t>
  </si>
  <si>
    <t>Energy</t>
  </si>
  <si>
    <t xml:space="preserve">Usina </t>
  </si>
  <si>
    <t>7d1</t>
  </si>
  <si>
    <t xml:space="preserve">Lucas Caaio </t>
  </si>
  <si>
    <t>sba</t>
  </si>
  <si>
    <t xml:space="preserve">Caio </t>
  </si>
  <si>
    <t xml:space="preserve">Locações </t>
  </si>
  <si>
    <t xml:space="preserve">Grotas e acertar terras </t>
  </si>
  <si>
    <t xml:space="preserve">Vista Alegre </t>
  </si>
  <si>
    <t>Agrobando</t>
  </si>
  <si>
    <t xml:space="preserve">Estrada </t>
  </si>
  <si>
    <t xml:space="preserve">Faz Bela Vista </t>
  </si>
  <si>
    <t xml:space="preserve">Zé Pedro </t>
  </si>
  <si>
    <t>Sr Calil - Origo</t>
  </si>
  <si>
    <t>Placa Solar</t>
  </si>
  <si>
    <t>Iracema</t>
  </si>
  <si>
    <t xml:space="preserve">Cachoeira </t>
  </si>
  <si>
    <t>SBA</t>
  </si>
  <si>
    <t xml:space="preserve">Ponte alta </t>
  </si>
  <si>
    <t xml:space="preserve">Leandro Reis </t>
  </si>
  <si>
    <t xml:space="preserve">Fazenda Vitória </t>
  </si>
  <si>
    <t xml:space="preserve">Marcelo </t>
  </si>
  <si>
    <t xml:space="preserve">Bielzinho </t>
  </si>
  <si>
    <t xml:space="preserve">Fazenda Íngai </t>
  </si>
  <si>
    <t>Denis e Giovani</t>
  </si>
  <si>
    <t>Fazenda do Lobo</t>
  </si>
  <si>
    <t>Socorro</t>
  </si>
  <si>
    <t xml:space="preserve">Puxar pá carregadeira </t>
  </si>
  <si>
    <t>Vera Cruz</t>
  </si>
  <si>
    <t>1703/2025</t>
  </si>
  <si>
    <t>Tramaq</t>
  </si>
  <si>
    <t xml:space="preserve">Tramaq tratores </t>
  </si>
  <si>
    <t xml:space="preserve">Michele </t>
  </si>
  <si>
    <t xml:space="preserve">Irma do vinicius </t>
  </si>
  <si>
    <t>Defrasson</t>
  </si>
  <si>
    <t xml:space="preserve">Fazenda Mourão </t>
  </si>
  <si>
    <t xml:space="preserve">Tira couro </t>
  </si>
  <si>
    <t xml:space="preserve">Agricoal </t>
  </si>
  <si>
    <t xml:space="preserve">Fazenda Canario </t>
  </si>
  <si>
    <t>Daivid</t>
  </si>
  <si>
    <t xml:space="preserve">Fazenda </t>
  </si>
  <si>
    <t>Macelo</t>
  </si>
  <si>
    <t xml:space="preserve">Faz Campo do meio </t>
  </si>
  <si>
    <t xml:space="preserve">Mimoso - Cachoeira </t>
  </si>
  <si>
    <t>Lucas - Campestre</t>
  </si>
  <si>
    <t xml:space="preserve">Faz Mimoso </t>
  </si>
  <si>
    <t xml:space="preserve">Apontamentos: Carreta 1938 Beto </t>
  </si>
  <si>
    <t>||||||||||||||||||||||||||||||</t>
  </si>
  <si>
    <t xml:space="preserve">Data de frete  </t>
  </si>
  <si>
    <t xml:space="preserve">chave </t>
  </si>
  <si>
    <t>Consumo</t>
  </si>
  <si>
    <t xml:space="preserve">GUTO/ PRANCHA </t>
  </si>
  <si>
    <t>BETO</t>
  </si>
  <si>
    <t>200 GALÃO</t>
  </si>
  <si>
    <t>LEVAR TRATOR DE SBA/ ****************</t>
  </si>
  <si>
    <t xml:space="preserve">VINICIUS </t>
  </si>
  <si>
    <t xml:space="preserve">201 TANQUE </t>
  </si>
  <si>
    <t>BUSCAR 7D DO ZIEL PARA CHICO SHD (CLARET)</t>
  </si>
  <si>
    <t>CODORNA</t>
  </si>
  <si>
    <t xml:space="preserve">(SBA- INGAÍ) PARRUDA </t>
  </si>
  <si>
    <t xml:space="preserve">BETO </t>
  </si>
  <si>
    <t>SBA/ CAMPANHA (PARRUDA)</t>
  </si>
  <si>
    <t>SILO CLARÉ - SBA - 7D ZIEL</t>
  </si>
  <si>
    <t>ACIRO</t>
  </si>
  <si>
    <t>SBA/ VARGINHA - VARGINHA/ SBA (PARRUDA)</t>
  </si>
  <si>
    <t>CAMPO LIMPO/ CAMPANHA (VANDINHO)</t>
  </si>
  <si>
    <t xml:space="preserve">ANDRETE </t>
  </si>
  <si>
    <t>LAT AFONSO/ FAZENDA LATIM2</t>
  </si>
  <si>
    <t xml:space="preserve">603 LITROS </t>
  </si>
  <si>
    <t xml:space="preserve">FAZENDA APARECIDA/ CAMPANHA MILHO. </t>
  </si>
  <si>
    <t xml:space="preserve">VIN/ FELIPE </t>
  </si>
  <si>
    <t xml:space="preserve">FAZENDA RECANTO/ RURAL FELIPE </t>
  </si>
  <si>
    <t xml:space="preserve">CAMPANHA/ SÃO GONÇALO 220 VANDINHO </t>
  </si>
  <si>
    <t>ALVARO/ FERNANDO/ SBA 7D E CARREGADEIRA</t>
  </si>
  <si>
    <t xml:space="preserve">SANTA LUCIANA/ SIB CLARET 220 FOFO </t>
  </si>
  <si>
    <t xml:space="preserve">FAZENDA DIAS/ FAZENDINHA ZIEL </t>
  </si>
  <si>
    <t>J MARINS</t>
  </si>
  <si>
    <t>SILO CLARET/ CAMPANHA</t>
  </si>
  <si>
    <t xml:space="preserve">BA/ SÃO GONÇALO/ CAMANDUCAIA </t>
  </si>
  <si>
    <t xml:space="preserve">FAZENDA NSA/ CAMPANHA MILHO  </t>
  </si>
  <si>
    <t>AGROCIRO</t>
  </si>
  <si>
    <t xml:space="preserve">SBA/ VARGINJA (PARRUDA)  </t>
  </si>
  <si>
    <t>SÉRGIO</t>
  </si>
  <si>
    <t xml:space="preserve">TC/ COBIÇA </t>
  </si>
  <si>
    <t>FAZENDA CODORNA/ TC FOFO.</t>
  </si>
  <si>
    <t>wsa</t>
  </si>
  <si>
    <t>VARGINHA/ SBA (PARRUDA)</t>
  </si>
  <si>
    <t>VINICIUS</t>
  </si>
  <si>
    <t>SBA/ TC (CODORNA)</t>
  </si>
  <si>
    <t>SILO CLARÉ - SÃO GONÇALO ( BUSCAR PÁ CARREGADEIRA, SOCORRO)</t>
  </si>
  <si>
    <t xml:space="preserve">100 LITROS </t>
  </si>
  <si>
    <t>ESTUFA SBA/COQUEIRAL</t>
  </si>
  <si>
    <t xml:space="preserve">TC/ LAMBARI ESCAVADEIRA </t>
  </si>
  <si>
    <t xml:space="preserve">220L GALÃO </t>
  </si>
  <si>
    <t xml:space="preserve">TC/ SÃO GONÇALO/ SBA 220 CLEITON </t>
  </si>
  <si>
    <t xml:space="preserve">SBA/ SÃO GONÇALO  (CURIANGO) 7 DIAS </t>
  </si>
  <si>
    <t xml:space="preserve">SÃO TOMÉ/ CAMPANHA. 210 SOCORRO. </t>
  </si>
  <si>
    <t xml:space="preserve">SB/ TC  CARREGADEIRA (TONHÃO MARINS) </t>
  </si>
  <si>
    <t>SB/ FAZENDA MARINBONDO</t>
  </si>
  <si>
    <t>FOFO</t>
  </si>
  <si>
    <t xml:space="preserve">SB/ TC 5B220  </t>
  </si>
  <si>
    <t>WENDEL</t>
  </si>
  <si>
    <t xml:space="preserve">SB/ COBIÇA FAZENDA TONHÃO MARINS </t>
  </si>
  <si>
    <t xml:space="preserve">210 DE ALVARO/ SB </t>
  </si>
  <si>
    <t xml:space="preserve">214 TAMBOR </t>
  </si>
  <si>
    <t>220 CLEITON MARIMBONDO / MARETA (MARCIO)</t>
  </si>
  <si>
    <t>IVAN</t>
  </si>
  <si>
    <t xml:space="preserve">SB/ TC 3 VIAGENS </t>
  </si>
  <si>
    <t xml:space="preserve">200 LITROS </t>
  </si>
  <si>
    <t>SILO/ CLARET COQUEIRAL</t>
  </si>
  <si>
    <t>COQUEIRAL ESTUFA/ SB</t>
  </si>
  <si>
    <t xml:space="preserve">SB/ FAZENDA DIONE PATURI </t>
  </si>
  <si>
    <t>BRENO</t>
  </si>
  <si>
    <t>CAMPANHA/ 220 CLEITON</t>
  </si>
  <si>
    <t xml:space="preserve">PLÍNIO </t>
  </si>
  <si>
    <t xml:space="preserve">PUXAR ESCAVADEIRA DE SBA/LUMINÁRIAS - LUMINÁRIAS/SBA </t>
  </si>
  <si>
    <t>Beto</t>
  </si>
  <si>
    <t xml:space="preserve">Levar 220A (cleiton) do Campo limpo/ </t>
  </si>
  <si>
    <t>Levar Mês. Caio F Nos Terras/ Jardim (felipe)</t>
  </si>
  <si>
    <t xml:space="preserve">Beto </t>
  </si>
  <si>
    <t>SB/ Silo do Claré/ Faz. Bonella (220N) Anderson</t>
  </si>
  <si>
    <t>Levar Caçamba para Lavras</t>
  </si>
  <si>
    <t>Codorna</t>
  </si>
  <si>
    <t xml:space="preserve">Bonete </t>
  </si>
  <si>
    <t>Faz Divisa/ Faz Juriti/ SBA</t>
  </si>
  <si>
    <t>SBA/ Varginha (ida e volta) Arrumar CTA</t>
  </si>
  <si>
    <t>Ida e Volta Barra mança (não carregou) Juiz Mario</t>
  </si>
  <si>
    <t xml:space="preserve">SBA/ Venda do chico (Pedro) 220A (Cleiton) - levar para NSA Antenor </t>
  </si>
  <si>
    <t xml:space="preserve">Juiz Mario </t>
  </si>
  <si>
    <t xml:space="preserve">SBA/ Barra Mança/ Nepomuceno - levar panhadeira de café </t>
  </si>
  <si>
    <t xml:space="preserve">Ronaldo Campanha </t>
  </si>
  <si>
    <t>Puxar Colheitadeira ( SBA - Campanha/ Campanha - SBA)</t>
  </si>
  <si>
    <t>SBA/ faz N.S. - ida e volta  - levar 220 do Cleiton</t>
  </si>
  <si>
    <t xml:space="preserve">SBA/ Jardim ida e volta  levar 2 tratores de esteira  </t>
  </si>
  <si>
    <t>Pedro Pr</t>
  </si>
  <si>
    <t>SBA/ Trevo Conceição  ida e volta  (Esc)</t>
  </si>
  <si>
    <t>SBA/ Muriaé ida e volta, levar 1938</t>
  </si>
  <si>
    <t xml:space="preserve">Pedro </t>
  </si>
  <si>
    <t>SBA/ Faz Juriti - Venda do chico (agrobanco)</t>
  </si>
  <si>
    <t xml:space="preserve">Dalto/ vinivius e joão </t>
  </si>
  <si>
    <t>SBA/ Faz, N. S. Campestre - Volta 220 Cleiton, e joão becatti</t>
  </si>
  <si>
    <t xml:space="preserve">SBA/ Varginha ida e volta - Levar carreta p conserto </t>
  </si>
  <si>
    <t xml:space="preserve">SBA/ Faz Caampestre e Dalto </t>
  </si>
  <si>
    <t xml:space="preserve">Pedro Couto/ Antenor </t>
  </si>
  <si>
    <t xml:space="preserve">SBA/ São Sonsalo Levar perfil (Antenor) </t>
  </si>
  <si>
    <t>Jardim/ Faz Arnaldo ida e volta -  (pá Carregadeita) (220 Anderson)</t>
  </si>
  <si>
    <t>João Becatti</t>
  </si>
  <si>
    <t xml:space="preserve">SBA/ Faz Tadinho - Faz Arnaldo ida e volta </t>
  </si>
  <si>
    <t>Robinho</t>
  </si>
  <si>
    <t xml:space="preserve">SBA/ Faz São Francisco (Aantenor) - Escavadeira </t>
  </si>
  <si>
    <t xml:space="preserve">Milton </t>
  </si>
  <si>
    <t>sba/ faz divisa, buscar trator do miltos para o Arnaldo.</t>
  </si>
  <si>
    <t xml:space="preserve">João </t>
  </si>
  <si>
    <t>Faz Arnald/ sba, máquina do João.</t>
  </si>
  <si>
    <t>sba/ buscar carregadeira tc para faz S. Antonio.</t>
  </si>
  <si>
    <t xml:space="preserve">João/ Vinicius </t>
  </si>
  <si>
    <t xml:space="preserve">sba/varginha - levar carregadeiera vinicius tc - carregadeira joão </t>
  </si>
  <si>
    <t>sba/ campestre/ jardim e volta - escavadeira cleiton.</t>
  </si>
  <si>
    <t xml:space="preserve">vinicius </t>
  </si>
  <si>
    <t xml:space="preserve">levar cavalinho para manutenção em TC. </t>
  </si>
  <si>
    <t>Maio Juiz</t>
  </si>
  <si>
    <t xml:space="preserve">sba/ nepomuceno e volta </t>
  </si>
  <si>
    <t>Becatti</t>
  </si>
  <si>
    <t>sba/ varginha - Buscar Donizeete p jardim.</t>
  </si>
  <si>
    <t>Deon</t>
  </si>
  <si>
    <t>sba/ Fernão dias - Barra mansa/ sba</t>
  </si>
  <si>
    <t>sba/ Jardim/ Grilo (Faz Issara)</t>
  </si>
  <si>
    <t xml:space="preserve">M Vinicius </t>
  </si>
  <si>
    <t xml:space="preserve">Faz Issara/ faz M Vinicius/ sba </t>
  </si>
  <si>
    <t xml:space="preserve">sba/ tc levar Conj pra lavar. </t>
  </si>
  <si>
    <t>Filpe</t>
  </si>
  <si>
    <t xml:space="preserve">Buscar D150 em BH. Ida e Volta </t>
  </si>
  <si>
    <t xml:space="preserve">sba/ varg - levar caminhão para lavar </t>
  </si>
  <si>
    <t xml:space="preserve">Lauro </t>
  </si>
  <si>
    <t>sba/ Ent do pico Gav./ Silo claré (TDE)</t>
  </si>
  <si>
    <t>M. Vinicius</t>
  </si>
  <si>
    <t>sba/ faz G. / Faz Divisa</t>
  </si>
  <si>
    <t>Trazer da Faz Arnaldo para a Faz Divisa (Escavadeira 220 Anderson)</t>
  </si>
  <si>
    <t xml:space="preserve">J  Becate </t>
  </si>
  <si>
    <t xml:space="preserve">sba/ cachoeira/ faz peroba </t>
  </si>
  <si>
    <t>tc/ embarcar trator novo para SBA</t>
  </si>
  <si>
    <t>tc/ embarcar trator novo com defeito para BH</t>
  </si>
  <si>
    <t>Mimi</t>
  </si>
  <si>
    <t xml:space="preserve">sba/ Vargam G Paulista/ Buscar Trator de esteira </t>
  </si>
  <si>
    <t>Lavar caminhão</t>
  </si>
  <si>
    <t>Codorma****</t>
  </si>
  <si>
    <t xml:space="preserve">sba/ tc - Maq do Lobinho </t>
  </si>
  <si>
    <t>sba/ jardim - Trator esteira 7D1</t>
  </si>
  <si>
    <t xml:space="preserve">Faz Marco Aurélio/ Dr Frede </t>
  </si>
  <si>
    <t xml:space="preserve">Mimi </t>
  </si>
  <si>
    <t xml:space="preserve">Sba/ TC - Maq do João </t>
  </si>
  <si>
    <t>Escavadeira do  Bonella ao Dilson</t>
  </si>
  <si>
    <t>Escavadeira so Claré a SBA</t>
  </si>
  <si>
    <t>Escavadeira sba/ Valdeci Purcina</t>
  </si>
  <si>
    <t>Dia 10/ abasteceu 35 litros/ Trator de esteira ddo Jardim ao Coqueiral</t>
  </si>
  <si>
    <t xml:space="preserve">Dia 21/ abasteceu 235 litros/ Santa Helena para Juriti - tanque </t>
  </si>
  <si>
    <t xml:space="preserve">Juriti para Santa Helena - Tanque </t>
  </si>
  <si>
    <t xml:space="preserve">Valdeci </t>
  </si>
  <si>
    <t xml:space="preserve">Carregadeira DTC para Valdeci </t>
  </si>
  <si>
    <t xml:space="preserve">Trator da Arma 700J do Jardim para Coqueiral </t>
  </si>
  <si>
    <t xml:space="preserve">João e Ciro </t>
  </si>
  <si>
    <t>Trator do Jardim para coqueiral / Grade do Ciro para coqueiral (dividido por 2 )</t>
  </si>
  <si>
    <t xml:space="preserve">Escavadeira de Dirson para Arnaldo </t>
  </si>
  <si>
    <t xml:space="preserve">Buscar caçamba em Lavras  </t>
  </si>
  <si>
    <t>Luiz Paulo</t>
  </si>
  <si>
    <t>Trator de SBA para TC.</t>
  </si>
  <si>
    <t>Escavadeira para Jardim para SB</t>
  </si>
  <si>
    <t xml:space="preserve">Esteira de Valdeci para antenor </t>
  </si>
  <si>
    <t xml:space="preserve">Escavadeira de jardim para são bento. para Marco Aurélio </t>
  </si>
  <si>
    <t xml:space="preserve">Valdeci para Luiz Batateiro </t>
  </si>
  <si>
    <t>Esteira de Antenor para Arnaldo</t>
  </si>
  <si>
    <t xml:space="preserve">Esteira de Marco Aurélio para Casa nova </t>
  </si>
  <si>
    <t>Escavadeira de sba para TC</t>
  </si>
  <si>
    <t>Levar caminhão para reforma de TC a Muriaé do Antenor</t>
  </si>
  <si>
    <t>Gean</t>
  </si>
  <si>
    <t>Escavadeira para Jardim para Carrancas</t>
  </si>
  <si>
    <t xml:space="preserve">Escavaceira de carrancas para carrancas/ Trocar de fazenda </t>
  </si>
  <si>
    <t>Marçal</t>
  </si>
  <si>
    <t xml:space="preserve">Trator de SBA para tres pontas </t>
  </si>
  <si>
    <t xml:space="preserve">Luiz Paulo </t>
  </si>
  <si>
    <t>Trator de tc para SB</t>
  </si>
  <si>
    <t xml:space="preserve">Escavadeira de luiz batateiro para ccare faz ataljo </t>
  </si>
  <si>
    <t xml:space="preserve">Esteira de Luiz Batateiero para magda gazola </t>
  </si>
  <si>
    <t>Cezar</t>
  </si>
  <si>
    <t xml:space="preserve">Trator de SBA para Ritápolis </t>
  </si>
  <si>
    <t xml:space="preserve">Escavadeira de Arnaldo p </t>
  </si>
  <si>
    <t>Escavadeira d</t>
  </si>
  <si>
    <t xml:space="preserve">Escavadeira de Claré para Diego Fachardo  </t>
  </si>
  <si>
    <t xml:space="preserve">Escavadeira de Antenor para Mauro Bonésio </t>
  </si>
  <si>
    <t xml:space="preserve">joão </t>
  </si>
  <si>
    <t>Esteira Divisa para coqueital</t>
  </si>
  <si>
    <t xml:space="preserve">Corrego do ouro para ingai </t>
  </si>
  <si>
    <t>mimi</t>
  </si>
  <si>
    <t xml:space="preserve">plantadeira tres postas ingai </t>
  </si>
  <si>
    <t>Petramaq</t>
  </si>
  <si>
    <t>Uniport TC para Ingaí</t>
  </si>
  <si>
    <t xml:space="preserve">SBA/ Diesgo - Esteira </t>
  </si>
  <si>
    <t xml:space="preserve">SBA/ Arnaldo/ Valder Farmacia - Escavadeira </t>
  </si>
  <si>
    <t xml:space="preserve">SBA/ Barra Mansa/ Onofre - Esteira </t>
  </si>
  <si>
    <t xml:space="preserve">São Francisco/ SBA - Pá Carregadeira </t>
  </si>
  <si>
    <t xml:space="preserve">Diesgo Valder Farmácia - Esteira </t>
  </si>
  <si>
    <t xml:space="preserve">SBA Três corações - Trator de pneu </t>
  </si>
  <si>
    <t xml:space="preserve">SBA/ Walder/ Diego - Esteira </t>
  </si>
  <si>
    <t xml:space="preserve">Valder/ Bonela - Escavadeira </t>
  </si>
  <si>
    <t xml:space="preserve">SBA/ Onofre/ Arnaldo - Esteira </t>
  </si>
  <si>
    <t>Gilcoco</t>
  </si>
  <si>
    <t xml:space="preserve">SBA/ São Tomé/ São gonçalo - Escavadeira </t>
  </si>
  <si>
    <t xml:space="preserve">TC/ SBA/ Valdivino </t>
  </si>
  <si>
    <t xml:space="preserve">SBA/ Claré </t>
  </si>
  <si>
    <t xml:space="preserve">Abastecimento </t>
  </si>
  <si>
    <t xml:space="preserve">claré </t>
  </si>
  <si>
    <t xml:space="preserve">SBA/ Varginha/ Trator pneu </t>
  </si>
  <si>
    <t xml:space="preserve">Diego fachardo / Jardim </t>
  </si>
  <si>
    <t xml:space="preserve">Jardim / Diego Fachardo - Esteira </t>
  </si>
  <si>
    <t xml:space="preserve">Bonela/ SBA - Escavadeira </t>
  </si>
  <si>
    <t xml:space="preserve">SBA/ Valdinho Farmácia - esteira </t>
  </si>
  <si>
    <t>SBA/ São gonçalo / SBA</t>
  </si>
  <si>
    <t xml:space="preserve">SBA/ Luminárias - Escavadeira </t>
  </si>
  <si>
    <t>Abastecimento</t>
  </si>
  <si>
    <t xml:space="preserve">SBA/ Valdinho / Onofre / SBA - Escavadeira </t>
  </si>
  <si>
    <t xml:space="preserve">SBA/ TC - manutenção do caminhão </t>
  </si>
  <si>
    <t xml:space="preserve">SBA/ Varginha/ Gabriel / Esteira </t>
  </si>
  <si>
    <t xml:space="preserve">Valdinho/ SBA </t>
  </si>
  <si>
    <t xml:space="preserve">SBA/ Limunárias - Esteira </t>
  </si>
  <si>
    <t>Cristiano</t>
  </si>
  <si>
    <t>SBA/ Diego/ Campo formoso/ Pratinha - Escavadeira 220 A</t>
  </si>
  <si>
    <t xml:space="preserve">sba/ Carmo Rio Claro </t>
  </si>
  <si>
    <t xml:space="preserve">Cristinao </t>
  </si>
  <si>
    <t>Carmo Rio claro/ Carrancas/ sba</t>
  </si>
  <si>
    <t>sba/sba</t>
  </si>
  <si>
    <t>SBA/ Faz Prata - 220 para Diego/ 7D1 até guarda</t>
  </si>
  <si>
    <t xml:space="preserve">Cristiano </t>
  </si>
  <si>
    <t>sba/ nazareno/ Carmo Rio Claro - 5030</t>
  </si>
  <si>
    <t>Serviço Claré - Esteira 7D2</t>
  </si>
  <si>
    <t xml:space="preserve">SBA/ Faz Onofre </t>
  </si>
  <si>
    <t>SBA/ TC - Eletricista/ Varginha/ SBA</t>
  </si>
  <si>
    <t>Valdemar</t>
  </si>
  <si>
    <t xml:space="preserve">SBA/ </t>
  </si>
  <si>
    <t xml:space="preserve">SBA/ Trevo Faz Dias Três corações </t>
  </si>
  <si>
    <t xml:space="preserve">SBA/ Passos levae 7D manutenção/ Passos/ Perdões/ Perfreios/ Luminárias/ Faz Arnaldo/ Esteira John Deere. </t>
  </si>
  <si>
    <t>Escavadeira SBA/ Três corações</t>
  </si>
  <si>
    <t>Esteira 700J/ Arnaldo/ Luminárias/ Bielzinho</t>
  </si>
  <si>
    <t xml:space="preserve">SBA/ TC/ Silo Claret/ Trator </t>
  </si>
  <si>
    <t>Gilson</t>
  </si>
  <si>
    <t xml:space="preserve">Barra Mansa/ Carvoeira </t>
  </si>
  <si>
    <t>L Paulo</t>
  </si>
  <si>
    <t>SBA/ Fazenda Dias</t>
  </si>
  <si>
    <t xml:space="preserve">Vincius </t>
  </si>
  <si>
    <t>SBA/ Lavras - Levar Caçamba</t>
  </si>
  <si>
    <t xml:space="preserve">SBA/ Silo Claret/ Varginha - Levar Trator </t>
  </si>
  <si>
    <t>Fazenda Onofre/ Passos/ E volta com Esteira/ SBA Saulzinho</t>
  </si>
  <si>
    <t>Biel</t>
  </si>
  <si>
    <t xml:space="preserve">SBA/ Luminárias/ Fazenda Paleta </t>
  </si>
  <si>
    <t>Fazenda Paleta/ Fazenda Gabriel/ SBA</t>
  </si>
  <si>
    <t xml:space="preserve">SBA/ TC/ SBA </t>
  </si>
  <si>
    <t>SBA/ FAZ DIVISA/ LEVAR 220 ANDERSON</t>
  </si>
  <si>
    <t>SBA/ RECANTO LEVAR 7D2</t>
  </si>
  <si>
    <t>SBA/ INGAI BISCAR 220 SILVINHO</t>
  </si>
  <si>
    <t>ZÉ BARRA</t>
  </si>
  <si>
    <t>SBA/ MINDURI/ INGAI/ LEVAR M. ZÉ DA BARRA</t>
  </si>
  <si>
    <t>SBA/ FAZ DIVISA / MARCAL LEVAR 220 SILVINHO</t>
  </si>
  <si>
    <t xml:space="preserve">BONELLA </t>
  </si>
  <si>
    <t xml:space="preserve">SBA/ DIVISA/ PUXAR LINHAS PARA PONTE </t>
  </si>
  <si>
    <t>SBA/ CAMPANHA/ BUSCAR TRATOR PR</t>
  </si>
  <si>
    <t xml:space="preserve">mUDAR SILVINHO 220 PARA MARCAL E DEPOIS DENIS </t>
  </si>
  <si>
    <t xml:space="preserve">SBA/ TC LEVAR PÁ CARREGADEIRA </t>
  </si>
  <si>
    <t>SBA/ FAZ DIVISA / BUSCAR 220 ANDERSON</t>
  </si>
  <si>
    <t>SBA/ CARMO CACHOEIRA/ LEVAR 220 ANDERSON</t>
  </si>
  <si>
    <t>SBA/ CARMO DA CACHOEIRA/ FAZENDA ROSEIRA BUSCAR 220 ANDERSON</t>
  </si>
  <si>
    <t xml:space="preserve">TC/ SBA/ TRAZER FERRAGENS </t>
  </si>
  <si>
    <t xml:space="preserve">SBA/ BARRA MANSA/ LEVAR 220 SILVINHO </t>
  </si>
  <si>
    <t>SBA/ CARMO DA CACHOEIRA/ LEVAR 210 E 7d2</t>
  </si>
  <si>
    <t>FILIPE</t>
  </si>
  <si>
    <t xml:space="preserve">SBA/ CARMO DA CACHOEIRA/ LEVAR TRATOR E GRADE </t>
  </si>
  <si>
    <t xml:space="preserve">SBA/ ROSEIRA / BUSCAR 220 ANDERSON </t>
  </si>
  <si>
    <t xml:space="preserve">SBA/ BARRA MANSA/ MUDAR 220 SILVINHO </t>
  </si>
  <si>
    <t>BUSCAR CAÇAMBA EM SÃO GONÇALO</t>
  </si>
  <si>
    <t xml:space="preserve">MARCAL </t>
  </si>
  <si>
    <t>SBA/ CAMPANHA/ BUSCAR PC 130</t>
  </si>
  <si>
    <t xml:space="preserve">SBA/ CARMO DA CACHOEIRA BUSCAR TRATOR GRADE </t>
  </si>
  <si>
    <t xml:space="preserve">SBA/ LEVAR PC130 NA FAZENDA DO MARCAL </t>
  </si>
  <si>
    <t xml:space="preserve">SBA FAZ VITOR BUSCAR 700j </t>
  </si>
  <si>
    <t>SBA/ FAZ CAMPESTRE/ BUSCAR 220 ANDERSON</t>
  </si>
  <si>
    <t>SBA/ FAZENDA PONTA ALTA MUDAR 220 ANDERSON</t>
  </si>
  <si>
    <t>SBA/ FAZENDA VERA CRUZ/ MUDAR 700j</t>
  </si>
  <si>
    <t>SBA/ CARMO DA CACHOEIRA BUSCAR 210</t>
  </si>
  <si>
    <t>PIETRO</t>
  </si>
  <si>
    <t xml:space="preserve">SBA/ TC LEVAR CARREGADEIRA </t>
  </si>
  <si>
    <t>MARCAL</t>
  </si>
  <si>
    <t>SBA/ CAMPANHA/ LEVAR PC 130</t>
  </si>
  <si>
    <t>SBA/ SBA / BISCAR 220 ANDERSON</t>
  </si>
  <si>
    <t>SBA/ FAZENDA DOS TERRAS / LEVAR 220 ANDERSON</t>
  </si>
  <si>
    <t>ANTENOR</t>
  </si>
  <si>
    <t xml:space="preserve">SBA/ SBA/ MUDAR 220 SILVINHO - FAZ SANTO ANTÔNIO </t>
  </si>
  <si>
    <t xml:space="preserve">SBA/ VARGINHA/ MANUTENÇÃO </t>
  </si>
  <si>
    <t>SBA/CARMO DA CACHOEIRA/ LEVAR 210</t>
  </si>
  <si>
    <t>SBA/ FAZENDINHA LEVAR 220 SILVINHO</t>
  </si>
  <si>
    <t>SBA/ SITIO DA MICHELE / LEVAR 700j</t>
  </si>
  <si>
    <t xml:space="preserve">SBA/ TC MANUTENÇÃO </t>
  </si>
  <si>
    <t>SBA/ Vargem Grande Paulista / Buscar 700J</t>
  </si>
  <si>
    <t>SBA/ Faz Lage / Faz Tira Couro - mudar silvinho</t>
  </si>
  <si>
    <t xml:space="preserve">SBA/ BH Lrvsr 210 r trazer 215H nova </t>
  </si>
  <si>
    <t>SBA/ Carmo da Cachoeira / Levar 700J</t>
  </si>
  <si>
    <t>Sba/ Carmo da Cachoeira / trazer 7D2</t>
  </si>
  <si>
    <t xml:space="preserve">SBA / Faz Mata vaca mudar 220 anderson </t>
  </si>
  <si>
    <t xml:space="preserve">SBA/ Faz Zé bastos - mudar 220 Silvinho </t>
  </si>
  <si>
    <t>SBA/ SBA</t>
  </si>
  <si>
    <t>SBA/ Serranos - levar 700J</t>
  </si>
  <si>
    <t xml:space="preserve">SBA/ Faz Denis / Levar 220 Anderson </t>
  </si>
  <si>
    <t>SBA/ carmo da cachoeira / mudar 215H</t>
  </si>
  <si>
    <t>Marcal</t>
  </si>
  <si>
    <t xml:space="preserve">SBA/ três pontas/ levar colhedeira café </t>
  </si>
  <si>
    <t xml:space="preserve">SBA/ cachoeira/ TC levar e trazer carregadeira </t>
  </si>
  <si>
    <t>Carmo da cachoeira/ SBA trazer 700J</t>
  </si>
  <si>
    <t>SBA/ ingaí levar 220 Silvinho</t>
  </si>
  <si>
    <t>SBA/ Carmo da Cachoeira - Levar 7D2</t>
  </si>
  <si>
    <t xml:space="preserve">SBA/ SBA/ Marçal Embarcar colhedeira café </t>
  </si>
  <si>
    <t xml:space="preserve">SBA/ TC - Oficina </t>
  </si>
  <si>
    <t>SBA/SBA/mudar 700J</t>
  </si>
  <si>
    <t xml:space="preserve">SBA/ Faz Campestre - Buscar 220 Anderson </t>
  </si>
  <si>
    <t xml:space="preserve">SBA/ Faz Santa Luciana - Levar 700J </t>
  </si>
  <si>
    <t xml:space="preserve">SBA/ Faz Campestre - Levar 220 Anderson </t>
  </si>
  <si>
    <t xml:space="preserve">SBA/ TC Levar trator </t>
  </si>
  <si>
    <t>WEliton</t>
  </si>
  <si>
    <t xml:space="preserve">SBA/ Faz Serrotinho - levar colhedeira de café </t>
  </si>
  <si>
    <t>SBA/ faz vista alegre - mudar Pc130 - Mineiro</t>
  </si>
  <si>
    <t xml:space="preserve">SBA/ ingaí levar 220 Silvinho para cachoeira </t>
  </si>
  <si>
    <t xml:space="preserve">CARMO DA CACHOEIRA PARA LAVRAS LEVAR SANNY MARCOS </t>
  </si>
  <si>
    <t>SBA/ TRES PONTAS LEVAR MAQUINA - TRATOR TDI</t>
  </si>
  <si>
    <t xml:space="preserve">SBA/ CARMO DA CACHOEIRA - BUSCAR 700j </t>
  </si>
  <si>
    <t>SBA/ NEPOMUCENO - VIAGEM DE FEIJÃO</t>
  </si>
  <si>
    <t>Antenor</t>
  </si>
  <si>
    <t xml:space="preserve">SBA/ FAZ PAIVA LEVAR CAFFEGADEIRA </t>
  </si>
  <si>
    <t xml:space="preserve">SBA FAZ ROSEIRA LEVAR COLHEDEIRA CAFÉ </t>
  </si>
  <si>
    <t>SBA/ FAZ CASA NOVA LEVAR PC 130</t>
  </si>
  <si>
    <t xml:space="preserve">SBA/ FAZENDA DIVISA/ ROSEIRA </t>
  </si>
  <si>
    <t>SBA/ TC/ FAZ DIVISA/ LEVAR KOMATSU D51</t>
  </si>
  <si>
    <t xml:space="preserve">SBA/ TRES PONTAS/ LEVAR VIGAS - TRAZER PULVERIZADOR </t>
  </si>
  <si>
    <t>SBA/ FAZ CAMPESTRE - BUSCAR 700j OSMAR</t>
  </si>
  <si>
    <t>SBA/ CARMO DA CACHOEIRA - LEVAR 700j MARCELO</t>
  </si>
  <si>
    <t>BONELLA</t>
  </si>
  <si>
    <t xml:space="preserve">SBA/ MONTE MOR PARA CARMO DA CACHOEIRA BUSCAR TRATORES </t>
  </si>
  <si>
    <t xml:space="preserve">CARMO DA CACHOEIRA / FAZENDA ROSEIRA BUSCAR COLHEDEIRA CAFÉ </t>
  </si>
  <si>
    <t>SBA/ INGAÍ/ LEVAR PULVERIZADOR</t>
  </si>
  <si>
    <t xml:space="preserve">SBA/ TRES PONTAS/ LEVAR PULVERIZADOR </t>
  </si>
  <si>
    <t>FAZ CAMPESTRE / CARMO DA CACHOEIRA LEVAR 220 ANDERSON</t>
  </si>
  <si>
    <t>SBA/ TC/ MANUTENÇÃO</t>
  </si>
  <si>
    <t>SBA/ CARMO DA CACHOEIRA/ BUSCAR 700j MARCELO</t>
  </si>
  <si>
    <t xml:space="preserve">SBA/ ITAPEVA BUSCAR f4000 / VARGINHA </t>
  </si>
  <si>
    <t>VARGINHA/ FAZ ROSEIRA/ SBA TRAZER PC 130</t>
  </si>
  <si>
    <t>SBA/ CARMO DA CACHOEIRA/ LEVAR 700j MARCELO</t>
  </si>
  <si>
    <t>SBA/ CARMO CACHOEIRA / BUSCAR 220 SILVINHO</t>
  </si>
  <si>
    <t xml:space="preserve">LEVAR 220/ sILVINHO EM LAVRAS </t>
  </si>
  <si>
    <t>tRAZER 220 aNDERSON DE cARMO PARA sba</t>
  </si>
  <si>
    <t>LEANDRO</t>
  </si>
  <si>
    <t xml:space="preserve">SBA/ VARGINHA BUSCAR COLHEDEIRA DE CAFÉ </t>
  </si>
  <si>
    <t xml:space="preserve">SBA/ FAZ ROSEIRA/ tc bUSCAR tAMQUE </t>
  </si>
  <si>
    <t>FELIPE</t>
  </si>
  <si>
    <t xml:space="preserve">SBA/ CARMO CACHOEIRA / BUSCAR TRATOR COM GRADE </t>
  </si>
  <si>
    <t xml:space="preserve">ANDRÉ </t>
  </si>
  <si>
    <t xml:space="preserve">SBA/ TC/ BAMBUI 1/9 TC </t>
  </si>
  <si>
    <t>Mario</t>
  </si>
  <si>
    <t xml:space="preserve">Faz Mimosa / Faz Divisa </t>
  </si>
  <si>
    <t xml:space="preserve">Mario </t>
  </si>
  <si>
    <t xml:space="preserve">Buscar carregadeira em Claudio / Sba </t>
  </si>
  <si>
    <t xml:space="preserve">Sba / Campos Gerais / Sba </t>
  </si>
  <si>
    <t xml:space="preserve">André </t>
  </si>
  <si>
    <t xml:space="preserve">Buscar escavadeira Silvinho / Sba </t>
  </si>
  <si>
    <t xml:space="preserve">Levar escavadeira Silvinho </t>
  </si>
  <si>
    <t xml:space="preserve">Faz Divisa / Faz Carmo da Cachoeira </t>
  </si>
  <si>
    <t xml:space="preserve">Buscar carregadeira Santa Elena / Faz Orlia </t>
  </si>
  <si>
    <t xml:space="preserve">Mauricio </t>
  </si>
  <si>
    <t xml:space="preserve">Buscar trator Nazareno / Cruz Alta </t>
  </si>
  <si>
    <t xml:space="preserve">Buscar trator faz Engenho do Cerro / Sba </t>
  </si>
  <si>
    <t xml:space="preserve">Buscar 11 palete de pedra </t>
  </si>
  <si>
    <t xml:space="preserve">Levar 5030 Sba / Adubador </t>
  </si>
  <si>
    <t xml:space="preserve">Levar escavadeira do Silvinho / Carmo </t>
  </si>
  <si>
    <t xml:space="preserve">Buscar trator termo dias / São Francisco </t>
  </si>
  <si>
    <t xml:space="preserve">Buscar trator esteira - Mimoso / sba </t>
  </si>
  <si>
    <t xml:space="preserve">Buscar escavadeira Anderson / sba </t>
  </si>
  <si>
    <t>Buscar Rolo Varginha/ SBA</t>
  </si>
  <si>
    <t xml:space="preserve">Levar trator esteira sba/ campestre </t>
  </si>
  <si>
    <t xml:space="preserve">Buscar trator de esteira perto sba / Sitio Vinicius </t>
  </si>
  <si>
    <t xml:space="preserve">Levar trator Sitio vinicius / Luminárias </t>
  </si>
  <si>
    <t xml:space="preserve">Trazer escavadeira do marco Jardim/ Perto chale bonella </t>
  </si>
  <si>
    <t xml:space="preserve">levar pá carregadeira sba/ Parque ecológico Lavras </t>
  </si>
  <si>
    <t>Buscar escavadeira FAz Esperança / Faz Perdra</t>
  </si>
  <si>
    <t xml:space="preserve">Buscar escavadeira Campestre / SBA Antenor </t>
  </si>
  <si>
    <t xml:space="preserve">Buscar escavadeira / Campestre </t>
  </si>
  <si>
    <t>Buscar Adubo Arceburgo / sba</t>
  </si>
  <si>
    <t xml:space="preserve">buscar escavadeira Anderson / Bananal </t>
  </si>
  <si>
    <t xml:space="preserve">Buscar trator sba/ fazenda orleans </t>
  </si>
  <si>
    <t xml:space="preserve">buscar trator fazenda engenho / sba </t>
  </si>
  <si>
    <t xml:space="preserve">Buscar trator TC/ SBA </t>
  </si>
  <si>
    <t xml:space="preserve">Levar rolo compactador Campestre/ Varginha </t>
  </si>
  <si>
    <t xml:space="preserve">Leandron </t>
  </si>
  <si>
    <t xml:space="preserve">Levar retro sba/ Varginha </t>
  </si>
  <si>
    <t>Tininho</t>
  </si>
  <si>
    <t xml:space="preserve">Levar escavadeira Campestre / lavras </t>
  </si>
  <si>
    <t xml:space="preserve">Buscar Escavadeira Faz PEroba para Faz Mimoso </t>
  </si>
  <si>
    <t xml:space="preserve">Buscar escavadeira Carmo para fazenda Filipe </t>
  </si>
  <si>
    <t>Levar 50/30 TC x SBA</t>
  </si>
  <si>
    <t xml:space="preserve">buscar trator esteira campestre/ sba </t>
  </si>
  <si>
    <t>Buscar escavadeira Anderson</t>
  </si>
  <si>
    <t xml:space="preserve">Levar trator marcelo SBA/ Mimoso </t>
  </si>
  <si>
    <t xml:space="preserve">Buscar escavadeira mimoso/ cascalho </t>
  </si>
  <si>
    <t xml:space="preserve">Buscar Prancha </t>
  </si>
  <si>
    <t xml:space="preserve">levar trator sba / tres pontas </t>
  </si>
  <si>
    <t xml:space="preserve">Buscar Caminhão Lavras </t>
  </si>
  <si>
    <t>Viniciu</t>
  </si>
  <si>
    <t>Marinho</t>
  </si>
  <si>
    <t xml:space="preserve">Data </t>
  </si>
  <si>
    <t>Hora Inicio</t>
  </si>
  <si>
    <t xml:space="preserve">Hora término </t>
  </si>
  <si>
    <t>Almoco</t>
  </si>
  <si>
    <t>Total de horas dia</t>
  </si>
  <si>
    <t>Cliente</t>
  </si>
  <si>
    <t xml:space="preserve">Local </t>
  </si>
  <si>
    <t xml:space="preserve">Josuá </t>
  </si>
  <si>
    <t xml:space="preserve">Dauto </t>
  </si>
  <si>
    <t xml:space="preserve">Puxar terra </t>
  </si>
  <si>
    <t>Faz Campo do Meio</t>
  </si>
  <si>
    <t xml:space="preserve">Apontamentos Máquina: Pá Carrgadeira </t>
  </si>
  <si>
    <t xml:space="preserve">TONHÃO MARINS </t>
  </si>
  <si>
    <t>HELIVELTON</t>
  </si>
  <si>
    <t>Tonhão marins (silagem)</t>
  </si>
  <si>
    <t>Claré</t>
  </si>
  <si>
    <t>Entupir Grota</t>
  </si>
  <si>
    <t>Antenor Rabelo</t>
  </si>
  <si>
    <t>Cilagem</t>
  </si>
  <si>
    <t>Samuel</t>
  </si>
  <si>
    <t xml:space="preserve">Samuel </t>
  </si>
  <si>
    <t>Destoca e correção de terras.</t>
  </si>
  <si>
    <t>Carregando esterco</t>
  </si>
  <si>
    <t xml:space="preserve">Terraplanagem/ 25,26,27 manutenção </t>
  </si>
  <si>
    <t xml:space="preserve">Dr Pedro Silagem </t>
  </si>
  <si>
    <t xml:space="preserve">Silagem </t>
  </si>
  <si>
    <t xml:space="preserve">Cemig </t>
  </si>
  <si>
    <t>Fazenda Sr Calil</t>
  </si>
  <si>
    <t xml:space="preserve">Mês 04 - 05 equipamento em manutenção </t>
  </si>
  <si>
    <t xml:space="preserve">Rincão </t>
  </si>
  <si>
    <t xml:space="preserve">Trabalho realizado em meio ao Serviço Daniel </t>
  </si>
  <si>
    <t xml:space="preserve">Luiz Fernando </t>
  </si>
  <si>
    <t xml:space="preserve">Sr Calil - Origo </t>
  </si>
  <si>
    <t xml:space="preserve">Julio Cezar </t>
  </si>
  <si>
    <t>guri</t>
  </si>
  <si>
    <t xml:space="preserve">Julio César </t>
  </si>
  <si>
    <t>Máquina vendida</t>
  </si>
  <si>
    <t xml:space="preserve">     bg</t>
  </si>
  <si>
    <t xml:space="preserve">Apontamentos Máquina: Trator Esteira 7D1 </t>
  </si>
  <si>
    <t>H Inicial</t>
  </si>
  <si>
    <t xml:space="preserve">H Final </t>
  </si>
  <si>
    <t>Diesel Un</t>
  </si>
  <si>
    <t xml:space="preserve">4,4 HORAS TRABALHADAS </t>
  </si>
  <si>
    <t>LUIZ CARLOS RESENDE (Curiango)</t>
  </si>
  <si>
    <t xml:space="preserve">Sítio Luiz Carlos </t>
  </si>
  <si>
    <t xml:space="preserve">ARRUMAR TERRENO E CURVAS - SITIO LUIZ CARLOS </t>
  </si>
  <si>
    <t xml:space="preserve">JOÃO DE GETÚLIO </t>
  </si>
  <si>
    <t xml:space="preserve">Casa João de Geúlio </t>
  </si>
  <si>
    <t xml:space="preserve">JOZIEL </t>
  </si>
  <si>
    <t xml:space="preserve">SBL JOÃO DE GETÚLIO/TERREIRO DE CAFÉ E ESTRADA DA CASA </t>
  </si>
  <si>
    <t xml:space="preserve">FAZENDA OLINDA </t>
  </si>
  <si>
    <t xml:space="preserve">FAZENDINHA  360L CLIENTE </t>
  </si>
  <si>
    <t xml:space="preserve">Silo do Claré </t>
  </si>
  <si>
    <t xml:space="preserve">CAIO </t>
  </si>
  <si>
    <t>SILO CLARÉ/ PISUAR SILAGEM FELIPE</t>
  </si>
  <si>
    <t xml:space="preserve">Fazenda São Miguel </t>
  </si>
  <si>
    <t>FELIPE CHITÃO, FAZENDA SÃO MIGUEL</t>
  </si>
  <si>
    <t>CLARÉ</t>
  </si>
  <si>
    <t xml:space="preserve">Fazenda Santa Luciana </t>
  </si>
  <si>
    <t xml:space="preserve">ENTUPIR GROTA </t>
  </si>
  <si>
    <t>Destoca</t>
  </si>
  <si>
    <t xml:space="preserve">ESTRADA E GROTA </t>
  </si>
  <si>
    <t xml:space="preserve">SOCORRO CAMINHÃO FELIPE </t>
  </si>
  <si>
    <t xml:space="preserve">ZÉ MARCO </t>
  </si>
  <si>
    <t>ARRASTAR CAÇAMBA ZÉ MARCO</t>
  </si>
  <si>
    <t xml:space="preserve">MAURÍCIO, CRUZ ALTA </t>
  </si>
  <si>
    <t xml:space="preserve">NOS TERRAS </t>
  </si>
  <si>
    <t xml:space="preserve">FAZER ESTRADA E LIMPEZA </t>
  </si>
  <si>
    <t>Fazenda São Bento - Fazendinha</t>
  </si>
  <si>
    <t>Jardim/ Entupir estradas/ Caixas.</t>
  </si>
  <si>
    <t xml:space="preserve">Fazendda Jardim </t>
  </si>
  <si>
    <t xml:space="preserve">Fazenda Jardim </t>
  </si>
  <si>
    <t xml:space="preserve">Marco Aurélio </t>
  </si>
  <si>
    <t>Destoca Beira vale</t>
  </si>
  <si>
    <t xml:space="preserve">casa </t>
  </si>
  <si>
    <t>Limpeza de Caixa</t>
  </si>
  <si>
    <t xml:space="preserve">Luiz Batateiro/ Faz das posses </t>
  </si>
  <si>
    <t>Acertar terreno de luiz batateiro/ Arnaldo</t>
  </si>
  <si>
    <t xml:space="preserve">Magda Gazola </t>
  </si>
  <si>
    <t xml:space="preserve">Fazenda da Mata </t>
  </si>
  <si>
    <t>pagamento dia 19/10</t>
  </si>
  <si>
    <t>Rodrigo Meneguci</t>
  </si>
  <si>
    <t xml:space="preserve">Olho D'agua </t>
  </si>
  <si>
    <t>Silvão</t>
  </si>
  <si>
    <t xml:space="preserve">Laercio </t>
  </si>
  <si>
    <t xml:space="preserve">Faz Santa Rita </t>
  </si>
  <si>
    <t xml:space="preserve">Wender </t>
  </si>
  <si>
    <t xml:space="preserve">Pica pau </t>
  </si>
  <si>
    <t>Saulzinho</t>
  </si>
  <si>
    <t xml:space="preserve">Perto dos Mafra </t>
  </si>
  <si>
    <t xml:space="preserve">Zezão </t>
  </si>
  <si>
    <t>Destoca de Mangueira</t>
  </si>
  <si>
    <t xml:space="preserve">David </t>
  </si>
  <si>
    <t xml:space="preserve">Fazenda dos Costa </t>
  </si>
  <si>
    <t>Zezão/ Caio</t>
  </si>
  <si>
    <t xml:space="preserve">Odair Luizia </t>
  </si>
  <si>
    <t xml:space="preserve">Faz Campestre </t>
  </si>
  <si>
    <t xml:space="preserve">Faz Jardim </t>
  </si>
  <si>
    <t xml:space="preserve">São Bento </t>
  </si>
  <si>
    <t xml:space="preserve">Fabio </t>
  </si>
  <si>
    <t>Pg</t>
  </si>
  <si>
    <t>Vendeu</t>
  </si>
  <si>
    <t xml:space="preserve">Apontamentos Máquina: Máquina do João </t>
  </si>
  <si>
    <t>Valor H</t>
  </si>
  <si>
    <t xml:space="preserve">Valor total </t>
  </si>
  <si>
    <t xml:space="preserve">Donizete </t>
  </si>
  <si>
    <t>Jardim/ Acertar terras</t>
  </si>
  <si>
    <t xml:space="preserve">Trator de esteira </t>
  </si>
  <si>
    <t xml:space="preserve">Apontamentos: Veiculo leve </t>
  </si>
  <si>
    <t xml:space="preserve">Data Lançamento </t>
  </si>
  <si>
    <t>km Inicial</t>
  </si>
  <si>
    <t xml:space="preserve">km Final </t>
  </si>
  <si>
    <t xml:space="preserve">km Realizadas </t>
  </si>
  <si>
    <t xml:space="preserve">Apontamentos: MOTO </t>
  </si>
  <si>
    <t xml:space="preserve">Valor </t>
  </si>
  <si>
    <t xml:space="preserve">Limpeza/ Destoca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</si>
</sst>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#,##0_ ;[Red]\-#,##0\ "/>
    <numFmt numFmtId="166" formatCode="d/m/yyyy"/>
    <numFmt numFmtId="167" formatCode="dd/mm/yyyy"/>
    <numFmt numFmtId="168" formatCode="[$-F400]h:mm:ss\ AM/PM"/>
    <numFmt numFmtId="169" formatCode="_-&quot;R$&quot;\ * #,##0.00_-;\-&quot;R$&quot;\ * #,##0.00_-;_-&quot;R$&quot;\ * &quot;-&quot;??_-;_-@"/>
    <numFmt numFmtId="170" formatCode="[$R$ -416]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25.0"/>
      <color theme="1"/>
      <name val="Calibri"/>
    </font>
    <font/>
    <font>
      <b/>
      <sz val="25.0"/>
      <color theme="0"/>
      <name val="Calibri"/>
    </font>
    <font>
      <sz val="11.0"/>
      <color rgb="FFBF9000"/>
      <name val="Calibri"/>
    </font>
    <font>
      <b/>
      <sz val="11.0"/>
      <color theme="1"/>
      <name val="Calibri"/>
    </font>
    <font>
      <b/>
      <sz val="11.0"/>
      <color rgb="FFBF9000"/>
      <name val="Arial"/>
    </font>
    <font>
      <sz val="11.0"/>
      <color rgb="FF000000"/>
      <name val="Calibri"/>
    </font>
    <font>
      <sz val="14.0"/>
      <color theme="1"/>
      <name val="Arial"/>
    </font>
    <font>
      <sz val="9.0"/>
      <color rgb="FF000000"/>
      <name val="Arial"/>
    </font>
    <font>
      <sz val="11.0"/>
      <color rgb="FFFFFF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7F7F7F"/>
        <bgColor rgb="FF7F7F7F"/>
      </patternFill>
    </fill>
  </fills>
  <borders count="65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</border>
    <border>
      <right/>
    </border>
    <border>
      <left/>
      <bottom style="hair">
        <color rgb="FF000000"/>
      </bottom>
    </border>
    <border>
      <bottom style="hair">
        <color rgb="FF000000"/>
      </bottom>
    </border>
    <border>
      <right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right style="hair">
        <color rgb="FF000000"/>
      </right>
    </border>
    <border>
      <left/>
      <right style="hair">
        <color rgb="FF000000"/>
      </right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hair">
        <color rgb="FF000000"/>
      </right>
      <top/>
      <bottom/>
    </border>
    <border>
      <left/>
      <bottom style="thick">
        <color rgb="FF000000"/>
      </bottom>
    </border>
    <border>
      <bottom style="thick">
        <color rgb="FF000000"/>
      </bottom>
    </border>
    <border>
      <right/>
      <bottom style="thick">
        <color rgb="FF000000"/>
      </bottom>
    </border>
    <border>
      <left style="thick">
        <color rgb="FF000000"/>
      </left>
      <right style="hair">
        <color rgb="FFB7B7B7"/>
      </right>
      <top style="thick">
        <color rgb="FF000000"/>
      </top>
      <bottom style="thin">
        <color rgb="FFFFFFFF"/>
      </bottom>
    </border>
    <border>
      <left style="hair">
        <color rgb="FFB7B7B7"/>
      </left>
      <right style="hair">
        <color rgb="FFB7B7B7"/>
      </right>
      <top style="thick">
        <color rgb="FF000000"/>
      </top>
      <bottom style="thin">
        <color rgb="FFFFFFFF"/>
      </bottom>
    </border>
    <border>
      <left style="hair">
        <color rgb="FFB7B7B7"/>
      </left>
      <right style="thick">
        <color rgb="FF000000"/>
      </right>
      <top style="thick">
        <color rgb="FF000000"/>
      </top>
      <bottom style="thin">
        <color rgb="FFFFFFFF"/>
      </bottom>
    </border>
    <border>
      <left style="thin">
        <color rgb="FF000000"/>
      </left>
    </border>
    <border>
      <left style="thick">
        <color rgb="FF000000"/>
      </left>
      <right style="hair">
        <color rgb="FFB7B7B7"/>
      </right>
      <top style="thin">
        <color rgb="FFFFFFFF"/>
      </top>
      <bottom style="thin">
        <color rgb="FFFFFFFF"/>
      </bottom>
    </border>
    <border>
      <left style="hair">
        <color rgb="FFB7B7B7"/>
      </left>
      <right style="hair">
        <color rgb="FFB7B7B7"/>
      </right>
      <top style="thin">
        <color rgb="FFFFFFFF"/>
      </top>
      <bottom style="thin">
        <color rgb="FFFFFFFF"/>
      </bottom>
    </border>
    <border>
      <left style="hair">
        <color rgb="FFB7B7B7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/>
      <top style="dotted">
        <color rgb="FF000000"/>
      </top>
      <bottom/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dotted">
        <color rgb="FF000000"/>
      </left>
      <right/>
      <top/>
      <bottom/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 style="thick">
        <color rgb="FF000000"/>
      </right>
    </border>
    <border>
      <right style="hair">
        <color rgb="FFB7B7B7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hair">
        <color rgb="FF000000"/>
      </right>
      <top style="thin">
        <color rgb="FFFFFFFF"/>
      </top>
      <bottom style="thick">
        <color theme="0"/>
      </bottom>
    </border>
    <border>
      <right style="hair">
        <color rgb="FF000000"/>
      </right>
      <top style="thin">
        <color rgb="FFFFFFFF"/>
      </top>
      <bottom style="thick">
        <color theme="0"/>
      </bottom>
    </border>
    <border>
      <left style="thick">
        <color rgb="FF000000"/>
      </left>
      <right style="hair">
        <color rgb="FF000000"/>
      </right>
      <top style="thick">
        <color theme="0"/>
      </top>
      <bottom style="thick">
        <color theme="0"/>
      </bottom>
    </border>
    <border>
      <right style="hair">
        <color rgb="FF000000"/>
      </right>
      <top style="thick">
        <color theme="0"/>
      </top>
      <bottom style="thick">
        <color theme="0"/>
      </bottom>
    </border>
    <border>
      <left style="hair">
        <color rgb="FFB7B7B7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ck">
        <color rgb="FF000000"/>
      </left>
      <right style="hair">
        <color rgb="FFB7B7B7"/>
      </right>
      <top style="thin">
        <color rgb="FFFFFFFF"/>
      </top>
    </border>
    <border>
      <left style="hair">
        <color rgb="FFB7B7B7"/>
      </left>
      <right style="hair">
        <color rgb="FFB7B7B7"/>
      </right>
      <top style="thin">
        <color rgb="FFFFFFFF"/>
      </top>
    </border>
    <border>
      <left style="hair">
        <color rgb="FFB7B7B7"/>
      </left>
      <right style="thick">
        <color rgb="FF000000"/>
      </right>
      <top style="thin">
        <color rgb="FFFFFFFF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hair">
        <color rgb="FFB7B7B7"/>
      </right>
      <bottom style="thin">
        <color rgb="FFFFFFFF"/>
      </bottom>
    </border>
    <border>
      <left style="hair">
        <color rgb="FFB7B7B7"/>
      </left>
      <right style="hair">
        <color rgb="FFB7B7B7"/>
      </right>
      <bottom style="thin">
        <color rgb="FFFFFFFF"/>
      </bottom>
    </border>
    <border>
      <left style="hair">
        <color rgb="FFB7B7B7"/>
      </left>
      <right style="thick">
        <color rgb="FF000000"/>
      </right>
      <bottom style="thin">
        <color rgb="FFFFFFFF"/>
      </bottom>
    </border>
    <border>
      <left style="hair">
        <color rgb="FF000000"/>
      </left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theme="0"/>
      </top>
      <bottom style="hair">
        <color theme="0"/>
      </bottom>
    </border>
    <border>
      <top style="hair">
        <color theme="0"/>
      </top>
      <bottom style="hair">
        <color theme="0"/>
      </bottom>
    </border>
    <border>
      <right style="hair">
        <color rgb="FF000000"/>
      </right>
      <top style="hair">
        <color theme="0"/>
      </top>
      <bottom style="hair">
        <color theme="0"/>
      </bottom>
    </border>
    <border>
      <left style="hair">
        <color rgb="FF000000"/>
      </left>
      <right style="hair">
        <color rgb="FF000000"/>
      </right>
      <top style="hair">
        <color theme="0"/>
      </top>
      <bottom style="hair">
        <color theme="0"/>
      </bottom>
    </border>
    <border>
      <left style="hair">
        <color rgb="FF000000"/>
      </left>
      <right style="hair">
        <color rgb="FF000000"/>
      </right>
      <top style="hair">
        <color theme="0"/>
      </top>
    </border>
    <border>
      <left style="hair">
        <color rgb="FF000000"/>
      </left>
      <right style="hair">
        <color theme="1"/>
      </right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vertical="center"/>
    </xf>
    <xf borderId="5" fillId="0" fontId="4" numFmtId="0" xfId="0" applyBorder="1" applyFont="1"/>
    <xf borderId="6" fillId="0" fontId="4" numFmtId="0" xfId="0" applyBorder="1" applyFont="1"/>
    <xf borderId="0" fillId="0" fontId="6" numFmtId="0" xfId="0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7" numFmtId="164" xfId="0" applyAlignment="1" applyBorder="1" applyFont="1" applyNumberFormat="1">
      <alignment horizontal="center"/>
    </xf>
    <xf borderId="11" fillId="0" fontId="7" numFmtId="164" xfId="0" applyAlignment="1" applyBorder="1" applyFont="1" applyNumberFormat="1">
      <alignment horizontal="center"/>
    </xf>
    <xf borderId="11" fillId="0" fontId="7" numFmtId="0" xfId="0" applyAlignment="1" applyBorder="1" applyFont="1">
      <alignment horizontal="center"/>
    </xf>
    <xf borderId="0" fillId="0" fontId="8" numFmtId="165" xfId="0" applyAlignment="1" applyFont="1" applyNumberFormat="1">
      <alignment horizontal="left"/>
    </xf>
    <xf borderId="12" fillId="0" fontId="1" numFmtId="164" xfId="0" applyBorder="1" applyFont="1" applyNumberFormat="1"/>
    <xf borderId="13" fillId="0" fontId="1" numFmtId="14" xfId="0" applyBorder="1" applyFont="1" applyNumberFormat="1"/>
    <xf borderId="13" fillId="0" fontId="1" numFmtId="0" xfId="0" applyBorder="1" applyFont="1"/>
    <xf borderId="0" fillId="0" fontId="1" numFmtId="164" xfId="0" applyFont="1" applyNumberFormat="1"/>
    <xf borderId="13" fillId="0" fontId="1" numFmtId="164" xfId="0" applyBorder="1" applyFont="1" applyNumberFormat="1"/>
    <xf borderId="4" fillId="4" fontId="9" numFmtId="0" xfId="0" applyAlignment="1" applyBorder="1" applyFill="1" applyFont="1">
      <alignment horizontal="left"/>
    </xf>
    <xf borderId="13" fillId="0" fontId="1" numFmtId="2" xfId="0" applyBorder="1" applyFont="1" applyNumberFormat="1"/>
    <xf borderId="14" fillId="5" fontId="1" numFmtId="2" xfId="0" applyBorder="1" applyFill="1" applyFont="1" applyNumberFormat="1"/>
    <xf borderId="15" fillId="0" fontId="9" numFmtId="0" xfId="0" applyAlignment="1" applyBorder="1" applyFont="1">
      <alignment horizontal="right"/>
    </xf>
    <xf borderId="12" fillId="0" fontId="1" numFmtId="0" xfId="0" applyBorder="1" applyFont="1"/>
    <xf borderId="12" fillId="0" fontId="1" numFmtId="164" xfId="0" applyAlignment="1" applyBorder="1" applyFont="1" applyNumberFormat="1">
      <alignment horizontal="right"/>
    </xf>
    <xf borderId="13" fillId="0" fontId="1" numFmtId="164" xfId="0" applyAlignment="1" applyBorder="1" applyFont="1" applyNumberFormat="1">
      <alignment horizontal="right"/>
    </xf>
    <xf borderId="13" fillId="0" fontId="1" numFmtId="0" xfId="0" applyAlignment="1" applyBorder="1" applyFont="1">
      <alignment readingOrder="0"/>
    </xf>
    <xf borderId="12" fillId="0" fontId="1" numFmtId="164" xfId="0" applyAlignment="1" applyBorder="1" applyFont="1" applyNumberFormat="1">
      <alignment readingOrder="0"/>
    </xf>
    <xf borderId="13" fillId="0" fontId="1" numFmtId="164" xfId="0" applyAlignment="1" applyBorder="1" applyFont="1" applyNumberFormat="1">
      <alignment readingOrder="0"/>
    </xf>
    <xf borderId="16" fillId="6" fontId="1" numFmtId="164" xfId="0" applyAlignment="1" applyBorder="1" applyFill="1" applyFont="1" applyNumberFormat="1">
      <alignment horizontal="center"/>
    </xf>
    <xf borderId="14" fillId="6" fontId="1" numFmtId="164" xfId="0" applyAlignment="1" applyBorder="1" applyFont="1" applyNumberFormat="1">
      <alignment horizontal="center"/>
    </xf>
    <xf borderId="14" fillId="6" fontId="1" numFmtId="0" xfId="0" applyAlignment="1" applyBorder="1" applyFont="1">
      <alignment horizontal="center"/>
    </xf>
    <xf borderId="16" fillId="6" fontId="1" numFmtId="164" xfId="0" applyAlignment="1" applyBorder="1" applyFont="1" applyNumberFormat="1">
      <alignment horizontal="center" vertical="center"/>
    </xf>
    <xf borderId="14" fillId="6" fontId="1" numFmtId="164" xfId="0" applyAlignment="1" applyBorder="1" applyFont="1" applyNumberFormat="1">
      <alignment horizontal="center" vertical="center"/>
    </xf>
    <xf borderId="14" fillId="6" fontId="1" numFmtId="0" xfId="0" applyAlignment="1" applyBorder="1" applyFon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13" fillId="0" fontId="1" numFmtId="164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12" fillId="0" fontId="1" numFmtId="164" xfId="0" applyAlignment="1" applyBorder="1" applyFont="1" applyNumberFormat="1">
      <alignment horizontal="right" readingOrder="0"/>
    </xf>
    <xf borderId="13" fillId="0" fontId="1" numFmtId="164" xfId="0" applyAlignment="1" applyBorder="1" applyFont="1" applyNumberFormat="1">
      <alignment horizontal="right" readingOrder="0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7" numFmtId="164" xfId="0" applyAlignment="1" applyBorder="1" applyFont="1" applyNumberFormat="1">
      <alignment horizontal="center" vertical="center"/>
    </xf>
    <xf borderId="21" fillId="0" fontId="7" numFmtId="164" xfId="0" applyAlignment="1" applyBorder="1" applyFont="1" applyNumberFormat="1">
      <alignment horizontal="center" vertical="center"/>
    </xf>
    <xf borderId="21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23" fillId="0" fontId="1" numFmtId="0" xfId="0" applyBorder="1" applyFont="1"/>
    <xf borderId="24" fillId="0" fontId="1" numFmtId="164" xfId="0" applyAlignment="1" applyBorder="1" applyFont="1" applyNumberFormat="1">
      <alignment horizontal="center" vertical="center"/>
    </xf>
    <xf borderId="25" fillId="0" fontId="1" numFmtId="164" xfId="0" applyAlignment="1" applyBorder="1" applyFont="1" applyNumberFormat="1">
      <alignment horizontal="center" vertical="center"/>
    </xf>
    <xf borderId="25" fillId="0" fontId="1" numFmtId="14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Border="1" applyFont="1"/>
    <xf borderId="28" fillId="0" fontId="1" numFmtId="0" xfId="0" applyBorder="1" applyFont="1"/>
    <xf borderId="25" fillId="3" fontId="1" numFmtId="0" xfId="0" applyAlignment="1" applyBorder="1" applyFont="1">
      <alignment horizontal="center" vertical="center"/>
    </xf>
    <xf borderId="29" fillId="3" fontId="1" numFmtId="0" xfId="0" applyBorder="1" applyFont="1"/>
    <xf borderId="24" fillId="3" fontId="1" numFmtId="164" xfId="0" applyAlignment="1" applyBorder="1" applyFont="1" applyNumberFormat="1">
      <alignment horizontal="center" vertical="center"/>
    </xf>
    <xf borderId="25" fillId="3" fontId="1" numFmtId="164" xfId="0" applyAlignment="1" applyBorder="1" applyFont="1" applyNumberFormat="1">
      <alignment horizontal="center" vertical="center"/>
    </xf>
    <xf borderId="26" fillId="3" fontId="1" numFmtId="0" xfId="0" applyAlignment="1" applyBorder="1" applyFont="1">
      <alignment horizontal="center" vertical="center"/>
    </xf>
    <xf borderId="30" fillId="3" fontId="1" numFmtId="0" xfId="0" applyBorder="1" applyFont="1"/>
    <xf borderId="31" fillId="3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34" fillId="0" fontId="1" numFmtId="0" xfId="0" applyBorder="1" applyFont="1"/>
    <xf borderId="35" fillId="0" fontId="1" numFmtId="164" xfId="0" applyAlignment="1" applyBorder="1" applyFont="1" applyNumberFormat="1">
      <alignment horizontal="center" vertical="center"/>
    </xf>
    <xf borderId="36" fillId="0" fontId="1" numFmtId="164" xfId="0" applyAlignment="1" applyBorder="1" applyFont="1" applyNumberFormat="1">
      <alignment horizontal="center" vertical="center"/>
    </xf>
    <xf borderId="37" fillId="0" fontId="1" numFmtId="164" xfId="0" applyAlignment="1" applyBorder="1" applyFont="1" applyNumberForma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1" numFmtId="164" xfId="0" applyAlignment="1" applyBorder="1" applyFont="1" applyNumberFormat="1">
      <alignment horizontal="center" vertical="center"/>
    </xf>
    <xf borderId="39" fillId="0" fontId="1" numFmtId="164" xfId="0" applyAlignment="1" applyBorder="1" applyFont="1" applyNumberForma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0" fontId="1" numFmtId="164" xfId="0" applyAlignment="1" applyBorder="1" applyFont="1" applyNumberFormat="1">
      <alignment horizontal="center" vertical="center"/>
    </xf>
    <xf borderId="41" fillId="0" fontId="4" numFmtId="0" xfId="0" applyBorder="1" applyFont="1"/>
    <xf borderId="35" fillId="0" fontId="4" numFmtId="0" xfId="0" applyBorder="1" applyFont="1"/>
    <xf borderId="42" fillId="0" fontId="1" numFmtId="164" xfId="0" applyAlignment="1" applyBorder="1" applyFont="1" applyNumberFormat="1">
      <alignment horizontal="center" vertical="center"/>
    </xf>
    <xf borderId="43" fillId="0" fontId="1" numFmtId="164" xfId="0" applyAlignment="1" applyBorder="1" applyFont="1" applyNumberForma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45" fillId="0" fontId="10" numFmtId="164" xfId="0" applyAlignment="1" applyBorder="1" applyFont="1" applyNumberFormat="1">
      <alignment horizontal="center" vertical="center"/>
    </xf>
    <xf borderId="46" fillId="0" fontId="1" numFmtId="164" xfId="0" applyAlignment="1" applyBorder="1" applyFont="1" applyNumberFormat="1">
      <alignment horizontal="center" vertical="center"/>
    </xf>
    <xf borderId="46" fillId="0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48" fillId="0" fontId="1" numFmtId="164" xfId="0" applyAlignment="1" applyBorder="1" applyFont="1" applyNumberFormat="1">
      <alignment horizontal="center" vertical="center"/>
    </xf>
    <xf borderId="49" fillId="0" fontId="1" numFmtId="0" xfId="0" applyAlignment="1" applyBorder="1" applyFont="1">
      <alignment horizontal="center" vertical="center"/>
    </xf>
    <xf borderId="50" fillId="0" fontId="1" numFmtId="164" xfId="0" applyAlignment="1" applyBorder="1" applyFont="1" applyNumberFormat="1">
      <alignment horizontal="center" vertical="center"/>
    </xf>
    <xf borderId="51" fillId="0" fontId="1" numFmtId="164" xfId="0" applyAlignment="1" applyBorder="1" applyFont="1" applyNumberFormat="1">
      <alignment horizontal="center" vertical="center"/>
    </xf>
    <xf borderId="51" fillId="0" fontId="1" numFmtId="0" xfId="0" applyAlignment="1" applyBorder="1" applyFont="1">
      <alignment horizontal="center" vertical="center"/>
    </xf>
    <xf borderId="52" fillId="0" fontId="1" numFmtId="0" xfId="0" applyAlignment="1" applyBorder="1" applyFont="1">
      <alignment horizontal="center" vertical="center"/>
    </xf>
    <xf borderId="53" fillId="0" fontId="1" numFmtId="164" xfId="0" applyAlignment="1" applyBorder="1" applyFont="1" applyNumberFormat="1">
      <alignment horizontal="center" vertical="center"/>
    </xf>
    <xf borderId="54" fillId="0" fontId="1" numFmtId="164" xfId="0" applyAlignment="1" applyBorder="1" applyFont="1" applyNumberFormat="1">
      <alignment horizontal="center" vertical="center"/>
    </xf>
    <xf borderId="54" fillId="0" fontId="1" numFmtId="0" xfId="0" applyAlignment="1" applyBorder="1" applyFont="1">
      <alignment horizontal="center" vertical="center"/>
    </xf>
    <xf borderId="55" fillId="0" fontId="1" numFmtId="0" xfId="0" applyAlignment="1" applyBorder="1" applyFont="1">
      <alignment horizontal="center" vertical="center"/>
    </xf>
    <xf borderId="24" fillId="0" fontId="1" numFmtId="164" xfId="0" applyAlignment="1" applyBorder="1" applyFont="1" applyNumberFormat="1">
      <alignment horizontal="center" readingOrder="0" vertical="center"/>
    </xf>
    <xf borderId="25" fillId="0" fontId="1" numFmtId="164" xfId="0" applyAlignment="1" applyBorder="1" applyFont="1" applyNumberFormat="1">
      <alignment horizontal="center" readingOrder="0" vertical="center"/>
    </xf>
    <xf borderId="25" fillId="0" fontId="1" numFmtId="0" xfId="0" applyAlignment="1" applyBorder="1" applyFont="1">
      <alignment horizontal="center" readingOrder="0" vertical="center"/>
    </xf>
    <xf borderId="10" fillId="0" fontId="7" numFmtId="164" xfId="0" applyAlignment="1" applyBorder="1" applyFont="1" applyNumberFormat="1">
      <alignment horizontal="center" vertical="center"/>
    </xf>
    <xf borderId="11" fillId="0" fontId="7" numFmtId="164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center" vertical="center"/>
    </xf>
    <xf borderId="13" fillId="0" fontId="1" numFmtId="14" xfId="0" applyAlignment="1" applyBorder="1" applyFont="1" applyNumberFormat="1">
      <alignment horizontal="center" vertical="center"/>
    </xf>
    <xf borderId="4" fillId="3" fontId="1" numFmtId="0" xfId="0" applyBorder="1" applyFont="1"/>
    <xf borderId="16" fillId="3" fontId="1" numFmtId="164" xfId="0" applyAlignment="1" applyBorder="1" applyFont="1" applyNumberFormat="1">
      <alignment horizontal="center" vertical="center"/>
    </xf>
    <xf borderId="14" fillId="3" fontId="1" numFmtId="164" xfId="0" applyAlignment="1" applyBorder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13" fillId="0" fontId="1" numFmtId="2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13" fillId="0" fontId="4" numFmtId="0" xfId="0" applyBorder="1" applyFont="1"/>
    <xf borderId="57" fillId="0" fontId="1" numFmtId="0" xfId="0" applyAlignment="1" applyBorder="1" applyFont="1">
      <alignment horizontal="center" vertical="center"/>
    </xf>
    <xf borderId="46" fillId="0" fontId="4" numFmtId="0" xfId="0" applyBorder="1" applyFont="1"/>
    <xf borderId="47" fillId="0" fontId="4" numFmtId="0" xfId="0" applyBorder="1" applyFont="1"/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  <xf borderId="51" fillId="0" fontId="4" numFmtId="0" xfId="0" applyBorder="1" applyFont="1"/>
    <xf borderId="52" fillId="0" fontId="4" numFmtId="0" xfId="0" applyBorder="1" applyFont="1"/>
    <xf borderId="12" fillId="0" fontId="1" numFmtId="164" xfId="0" applyAlignment="1" applyBorder="1" applyFont="1" applyNumberFormat="1">
      <alignment horizontal="center" readingOrder="0" vertical="center"/>
    </xf>
    <xf borderId="13" fillId="0" fontId="1" numFmtId="164" xfId="0" applyAlignment="1" applyBorder="1" applyFont="1" applyNumberForma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2" fillId="0" fontId="1" numFmtId="166" xfId="0" applyAlignment="1" applyBorder="1" applyFont="1" applyNumberFormat="1">
      <alignment horizontal="center" readingOrder="0" vertical="center"/>
    </xf>
    <xf borderId="14" fillId="7" fontId="1" numFmtId="0" xfId="0" applyBorder="1" applyFill="1" applyFont="1"/>
    <xf borderId="4" fillId="8" fontId="1" numFmtId="0" xfId="0" applyBorder="1" applyFill="1" applyFont="1"/>
    <xf borderId="16" fillId="8" fontId="1" numFmtId="164" xfId="0" applyBorder="1" applyFont="1" applyNumberFormat="1"/>
    <xf borderId="14" fillId="8" fontId="1" numFmtId="164" xfId="0" applyBorder="1" applyFont="1" applyNumberFormat="1"/>
    <xf borderId="14" fillId="8" fontId="1" numFmtId="0" xfId="0" applyBorder="1" applyFont="1"/>
    <xf borderId="0" fillId="0" fontId="2" numFmtId="0" xfId="0" applyAlignment="1" applyFont="1">
      <alignment horizontal="center"/>
    </xf>
    <xf borderId="0" fillId="0" fontId="2" numFmtId="0" xfId="0" applyFont="1"/>
    <xf borderId="13" fillId="0" fontId="7" numFmtId="0" xfId="0" applyAlignment="1" applyBorder="1" applyFont="1">
      <alignment horizontal="center"/>
    </xf>
    <xf borderId="4" fillId="4" fontId="11" numFmtId="14" xfId="0" applyBorder="1" applyFont="1" applyNumberFormat="1"/>
    <xf borderId="13" fillId="0" fontId="1" numFmtId="0" xfId="0" applyAlignment="1" applyBorder="1" applyFont="1">
      <alignment horizontal="center"/>
    </xf>
    <xf borderId="13" fillId="0" fontId="1" numFmtId="16" xfId="0" applyBorder="1" applyFont="1" applyNumberFormat="1"/>
    <xf borderId="13" fillId="0" fontId="1" numFmtId="0" xfId="0" applyAlignment="1" applyBorder="1" applyFont="1">
      <alignment horizontal="left"/>
    </xf>
    <xf borderId="13" fillId="0" fontId="1" numFmtId="14" xfId="0" applyAlignment="1" applyBorder="1" applyFont="1" applyNumberFormat="1">
      <alignment horizontal="left"/>
    </xf>
    <xf borderId="13" fillId="0" fontId="1" numFmtId="0" xfId="0" applyAlignment="1" applyBorder="1" applyFont="1">
      <alignment horizontal="right"/>
    </xf>
    <xf borderId="14" fillId="9" fontId="1" numFmtId="0" xfId="0" applyBorder="1" applyFill="1" applyFont="1"/>
    <xf borderId="14" fillId="10" fontId="1" numFmtId="0" xfId="0" applyBorder="1" applyFill="1" applyFont="1"/>
    <xf borderId="4" fillId="4" fontId="1" numFmtId="0" xfId="0" applyBorder="1" applyFont="1"/>
    <xf borderId="16" fillId="4" fontId="1" numFmtId="164" xfId="0" applyAlignment="1" applyBorder="1" applyFont="1" applyNumberFormat="1">
      <alignment horizontal="right"/>
    </xf>
    <xf borderId="14" fillId="4" fontId="1" numFmtId="0" xfId="0" applyBorder="1" applyFont="1"/>
    <xf borderId="14" fillId="4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12" fillId="0" fontId="1" numFmtId="167" xfId="0" applyAlignment="1" applyBorder="1" applyFont="1" applyNumberFormat="1">
      <alignment horizontal="right" readingOrder="0"/>
    </xf>
    <xf borderId="13" fillId="0" fontId="1" numFmtId="0" xfId="0" applyAlignment="1" applyBorder="1" applyFont="1">
      <alignment horizontal="center" readingOrder="0"/>
    </xf>
    <xf borderId="12" fillId="0" fontId="1" numFmtId="166" xfId="0" applyAlignment="1" applyBorder="1" applyFont="1" applyNumberFormat="1">
      <alignment horizontal="right" readingOrder="0"/>
    </xf>
    <xf borderId="4" fillId="11" fontId="12" numFmtId="0" xfId="0" applyAlignment="1" applyBorder="1" applyFill="1" applyFon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2" fillId="0" fontId="1" numFmtId="14" xfId="0" applyAlignment="1" applyBorder="1" applyFont="1" applyNumberFormat="1">
      <alignment horizontal="center" vertical="center"/>
    </xf>
    <xf borderId="16" fillId="3" fontId="1" numFmtId="14" xfId="0" applyAlignment="1" applyBorder="1" applyFont="1" applyNumberFormat="1">
      <alignment horizontal="center" vertical="center"/>
    </xf>
    <xf borderId="14" fillId="3" fontId="1" numFmtId="14" xfId="0" applyAlignment="1" applyBorder="1" applyFont="1" applyNumberFormat="1">
      <alignment horizontal="center" vertical="center"/>
    </xf>
    <xf borderId="4" fillId="3" fontId="8" numFmtId="165" xfId="0" applyAlignment="1" applyBorder="1" applyFont="1" applyNumberFormat="1">
      <alignment horizontal="left"/>
    </xf>
    <xf borderId="4" fillId="3" fontId="6" numFmtId="0" xfId="0" applyBorder="1" applyFont="1"/>
    <xf borderId="13" fillId="0" fontId="1" numFmtId="166" xfId="0" applyAlignment="1" applyBorder="1" applyFont="1" applyNumberFormat="1">
      <alignment horizontal="center" vertical="center"/>
    </xf>
    <xf borderId="12" fillId="0" fontId="1" numFmtId="166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0" fontId="1" numFmtId="0" xfId="0" applyAlignment="1" applyBorder="1" applyFont="1">
      <alignment horizontal="center" vertical="center"/>
    </xf>
    <xf borderId="57" fillId="0" fontId="7" numFmtId="0" xfId="0" applyAlignment="1" applyBorder="1" applyFont="1">
      <alignment horizontal="center" vertical="center"/>
    </xf>
    <xf borderId="56" fillId="0" fontId="1" numFmtId="14" xfId="0" applyAlignment="1" applyBorder="1" applyFont="1" applyNumberFormat="1">
      <alignment horizontal="center" vertical="center"/>
    </xf>
    <xf borderId="59" fillId="0" fontId="1" numFmtId="14" xfId="0" applyAlignment="1" applyBorder="1" applyFont="1" applyNumberFormat="1">
      <alignment horizontal="center" vertical="center"/>
    </xf>
    <xf borderId="60" fillId="0" fontId="4" numFmtId="0" xfId="0" applyBorder="1" applyFont="1"/>
    <xf borderId="61" fillId="0" fontId="4" numFmtId="0" xfId="0" applyBorder="1" applyFont="1"/>
    <xf borderId="62" fillId="0" fontId="1" numFmtId="14" xfId="0" applyAlignment="1" applyBorder="1" applyFont="1" applyNumberFormat="1">
      <alignment horizontal="center" vertical="center"/>
    </xf>
    <xf borderId="62" fillId="0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horizontal="center" vertical="center"/>
    </xf>
    <xf borderId="63" fillId="0" fontId="1" numFmtId="14" xfId="0" applyAlignment="1" applyBorder="1" applyFont="1" applyNumberFormat="1">
      <alignment horizontal="center" vertical="center"/>
    </xf>
    <xf borderId="63" fillId="0" fontId="1" numFmtId="0" xfId="0" applyAlignment="1" applyBorder="1" applyFont="1">
      <alignment horizontal="center" vertical="center"/>
    </xf>
    <xf borderId="64" fillId="0" fontId="1" numFmtId="14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/>
    </xf>
    <xf borderId="12" fillId="0" fontId="1" numFmtId="14" xfId="0" applyBorder="1" applyFont="1" applyNumberFormat="1"/>
    <xf borderId="11" fillId="0" fontId="1" numFmtId="0" xfId="0" applyAlignment="1" applyBorder="1" applyFont="1">
      <alignment horizontal="center"/>
    </xf>
    <xf borderId="13" fillId="0" fontId="1" numFmtId="169" xfId="0" applyBorder="1" applyFont="1" applyNumberFormat="1"/>
    <xf borderId="0" fillId="0" fontId="1" numFmtId="170" xfId="0" applyFont="1" applyNumberFormat="1"/>
    <xf borderId="0" fillId="0" fontId="1" numFmtId="14" xfId="0" applyFont="1" applyNumberFormat="1"/>
    <xf borderId="58" fillId="0" fontId="1" numFmtId="0" xfId="0" applyBorder="1" applyFont="1"/>
    <xf borderId="57" fillId="0" fontId="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3257550</xdr:colOff>
      <xdr:row>1</xdr:row>
      <xdr:rowOff>19050</xdr:rowOff>
    </xdr:from>
    <xdr:ext cx="1295400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2381250</xdr:colOff>
      <xdr:row>1</xdr:row>
      <xdr:rowOff>0</xdr:rowOff>
    </xdr:from>
    <xdr:ext cx="1304925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1362075</xdr:colOff>
      <xdr:row>1</xdr:row>
      <xdr:rowOff>152400</xdr:rowOff>
    </xdr:from>
    <xdr:ext cx="1295400" cy="876300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</xdr:row>
      <xdr:rowOff>104775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2857500</xdr:colOff>
      <xdr:row>0</xdr:row>
      <xdr:rowOff>161925</xdr:rowOff>
    </xdr:from>
    <xdr:ext cx="1295400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0</xdr:row>
      <xdr:rowOff>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552450</xdr:colOff>
      <xdr:row>0</xdr:row>
      <xdr:rowOff>0</xdr:rowOff>
    </xdr:from>
    <xdr:ext cx="1295400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2543175</xdr:colOff>
      <xdr:row>1</xdr:row>
      <xdr:rowOff>0</xdr:rowOff>
    </xdr:from>
    <xdr:ext cx="1400175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2114550</xdr:colOff>
      <xdr:row>1</xdr:row>
      <xdr:rowOff>19050</xdr:rowOff>
    </xdr:from>
    <xdr:ext cx="1295400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2114550</xdr:colOff>
      <xdr:row>1</xdr:row>
      <xdr:rowOff>19050</xdr:rowOff>
    </xdr:from>
    <xdr:ext cx="1295400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</xdr:row>
      <xdr:rowOff>19050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3257550</xdr:colOff>
      <xdr:row>0</xdr:row>
      <xdr:rowOff>19050</xdr:rowOff>
    </xdr:from>
    <xdr:ext cx="0" cy="1066800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0</xdr:row>
      <xdr:rowOff>19050</xdr:rowOff>
    </xdr:from>
    <xdr:ext cx="1314450" cy="10668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2333625</xdr:colOff>
      <xdr:row>1</xdr:row>
      <xdr:rowOff>9525</xdr:rowOff>
    </xdr:from>
    <xdr:ext cx="1333500" cy="1066800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295400" cy="10668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2333625</xdr:colOff>
      <xdr:row>1</xdr:row>
      <xdr:rowOff>9525</xdr:rowOff>
    </xdr:from>
    <xdr:ext cx="1304925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3057525</xdr:colOff>
      <xdr:row>1</xdr:row>
      <xdr:rowOff>0</xdr:rowOff>
    </xdr:from>
    <xdr:ext cx="1295400" cy="885825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3049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3257550</xdr:colOff>
      <xdr:row>0</xdr:row>
      <xdr:rowOff>19050</xdr:rowOff>
    </xdr:from>
    <xdr:ext cx="1181100" cy="1066800"/>
    <xdr:pic>
      <xdr:nvPicPr>
        <xdr:cNvPr descr="Resultado de imagem para imagem de uma maquina esteir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0</xdr:row>
      <xdr:rowOff>19050</xdr:rowOff>
    </xdr:from>
    <xdr:ext cx="1304925" cy="10572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cha%20de%20Servi&#231;o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ço 24"/>
      <sheetName val="Abril 24"/>
      <sheetName val="Maio 24"/>
      <sheetName val="Junho 24"/>
      <sheetName val="Julho 24"/>
      <sheetName val="Agosto 24"/>
      <sheetName val="Fechamento geral "/>
      <sheetName val="Defrasson"/>
      <sheetName val="Gabriel"/>
      <sheetName val="Sr Calil"/>
      <sheetName val="Bonella "/>
      <sheetName val="K Marçal"/>
      <sheetName val="Demarch"/>
      <sheetName val="Iracema "/>
      <sheetName val="Marcal"/>
      <sheetName val="Claret "/>
      <sheetName val="Leandro "/>
      <sheetName val="Rabelo "/>
      <sheetName val="Filipe "/>
      <sheetName val="Deivid"/>
      <sheetName val="Campestre "/>
      <sheetName val="Josué "/>
      <sheetName val="Josuá"/>
      <sheetName val="Valdeci Prucina "/>
      <sheetName val="Fretes 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3" width="16.71"/>
    <col customWidth="1" min="4" max="4" width="20.71"/>
    <col customWidth="1" min="5" max="5" width="5.0"/>
    <col customWidth="1" min="6" max="6" width="27.0"/>
    <col customWidth="1" min="7" max="7" width="14.29"/>
    <col customWidth="1" min="8" max="8" width="8.43"/>
    <col customWidth="1" min="9" max="9" width="8.0"/>
    <col customWidth="1" min="10" max="10" width="12.43"/>
    <col customWidth="1" min="11" max="11" width="12.29"/>
    <col customWidth="1" min="12" max="12" width="68.71"/>
    <col customWidth="1" min="13" max="13" width="14.43"/>
    <col customWidth="1" hidden="1" min="14" max="14" width="12.29"/>
    <col customWidth="1" min="15" max="15" width="42.43"/>
    <col customWidth="1" min="16" max="16" width="14.71"/>
    <col customWidth="1" min="17" max="17" width="17.71"/>
    <col customWidth="1" min="18" max="24" width="8.86"/>
  </cols>
  <sheetData>
    <row r="1" ht="14.25" customHeight="1">
      <c r="A1" s="1"/>
      <c r="B1" s="2"/>
      <c r="C1" s="2"/>
    </row>
    <row r="2" ht="21.0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  <c r="Q2" s="6"/>
    </row>
    <row r="3" ht="21.0" customHeight="1">
      <c r="B3" s="7"/>
      <c r="L3" s="8"/>
      <c r="M3" s="6"/>
      <c r="N3" s="6"/>
      <c r="O3" s="6"/>
      <c r="P3" s="6"/>
      <c r="Q3" s="6"/>
      <c r="T3" s="9"/>
      <c r="U3" s="9"/>
      <c r="V3" s="9"/>
      <c r="W3" s="9"/>
      <c r="X3" s="9"/>
    </row>
    <row r="4" ht="15.0" customHeight="1">
      <c r="B4" s="7"/>
      <c r="L4" s="8"/>
      <c r="M4" s="6"/>
      <c r="N4" s="6"/>
      <c r="O4" s="6"/>
      <c r="P4" s="6"/>
      <c r="Q4" s="6"/>
      <c r="T4" s="9"/>
      <c r="U4" s="9"/>
      <c r="V4" s="9"/>
      <c r="W4" s="9"/>
      <c r="X4" s="9"/>
    </row>
    <row r="5" ht="15.0" customHeight="1"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6"/>
      <c r="N5" s="6"/>
      <c r="O5" s="6"/>
      <c r="P5" s="6"/>
      <c r="Q5" s="6"/>
      <c r="U5" s="9"/>
      <c r="V5" s="9"/>
      <c r="W5" s="9"/>
      <c r="X5" s="9"/>
    </row>
    <row r="6" ht="14.25" customHeight="1">
      <c r="B6" s="13" t="s">
        <v>1</v>
      </c>
      <c r="C6" s="14" t="s">
        <v>2</v>
      </c>
      <c r="D6" s="15" t="s">
        <v>3</v>
      </c>
      <c r="E6" s="15"/>
      <c r="F6" s="15" t="s">
        <v>4</v>
      </c>
      <c r="G6" s="15" t="s">
        <v>5</v>
      </c>
      <c r="H6" s="15" t="s">
        <v>6</v>
      </c>
      <c r="I6" s="15" t="s">
        <v>7</v>
      </c>
      <c r="J6" s="15" t="s">
        <v>8</v>
      </c>
      <c r="K6" s="15" t="s">
        <v>9</v>
      </c>
      <c r="L6" s="15" t="s">
        <v>10</v>
      </c>
      <c r="O6" s="16"/>
      <c r="P6" s="9"/>
      <c r="Q6" s="9"/>
      <c r="R6" s="9"/>
    </row>
    <row r="7" ht="14.25" customHeight="1">
      <c r="B7" s="17">
        <v>44998.0</v>
      </c>
      <c r="C7" s="17">
        <v>44998.0</v>
      </c>
      <c r="D7" s="18" t="s">
        <v>11</v>
      </c>
      <c r="E7" s="18"/>
      <c r="F7" s="18"/>
      <c r="G7" s="19" t="s">
        <v>12</v>
      </c>
      <c r="H7" s="19">
        <v>884.0</v>
      </c>
      <c r="I7" s="19">
        <v>898.5</v>
      </c>
      <c r="J7" s="19">
        <f t="shared" ref="J7:J201" si="1">I7-H7</f>
        <v>14.5</v>
      </c>
      <c r="K7" s="19"/>
      <c r="L7" s="19" t="s">
        <v>13</v>
      </c>
      <c r="O7" s="16"/>
      <c r="P7" s="9"/>
      <c r="Q7" s="9"/>
      <c r="R7" s="9"/>
    </row>
    <row r="8" ht="14.25" customHeight="1">
      <c r="B8" s="17">
        <v>44998.0</v>
      </c>
      <c r="C8" s="20">
        <v>44985.0</v>
      </c>
      <c r="D8" s="18" t="s">
        <v>11</v>
      </c>
      <c r="E8" s="18"/>
      <c r="F8" s="18"/>
      <c r="G8" s="19" t="s">
        <v>12</v>
      </c>
      <c r="H8" s="19">
        <v>898.5</v>
      </c>
      <c r="I8" s="19">
        <v>903.5</v>
      </c>
      <c r="J8" s="19">
        <f t="shared" si="1"/>
        <v>5</v>
      </c>
      <c r="K8" s="19"/>
      <c r="L8" s="19" t="s">
        <v>14</v>
      </c>
      <c r="O8" s="16"/>
      <c r="P8" s="9"/>
      <c r="Q8" s="9"/>
      <c r="R8" s="9"/>
    </row>
    <row r="9" ht="14.25" customHeight="1">
      <c r="B9" s="20">
        <v>44985.0</v>
      </c>
      <c r="C9" s="20">
        <v>44991.0</v>
      </c>
      <c r="D9" s="1" t="s">
        <v>11</v>
      </c>
      <c r="E9" s="1"/>
      <c r="G9" s="19" t="s">
        <v>12</v>
      </c>
      <c r="H9" s="19">
        <v>949.0</v>
      </c>
      <c r="I9" s="19">
        <v>982.4</v>
      </c>
      <c r="J9" s="19">
        <f t="shared" si="1"/>
        <v>33.4</v>
      </c>
      <c r="K9" s="19"/>
    </row>
    <row r="10" ht="14.25" customHeight="1">
      <c r="B10" s="17">
        <v>44994.0</v>
      </c>
      <c r="C10" s="21">
        <v>45009.0</v>
      </c>
      <c r="D10" s="18" t="s">
        <v>11</v>
      </c>
      <c r="E10" s="18"/>
      <c r="F10" s="18"/>
      <c r="G10" s="19" t="s">
        <v>12</v>
      </c>
      <c r="H10" s="19">
        <v>982.7</v>
      </c>
      <c r="I10" s="19">
        <v>1049.7</v>
      </c>
      <c r="J10" s="19">
        <f t="shared" si="1"/>
        <v>67</v>
      </c>
      <c r="K10" s="19">
        <v>1200.0</v>
      </c>
      <c r="L10" s="19"/>
    </row>
    <row r="11" ht="14.25" customHeight="1">
      <c r="B11" s="17">
        <v>45009.0</v>
      </c>
      <c r="C11" s="21">
        <v>45031.0</v>
      </c>
      <c r="D11" s="18" t="s">
        <v>15</v>
      </c>
      <c r="E11" s="18"/>
      <c r="F11" s="18"/>
      <c r="G11" s="19" t="s">
        <v>12</v>
      </c>
      <c r="H11" s="19">
        <v>1049.7</v>
      </c>
      <c r="I11" s="19">
        <v>1180.0</v>
      </c>
      <c r="J11" s="19">
        <f t="shared" si="1"/>
        <v>130.3</v>
      </c>
      <c r="K11" s="19"/>
      <c r="L11" s="19" t="s">
        <v>16</v>
      </c>
    </row>
    <row r="12" ht="14.25" customHeight="1">
      <c r="B12" s="21">
        <v>45031.0</v>
      </c>
      <c r="C12" s="21">
        <v>45033.0</v>
      </c>
      <c r="D12" s="19" t="s">
        <v>17</v>
      </c>
      <c r="E12" s="1"/>
      <c r="F12" s="22" t="s">
        <v>18</v>
      </c>
      <c r="G12" s="19" t="s">
        <v>12</v>
      </c>
      <c r="H12" s="19">
        <v>1180.0</v>
      </c>
      <c r="I12" s="19">
        <v>1196.6</v>
      </c>
      <c r="J12" s="19">
        <f t="shared" si="1"/>
        <v>16.6</v>
      </c>
      <c r="K12" s="19"/>
      <c r="L12" s="19" t="s">
        <v>19</v>
      </c>
    </row>
    <row r="13" ht="14.25" customHeight="1">
      <c r="B13" s="21">
        <v>45033.0</v>
      </c>
      <c r="C13" s="21">
        <v>45038.0</v>
      </c>
      <c r="D13" s="18" t="s">
        <v>15</v>
      </c>
      <c r="E13" s="18"/>
      <c r="F13" s="18"/>
      <c r="G13" s="19" t="s">
        <v>12</v>
      </c>
      <c r="H13" s="19">
        <v>1196.6</v>
      </c>
      <c r="I13" s="19">
        <v>1212.8</v>
      </c>
      <c r="J13" s="19">
        <f t="shared" si="1"/>
        <v>16.2</v>
      </c>
      <c r="K13" s="19"/>
      <c r="L13" s="19" t="s">
        <v>20</v>
      </c>
    </row>
    <row r="14" ht="14.25" customHeight="1">
      <c r="B14" s="21">
        <v>45038.0</v>
      </c>
      <c r="C14" s="21">
        <v>45040.0</v>
      </c>
      <c r="D14" s="18" t="s">
        <v>21</v>
      </c>
      <c r="E14" s="18"/>
      <c r="F14" s="18" t="s">
        <v>21</v>
      </c>
      <c r="G14" s="19" t="s">
        <v>12</v>
      </c>
      <c r="H14" s="19">
        <v>1212.8</v>
      </c>
      <c r="I14" s="19">
        <v>1223.0</v>
      </c>
      <c r="J14" s="19">
        <f t="shared" si="1"/>
        <v>10.2</v>
      </c>
      <c r="K14" s="19"/>
      <c r="L14" s="19" t="s">
        <v>22</v>
      </c>
    </row>
    <row r="15" ht="14.25" customHeight="1">
      <c r="B15" s="21">
        <v>45040.0</v>
      </c>
      <c r="C15" s="21">
        <v>45047.0</v>
      </c>
      <c r="D15" s="18" t="s">
        <v>15</v>
      </c>
      <c r="E15" s="18"/>
      <c r="F15" s="18"/>
      <c r="G15" s="19" t="s">
        <v>12</v>
      </c>
      <c r="H15" s="19">
        <v>1223.0</v>
      </c>
      <c r="I15" s="19">
        <v>1264.0</v>
      </c>
      <c r="J15" s="19">
        <f t="shared" si="1"/>
        <v>41</v>
      </c>
      <c r="K15" s="19"/>
      <c r="L15" s="19" t="s">
        <v>23</v>
      </c>
    </row>
    <row r="16" ht="14.25" customHeight="1">
      <c r="B16" s="17">
        <v>45047.0</v>
      </c>
      <c r="C16" s="21">
        <v>45049.0</v>
      </c>
      <c r="D16" s="18" t="s">
        <v>24</v>
      </c>
      <c r="E16" s="18"/>
      <c r="F16" s="18"/>
      <c r="G16" s="19" t="s">
        <v>12</v>
      </c>
      <c r="H16" s="19">
        <v>1264.0</v>
      </c>
      <c r="I16" s="19">
        <v>1280.0</v>
      </c>
      <c r="J16" s="19">
        <f t="shared" si="1"/>
        <v>16</v>
      </c>
      <c r="K16" s="19"/>
      <c r="L16" s="19" t="s">
        <v>25</v>
      </c>
    </row>
    <row r="17" ht="14.25" customHeight="1">
      <c r="B17" s="17">
        <v>45050.0</v>
      </c>
      <c r="C17" s="21">
        <v>45061.0</v>
      </c>
      <c r="D17" s="19" t="s">
        <v>26</v>
      </c>
      <c r="E17" s="19"/>
      <c r="F17" s="19"/>
      <c r="G17" s="19"/>
      <c r="H17" s="19">
        <v>1280.0</v>
      </c>
      <c r="I17" s="19">
        <v>1343.5</v>
      </c>
      <c r="J17" s="19">
        <f t="shared" si="1"/>
        <v>63.5</v>
      </c>
      <c r="K17" s="19"/>
      <c r="L17" s="19" t="s">
        <v>27</v>
      </c>
    </row>
    <row r="18" ht="14.25" customHeight="1">
      <c r="B18" s="17">
        <v>45062.0</v>
      </c>
      <c r="C18" s="21">
        <v>45064.0</v>
      </c>
      <c r="D18" s="19" t="s">
        <v>28</v>
      </c>
      <c r="E18" s="19"/>
      <c r="F18" s="19"/>
      <c r="G18" s="19" t="s">
        <v>12</v>
      </c>
      <c r="H18" s="19">
        <v>1343.5</v>
      </c>
      <c r="I18" s="19">
        <v>1397.0</v>
      </c>
      <c r="J18" s="19">
        <f t="shared" si="1"/>
        <v>53.5</v>
      </c>
      <c r="K18" s="19"/>
      <c r="L18" s="19" t="s">
        <v>29</v>
      </c>
    </row>
    <row r="19" ht="14.25" customHeight="1">
      <c r="B19" s="17">
        <v>45065.0</v>
      </c>
      <c r="C19" s="21">
        <v>45085.0</v>
      </c>
      <c r="D19" s="19" t="s">
        <v>28</v>
      </c>
      <c r="E19" s="19"/>
      <c r="F19" s="19"/>
      <c r="G19" s="19" t="s">
        <v>30</v>
      </c>
      <c r="H19" s="19">
        <v>1397.0</v>
      </c>
      <c r="I19" s="19">
        <v>1528.0</v>
      </c>
      <c r="J19" s="19">
        <f t="shared" si="1"/>
        <v>131</v>
      </c>
      <c r="K19" s="19">
        <v>1000.0</v>
      </c>
      <c r="L19" s="19" t="s">
        <v>31</v>
      </c>
    </row>
    <row r="20" ht="14.25" customHeight="1">
      <c r="B20" s="17">
        <v>45086.0</v>
      </c>
      <c r="C20" s="21">
        <v>45092.0</v>
      </c>
      <c r="D20" s="19" t="s">
        <v>32</v>
      </c>
      <c r="E20" s="19"/>
      <c r="F20" s="19" t="s">
        <v>33</v>
      </c>
      <c r="G20" s="19" t="s">
        <v>12</v>
      </c>
      <c r="H20" s="19">
        <v>1528.0</v>
      </c>
      <c r="I20" s="19">
        <v>1560.0</v>
      </c>
      <c r="J20" s="19">
        <f t="shared" si="1"/>
        <v>32</v>
      </c>
      <c r="K20" s="23">
        <v>1000.0</v>
      </c>
      <c r="L20" s="19" t="s">
        <v>34</v>
      </c>
    </row>
    <row r="21" ht="14.25" customHeight="1">
      <c r="B21" s="17">
        <v>45093.0</v>
      </c>
      <c r="C21" s="21">
        <v>45097.0</v>
      </c>
      <c r="D21" s="19" t="s">
        <v>35</v>
      </c>
      <c r="E21" s="19"/>
      <c r="F21" s="19" t="s">
        <v>36</v>
      </c>
      <c r="G21" s="19" t="s">
        <v>12</v>
      </c>
      <c r="H21" s="19">
        <v>1560.0</v>
      </c>
      <c r="I21" s="19">
        <v>1610.0</v>
      </c>
      <c r="J21" s="19">
        <f t="shared" si="1"/>
        <v>50</v>
      </c>
      <c r="K21" s="19"/>
      <c r="L21" s="19" t="s">
        <v>37</v>
      </c>
    </row>
    <row r="22" ht="14.25" customHeight="1">
      <c r="B22" s="17">
        <v>45098.0</v>
      </c>
      <c r="C22" s="21">
        <v>45100.0</v>
      </c>
      <c r="D22" s="18" t="s">
        <v>38</v>
      </c>
      <c r="E22" s="18"/>
      <c r="F22" s="18"/>
      <c r="G22" s="19" t="s">
        <v>12</v>
      </c>
      <c r="H22" s="19">
        <v>1610.0</v>
      </c>
      <c r="I22" s="19">
        <v>1628.0</v>
      </c>
      <c r="J22" s="19">
        <f t="shared" si="1"/>
        <v>18</v>
      </c>
      <c r="K22" s="19"/>
      <c r="L22" s="19" t="s">
        <v>37</v>
      </c>
    </row>
    <row r="23" ht="14.25" customHeight="1">
      <c r="B23" s="17">
        <v>45101.0</v>
      </c>
      <c r="C23" s="21">
        <v>45106.0</v>
      </c>
      <c r="D23" s="19" t="s">
        <v>26</v>
      </c>
      <c r="E23" s="19"/>
      <c r="F23" s="19"/>
      <c r="G23" s="19" t="s">
        <v>12</v>
      </c>
      <c r="H23" s="19">
        <v>1628.0</v>
      </c>
      <c r="I23" s="19">
        <v>1663.4</v>
      </c>
      <c r="J23" s="19">
        <f t="shared" si="1"/>
        <v>35.4</v>
      </c>
      <c r="K23" s="19">
        <v>2557.0</v>
      </c>
      <c r="L23" s="19" t="s">
        <v>37</v>
      </c>
    </row>
    <row r="24" ht="14.25" customHeight="1">
      <c r="B24" s="17">
        <v>45107.0</v>
      </c>
      <c r="C24" s="21">
        <v>45107.0</v>
      </c>
      <c r="D24" s="19" t="s">
        <v>38</v>
      </c>
      <c r="E24" s="19"/>
      <c r="F24" s="19"/>
      <c r="G24" s="19" t="s">
        <v>12</v>
      </c>
      <c r="H24" s="19">
        <v>1636.0</v>
      </c>
      <c r="I24" s="19">
        <v>1672.0</v>
      </c>
      <c r="J24" s="19">
        <f t="shared" si="1"/>
        <v>36</v>
      </c>
      <c r="K24" s="23">
        <v>550.0</v>
      </c>
      <c r="L24" s="19" t="s">
        <v>37</v>
      </c>
    </row>
    <row r="25" ht="15.0" customHeight="1">
      <c r="B25" s="17">
        <v>45108.0</v>
      </c>
      <c r="C25" s="21">
        <v>45138.0</v>
      </c>
      <c r="D25" s="19" t="s">
        <v>38</v>
      </c>
      <c r="E25" s="19"/>
      <c r="F25" s="19"/>
      <c r="G25" s="19" t="s">
        <v>12</v>
      </c>
      <c r="H25" s="19">
        <v>1672.0</v>
      </c>
      <c r="I25" s="19">
        <v>1864.0</v>
      </c>
      <c r="J25" s="19">
        <f t="shared" si="1"/>
        <v>192</v>
      </c>
      <c r="K25" s="23">
        <v>2543.0</v>
      </c>
      <c r="L25" s="19" t="s">
        <v>39</v>
      </c>
    </row>
    <row r="26" ht="14.25" customHeight="1">
      <c r="B26" s="17">
        <v>45139.0</v>
      </c>
      <c r="C26" s="21">
        <v>45161.0</v>
      </c>
      <c r="D26" s="19" t="s">
        <v>28</v>
      </c>
      <c r="E26" s="19"/>
      <c r="F26" s="19" t="s">
        <v>40</v>
      </c>
      <c r="G26" s="19" t="s">
        <v>12</v>
      </c>
      <c r="H26" s="19">
        <v>1864.0</v>
      </c>
      <c r="I26" s="19">
        <v>2033.2</v>
      </c>
      <c r="J26" s="19">
        <f t="shared" si="1"/>
        <v>169.2</v>
      </c>
      <c r="K26" s="24">
        <v>1843.0</v>
      </c>
      <c r="L26" s="19" t="s">
        <v>41</v>
      </c>
    </row>
    <row r="27" ht="14.25" customHeight="1">
      <c r="B27" s="17">
        <v>45162.0</v>
      </c>
      <c r="C27" s="21">
        <v>45169.0</v>
      </c>
      <c r="D27" s="19" t="s">
        <v>42</v>
      </c>
      <c r="E27" s="19"/>
      <c r="F27" s="19" t="s">
        <v>43</v>
      </c>
      <c r="G27" s="19" t="s">
        <v>12</v>
      </c>
      <c r="H27" s="25">
        <v>2033.2</v>
      </c>
      <c r="I27" s="19">
        <v>2114.0</v>
      </c>
      <c r="J27" s="19">
        <f t="shared" si="1"/>
        <v>80.8</v>
      </c>
      <c r="K27" s="19"/>
      <c r="L27" s="19" t="s">
        <v>44</v>
      </c>
    </row>
    <row r="28" ht="14.25" customHeight="1">
      <c r="B28" s="17">
        <v>45170.0</v>
      </c>
      <c r="C28" s="21">
        <v>45198.0</v>
      </c>
      <c r="D28" s="19" t="s">
        <v>38</v>
      </c>
      <c r="E28" s="19"/>
      <c r="F28" s="19" t="s">
        <v>45</v>
      </c>
      <c r="G28" s="19" t="s">
        <v>12</v>
      </c>
      <c r="H28" s="19">
        <v>2114.0</v>
      </c>
      <c r="I28" s="19">
        <v>2239.0</v>
      </c>
      <c r="J28" s="19">
        <f t="shared" si="1"/>
        <v>125</v>
      </c>
      <c r="K28" s="19">
        <v>1450.0</v>
      </c>
      <c r="L28" s="19" t="s">
        <v>46</v>
      </c>
    </row>
    <row r="29" ht="14.25" customHeight="1">
      <c r="B29" s="17">
        <v>45171.0</v>
      </c>
      <c r="C29" s="21">
        <v>45206.0</v>
      </c>
      <c r="D29" s="19" t="s">
        <v>38</v>
      </c>
      <c r="E29" s="19"/>
      <c r="F29" s="19" t="s">
        <v>45</v>
      </c>
      <c r="G29" s="19" t="s">
        <v>12</v>
      </c>
      <c r="H29" s="19">
        <v>2239.0</v>
      </c>
      <c r="I29" s="19">
        <v>2271.0</v>
      </c>
      <c r="J29" s="19">
        <f t="shared" si="1"/>
        <v>32</v>
      </c>
      <c r="K29" s="19"/>
      <c r="L29" s="19" t="s">
        <v>47</v>
      </c>
    </row>
    <row r="30" ht="14.25" customHeight="1">
      <c r="B30" s="17">
        <v>45206.0</v>
      </c>
      <c r="C30" s="21">
        <v>45210.0</v>
      </c>
      <c r="D30" s="19" t="s">
        <v>24</v>
      </c>
      <c r="E30" s="19"/>
      <c r="F30" s="19"/>
      <c r="G30" s="19" t="s">
        <v>12</v>
      </c>
      <c r="H30" s="19">
        <v>2271.0</v>
      </c>
      <c r="I30" s="19">
        <v>2300.0</v>
      </c>
      <c r="J30" s="19">
        <f t="shared" si="1"/>
        <v>29</v>
      </c>
      <c r="K30" s="19"/>
      <c r="L30" s="19"/>
    </row>
    <row r="31" ht="14.25" customHeight="1">
      <c r="B31" s="17">
        <v>45210.0</v>
      </c>
      <c r="C31" s="21">
        <v>45212.0</v>
      </c>
      <c r="D31" s="19" t="s">
        <v>48</v>
      </c>
      <c r="E31" s="19"/>
      <c r="F31" s="19" t="s">
        <v>49</v>
      </c>
      <c r="G31" s="19" t="s">
        <v>12</v>
      </c>
      <c r="H31" s="19">
        <v>2300.0</v>
      </c>
      <c r="I31" s="19">
        <v>2311.0</v>
      </c>
      <c r="J31" s="19">
        <f t="shared" si="1"/>
        <v>11</v>
      </c>
      <c r="K31" s="19"/>
      <c r="L31" s="26"/>
    </row>
    <row r="32" ht="14.25" customHeight="1">
      <c r="B32" s="17">
        <v>45213.0</v>
      </c>
      <c r="C32" s="21">
        <v>45214.0</v>
      </c>
      <c r="D32" s="19" t="s">
        <v>50</v>
      </c>
      <c r="E32" s="19"/>
      <c r="F32" s="19"/>
      <c r="G32" s="19" t="s">
        <v>12</v>
      </c>
      <c r="H32" s="19">
        <v>2311.0</v>
      </c>
      <c r="I32" s="19">
        <v>2315.3</v>
      </c>
      <c r="J32" s="19">
        <f t="shared" si="1"/>
        <v>4.3</v>
      </c>
      <c r="K32" s="19"/>
      <c r="L32" s="19"/>
    </row>
    <row r="33" ht="14.25" customHeight="1">
      <c r="B33" s="17">
        <v>45214.0</v>
      </c>
      <c r="C33" s="21">
        <v>45224.0</v>
      </c>
      <c r="D33" s="19" t="s">
        <v>51</v>
      </c>
      <c r="E33" s="19"/>
      <c r="F33" s="19" t="s">
        <v>52</v>
      </c>
      <c r="G33" s="19" t="s">
        <v>53</v>
      </c>
      <c r="H33" s="19">
        <v>2315.3</v>
      </c>
      <c r="I33" s="19">
        <v>2370.0</v>
      </c>
      <c r="J33" s="19">
        <f t="shared" si="1"/>
        <v>54.7</v>
      </c>
      <c r="K33" s="19">
        <v>530.0</v>
      </c>
      <c r="L33" s="19" t="s">
        <v>54</v>
      </c>
    </row>
    <row r="34" ht="14.25" customHeight="1">
      <c r="B34" s="17">
        <v>45224.0</v>
      </c>
      <c r="C34" s="21">
        <v>45229.0</v>
      </c>
      <c r="D34" s="19" t="s">
        <v>55</v>
      </c>
      <c r="E34" s="19"/>
      <c r="F34" s="19" t="s">
        <v>56</v>
      </c>
      <c r="G34" s="19" t="s">
        <v>12</v>
      </c>
      <c r="H34" s="19">
        <v>2370.0</v>
      </c>
      <c r="I34" s="19">
        <v>2413.0</v>
      </c>
      <c r="J34" s="19">
        <f t="shared" si="1"/>
        <v>43</v>
      </c>
      <c r="K34" s="19"/>
      <c r="L34" s="19"/>
    </row>
    <row r="35" ht="14.25" customHeight="1">
      <c r="B35" s="17">
        <v>45230.0</v>
      </c>
      <c r="C35" s="21">
        <v>45230.0</v>
      </c>
      <c r="D35" s="19" t="s">
        <v>28</v>
      </c>
      <c r="E35" s="19"/>
      <c r="F35" s="19" t="s">
        <v>57</v>
      </c>
      <c r="G35" s="19" t="s">
        <v>12</v>
      </c>
      <c r="H35" s="19">
        <v>2413.0</v>
      </c>
      <c r="I35" s="19">
        <v>2425.0</v>
      </c>
      <c r="J35" s="19">
        <f t="shared" si="1"/>
        <v>12</v>
      </c>
      <c r="K35" s="19"/>
      <c r="L35" s="19"/>
    </row>
    <row r="36" ht="14.25" customHeight="1">
      <c r="B36" s="17">
        <v>45230.0</v>
      </c>
      <c r="C36" s="21">
        <v>45243.0</v>
      </c>
      <c r="D36" s="19" t="s">
        <v>28</v>
      </c>
      <c r="E36" s="19"/>
      <c r="F36" s="19" t="s">
        <v>57</v>
      </c>
      <c r="G36" s="19" t="s">
        <v>12</v>
      </c>
      <c r="H36" s="19">
        <v>2425.0</v>
      </c>
      <c r="I36" s="19">
        <v>2490.0</v>
      </c>
      <c r="J36" s="19">
        <f t="shared" si="1"/>
        <v>65</v>
      </c>
      <c r="K36" s="19"/>
      <c r="L36" s="19"/>
    </row>
    <row r="37" ht="14.25" customHeight="1">
      <c r="B37" s="17">
        <v>45243.0</v>
      </c>
      <c r="C37" s="21">
        <v>45243.0</v>
      </c>
      <c r="D37" s="19" t="s">
        <v>58</v>
      </c>
      <c r="E37" s="19"/>
      <c r="F37" s="19" t="s">
        <v>59</v>
      </c>
      <c r="G37" s="19" t="s">
        <v>12</v>
      </c>
      <c r="H37" s="19">
        <v>2490.0</v>
      </c>
      <c r="I37" s="19">
        <v>2496.5</v>
      </c>
      <c r="J37" s="19">
        <f t="shared" si="1"/>
        <v>6.5</v>
      </c>
      <c r="K37" s="19"/>
      <c r="L37" s="19" t="s">
        <v>41</v>
      </c>
    </row>
    <row r="38" ht="14.25" customHeight="1">
      <c r="B38" s="17">
        <v>45244.0</v>
      </c>
      <c r="C38" s="21">
        <v>45260.0</v>
      </c>
      <c r="D38" s="19" t="s">
        <v>58</v>
      </c>
      <c r="E38" s="19"/>
      <c r="F38" s="19" t="s">
        <v>59</v>
      </c>
      <c r="G38" s="19" t="s">
        <v>12</v>
      </c>
      <c r="H38" s="19">
        <v>2496.5</v>
      </c>
      <c r="I38" s="19">
        <v>2627.0</v>
      </c>
      <c r="J38" s="19">
        <f t="shared" si="1"/>
        <v>130.5</v>
      </c>
      <c r="K38" s="19"/>
      <c r="L38" s="19"/>
    </row>
    <row r="39" ht="14.25" customHeight="1">
      <c r="B39" s="17">
        <v>45261.0</v>
      </c>
      <c r="C39" s="21">
        <v>45288.0</v>
      </c>
      <c r="D39" s="19" t="s">
        <v>58</v>
      </c>
      <c r="E39" s="19"/>
      <c r="F39" s="19" t="s">
        <v>59</v>
      </c>
      <c r="G39" s="19" t="s">
        <v>30</v>
      </c>
      <c r="H39" s="19">
        <v>2627.0</v>
      </c>
      <c r="I39" s="19">
        <v>2805.0</v>
      </c>
      <c r="J39" s="19">
        <f t="shared" si="1"/>
        <v>178</v>
      </c>
      <c r="K39" s="19">
        <v>3017.0</v>
      </c>
      <c r="L39" s="19" t="s">
        <v>60</v>
      </c>
    </row>
    <row r="40" ht="14.25" customHeight="1">
      <c r="B40" s="17">
        <v>45289.0</v>
      </c>
      <c r="C40" s="21">
        <v>45289.0</v>
      </c>
      <c r="D40" s="19" t="s">
        <v>61</v>
      </c>
      <c r="E40" s="19"/>
      <c r="F40" s="19" t="s">
        <v>62</v>
      </c>
      <c r="G40" s="19" t="s">
        <v>30</v>
      </c>
      <c r="H40" s="19">
        <v>2805.0</v>
      </c>
      <c r="I40" s="19">
        <v>2808.6</v>
      </c>
      <c r="J40" s="19">
        <f t="shared" si="1"/>
        <v>3.6</v>
      </c>
      <c r="K40" s="19">
        <v>110.0</v>
      </c>
      <c r="L40" s="19" t="s">
        <v>60</v>
      </c>
    </row>
    <row r="41" ht="14.25" customHeight="1">
      <c r="B41" s="17">
        <v>45293.0</v>
      </c>
      <c r="C41" s="21">
        <v>45297.0</v>
      </c>
      <c r="D41" s="19" t="s">
        <v>58</v>
      </c>
      <c r="E41" s="19"/>
      <c r="F41" s="19" t="s">
        <v>59</v>
      </c>
      <c r="G41" s="19" t="s">
        <v>30</v>
      </c>
      <c r="H41" s="19">
        <v>2809.0</v>
      </c>
      <c r="I41" s="19">
        <v>2835.2</v>
      </c>
      <c r="J41" s="19">
        <f t="shared" si="1"/>
        <v>26.2</v>
      </c>
      <c r="K41" s="19"/>
      <c r="L41" s="19"/>
    </row>
    <row r="42" ht="14.25" customHeight="1">
      <c r="B42" s="17">
        <v>45297.0</v>
      </c>
      <c r="C42" s="21">
        <v>45315.0</v>
      </c>
      <c r="D42" s="19" t="s">
        <v>63</v>
      </c>
      <c r="E42" s="19"/>
      <c r="F42" s="19" t="s">
        <v>59</v>
      </c>
      <c r="G42" s="19" t="s">
        <v>30</v>
      </c>
      <c r="H42" s="19">
        <v>2835.2</v>
      </c>
      <c r="I42" s="19">
        <v>2900.7</v>
      </c>
      <c r="J42" s="19">
        <f t="shared" si="1"/>
        <v>65.5</v>
      </c>
      <c r="K42" s="19"/>
      <c r="L42" s="19"/>
    </row>
    <row r="43" ht="14.25" customHeight="1">
      <c r="B43" s="17">
        <v>45315.0</v>
      </c>
      <c r="C43" s="21">
        <v>45316.0</v>
      </c>
      <c r="D43" s="19" t="s">
        <v>63</v>
      </c>
      <c r="E43" s="19"/>
      <c r="F43" s="19" t="s">
        <v>64</v>
      </c>
      <c r="G43" s="19" t="s">
        <v>30</v>
      </c>
      <c r="H43" s="19">
        <v>2902.0</v>
      </c>
      <c r="I43" s="19">
        <v>2913.1</v>
      </c>
      <c r="J43" s="19">
        <f t="shared" si="1"/>
        <v>11.1</v>
      </c>
      <c r="K43" s="19"/>
      <c r="L43" s="19"/>
    </row>
    <row r="44" ht="14.25" customHeight="1">
      <c r="B44" s="17">
        <v>45316.0</v>
      </c>
      <c r="C44" s="21">
        <v>45316.0</v>
      </c>
      <c r="D44" s="19" t="s">
        <v>65</v>
      </c>
      <c r="E44" s="19"/>
      <c r="F44" s="19" t="s">
        <v>66</v>
      </c>
      <c r="G44" s="19" t="s">
        <v>30</v>
      </c>
      <c r="H44" s="19">
        <v>2913.1</v>
      </c>
      <c r="I44" s="19">
        <v>2916.4</v>
      </c>
      <c r="J44" s="19">
        <f t="shared" si="1"/>
        <v>3.3</v>
      </c>
      <c r="K44" s="19"/>
      <c r="L44" s="19"/>
    </row>
    <row r="45" ht="14.25" customHeight="1">
      <c r="B45" s="17">
        <v>45317.0</v>
      </c>
      <c r="C45" s="21">
        <v>45317.0</v>
      </c>
      <c r="D45" s="19" t="s">
        <v>67</v>
      </c>
      <c r="E45" s="19"/>
      <c r="F45" s="19" t="s">
        <v>36</v>
      </c>
      <c r="G45" s="19" t="s">
        <v>30</v>
      </c>
      <c r="H45" s="19">
        <v>2916.4</v>
      </c>
      <c r="I45" s="19">
        <v>2923.1</v>
      </c>
      <c r="J45" s="19">
        <f t="shared" si="1"/>
        <v>6.7</v>
      </c>
      <c r="K45" s="19"/>
      <c r="L45" s="19"/>
    </row>
    <row r="46" ht="14.25" customHeight="1">
      <c r="B46" s="17">
        <v>45318.0</v>
      </c>
      <c r="C46" s="21">
        <v>45331.0</v>
      </c>
      <c r="D46" s="19" t="s">
        <v>68</v>
      </c>
      <c r="E46" s="19"/>
      <c r="F46" s="19" t="s">
        <v>69</v>
      </c>
      <c r="G46" s="19" t="s">
        <v>30</v>
      </c>
      <c r="H46" s="19">
        <v>2923.2</v>
      </c>
      <c r="I46" s="19">
        <v>3029.2</v>
      </c>
      <c r="J46" s="19">
        <f t="shared" si="1"/>
        <v>106</v>
      </c>
      <c r="K46" s="19"/>
      <c r="L46" s="19"/>
    </row>
    <row r="47" ht="14.25" customHeight="1">
      <c r="B47" s="17">
        <v>45332.0</v>
      </c>
      <c r="C47" s="21">
        <v>45351.0</v>
      </c>
      <c r="D47" s="19" t="s">
        <v>68</v>
      </c>
      <c r="E47" s="19"/>
      <c r="F47" s="19" t="s">
        <v>69</v>
      </c>
      <c r="G47" s="19" t="s">
        <v>12</v>
      </c>
      <c r="H47" s="19">
        <v>3029.2</v>
      </c>
      <c r="I47" s="19">
        <v>3130.1</v>
      </c>
      <c r="J47" s="19">
        <f t="shared" si="1"/>
        <v>100.9</v>
      </c>
      <c r="K47" s="19"/>
      <c r="L47" s="19"/>
    </row>
    <row r="48" ht="14.25" customHeight="1">
      <c r="B48" s="17">
        <v>45351.0</v>
      </c>
      <c r="C48" s="21">
        <v>45357.0</v>
      </c>
      <c r="D48" s="19" t="s">
        <v>70</v>
      </c>
      <c r="E48" s="19"/>
      <c r="F48" s="19" t="s">
        <v>71</v>
      </c>
      <c r="G48" s="19" t="s">
        <v>12</v>
      </c>
      <c r="H48" s="19">
        <v>3130.1</v>
      </c>
      <c r="I48" s="19">
        <v>3169.0</v>
      </c>
      <c r="J48" s="19">
        <f t="shared" si="1"/>
        <v>38.9</v>
      </c>
      <c r="K48" s="19">
        <v>860.0</v>
      </c>
      <c r="L48" s="19"/>
    </row>
    <row r="49" ht="14.25" customHeight="1">
      <c r="B49" s="17">
        <v>45358.0</v>
      </c>
      <c r="C49" s="21">
        <v>45363.0</v>
      </c>
      <c r="D49" s="19" t="s">
        <v>72</v>
      </c>
      <c r="E49" s="19"/>
      <c r="F49" s="19" t="s">
        <v>73</v>
      </c>
      <c r="G49" s="19" t="s">
        <v>30</v>
      </c>
      <c r="H49" s="19">
        <v>3169.0</v>
      </c>
      <c r="I49" s="19">
        <v>3188.0</v>
      </c>
      <c r="J49" s="19">
        <f t="shared" si="1"/>
        <v>19</v>
      </c>
      <c r="K49" s="19">
        <v>206.0</v>
      </c>
      <c r="L49" s="19"/>
    </row>
    <row r="50" ht="14.25" customHeight="1">
      <c r="B50" s="17">
        <v>45363.0</v>
      </c>
      <c r="C50" s="21">
        <v>45367.0</v>
      </c>
      <c r="D50" s="19" t="s">
        <v>74</v>
      </c>
      <c r="E50" s="19"/>
      <c r="F50" s="19" t="s">
        <v>75</v>
      </c>
      <c r="G50" s="19" t="s">
        <v>30</v>
      </c>
      <c r="H50" s="19">
        <v>3188.0</v>
      </c>
      <c r="I50" s="19">
        <v>3229.3</v>
      </c>
      <c r="J50" s="19">
        <f t="shared" si="1"/>
        <v>41.3</v>
      </c>
      <c r="K50" s="19">
        <v>473.0</v>
      </c>
      <c r="L50" s="19"/>
    </row>
    <row r="51" ht="14.25" customHeight="1">
      <c r="B51" s="17">
        <v>45369.0</v>
      </c>
      <c r="C51" s="21">
        <v>45370.0</v>
      </c>
      <c r="D51" s="19" t="s">
        <v>26</v>
      </c>
      <c r="E51" s="19"/>
      <c r="F51" s="19" t="s">
        <v>76</v>
      </c>
      <c r="G51" s="19" t="s">
        <v>77</v>
      </c>
      <c r="H51" s="19">
        <v>3229.3</v>
      </c>
      <c r="I51" s="19">
        <v>3237.5</v>
      </c>
      <c r="J51" s="19">
        <f t="shared" si="1"/>
        <v>8.2</v>
      </c>
      <c r="K51" s="19">
        <v>100.0</v>
      </c>
      <c r="L51" s="19"/>
    </row>
    <row r="52" ht="14.25" customHeight="1">
      <c r="B52" s="17">
        <v>45370.0</v>
      </c>
      <c r="C52" s="21">
        <v>45371.0</v>
      </c>
      <c r="D52" s="19" t="s">
        <v>78</v>
      </c>
      <c r="E52" s="19"/>
      <c r="F52" s="19" t="s">
        <v>79</v>
      </c>
      <c r="G52" s="19" t="s">
        <v>30</v>
      </c>
      <c r="H52" s="19">
        <v>3239.1</v>
      </c>
      <c r="I52" s="19">
        <v>3244.6</v>
      </c>
      <c r="J52" s="19">
        <f t="shared" si="1"/>
        <v>5.5</v>
      </c>
      <c r="K52" s="19"/>
      <c r="L52" s="19"/>
    </row>
    <row r="53" ht="14.25" customHeight="1">
      <c r="B53" s="17">
        <v>45371.0</v>
      </c>
      <c r="C53" s="21">
        <v>45374.0</v>
      </c>
      <c r="D53" s="19" t="s">
        <v>78</v>
      </c>
      <c r="E53" s="19"/>
      <c r="F53" s="19" t="s">
        <v>79</v>
      </c>
      <c r="G53" s="19" t="s">
        <v>30</v>
      </c>
      <c r="H53" s="19">
        <v>3244.6</v>
      </c>
      <c r="I53" s="19">
        <v>3263.3</v>
      </c>
      <c r="J53" s="19">
        <f t="shared" si="1"/>
        <v>18.7</v>
      </c>
      <c r="K53" s="19"/>
      <c r="L53" s="19"/>
    </row>
    <row r="54" ht="14.25" customHeight="1">
      <c r="B54" s="17">
        <v>45374.0</v>
      </c>
      <c r="C54" s="21">
        <v>45385.0</v>
      </c>
      <c r="D54" s="19" t="s">
        <v>78</v>
      </c>
      <c r="E54" s="19"/>
      <c r="F54" s="19" t="s">
        <v>79</v>
      </c>
      <c r="G54" s="19" t="s">
        <v>30</v>
      </c>
      <c r="H54" s="19">
        <v>3263.3</v>
      </c>
      <c r="I54" s="19">
        <v>3307.7</v>
      </c>
      <c r="J54" s="19">
        <f t="shared" si="1"/>
        <v>44.4</v>
      </c>
      <c r="K54" s="19"/>
      <c r="L54" s="19"/>
    </row>
    <row r="55" ht="14.25" customHeight="1">
      <c r="B55" s="17">
        <v>45386.0</v>
      </c>
      <c r="C55" s="21">
        <v>45387.0</v>
      </c>
      <c r="D55" s="19" t="s">
        <v>80</v>
      </c>
      <c r="E55" s="19"/>
      <c r="F55" s="19" t="s">
        <v>81</v>
      </c>
      <c r="G55" s="19" t="s">
        <v>82</v>
      </c>
      <c r="H55" s="19">
        <v>3309.1</v>
      </c>
      <c r="I55" s="19">
        <v>3322.3</v>
      </c>
      <c r="J55" s="19">
        <f t="shared" si="1"/>
        <v>13.2</v>
      </c>
      <c r="K55" s="19"/>
      <c r="L55" s="19"/>
    </row>
    <row r="56" ht="14.25" customHeight="1">
      <c r="B56" s="17">
        <v>45393.0</v>
      </c>
      <c r="C56" s="21">
        <v>45393.0</v>
      </c>
      <c r="D56" s="19" t="s">
        <v>83</v>
      </c>
      <c r="E56" s="19"/>
      <c r="F56" s="19" t="s">
        <v>84</v>
      </c>
      <c r="G56" s="19" t="s">
        <v>82</v>
      </c>
      <c r="H56" s="19">
        <v>3325.1</v>
      </c>
      <c r="I56" s="19">
        <v>3325.6</v>
      </c>
      <c r="J56" s="19">
        <f t="shared" si="1"/>
        <v>0.5</v>
      </c>
      <c r="K56" s="19"/>
      <c r="L56" s="19"/>
    </row>
    <row r="57" ht="14.25" customHeight="1">
      <c r="B57" s="17">
        <v>45394.0</v>
      </c>
      <c r="C57" s="21">
        <v>45395.0</v>
      </c>
      <c r="D57" s="19"/>
      <c r="E57" s="19"/>
      <c r="F57" s="19" t="s">
        <v>85</v>
      </c>
      <c r="G57" s="19" t="s">
        <v>30</v>
      </c>
      <c r="H57" s="19">
        <v>3325.6</v>
      </c>
      <c r="I57" s="19">
        <v>3336.8</v>
      </c>
      <c r="J57" s="19">
        <f t="shared" si="1"/>
        <v>11.2</v>
      </c>
      <c r="K57" s="19"/>
      <c r="L57" s="19"/>
    </row>
    <row r="58" ht="14.25" customHeight="1">
      <c r="B58" s="17">
        <v>45397.0</v>
      </c>
      <c r="C58" s="21">
        <v>45412.0</v>
      </c>
      <c r="D58" s="19" t="s">
        <v>63</v>
      </c>
      <c r="E58" s="19"/>
      <c r="F58" s="19" t="s">
        <v>59</v>
      </c>
      <c r="G58" s="19" t="s">
        <v>30</v>
      </c>
      <c r="H58" s="19">
        <v>3336.8</v>
      </c>
      <c r="I58" s="19">
        <v>3478.0</v>
      </c>
      <c r="J58" s="19">
        <f t="shared" si="1"/>
        <v>141.2</v>
      </c>
      <c r="K58" s="19"/>
      <c r="L58" s="19"/>
    </row>
    <row r="59" ht="14.25" customHeight="1">
      <c r="B59" s="17">
        <v>45413.0</v>
      </c>
      <c r="C59" s="21">
        <v>45426.0</v>
      </c>
      <c r="D59" s="19" t="s">
        <v>63</v>
      </c>
      <c r="E59" s="19"/>
      <c r="F59" s="19" t="s">
        <v>59</v>
      </c>
      <c r="G59" s="19" t="s">
        <v>30</v>
      </c>
      <c r="H59" s="19">
        <v>3478.0</v>
      </c>
      <c r="I59" s="19">
        <v>3586.0</v>
      </c>
      <c r="J59" s="19">
        <f t="shared" si="1"/>
        <v>108</v>
      </c>
      <c r="K59" s="19"/>
      <c r="L59" s="19"/>
    </row>
    <row r="60" ht="14.25" customHeight="1">
      <c r="B60" s="17">
        <v>45427.0</v>
      </c>
      <c r="C60" s="21">
        <v>45433.0</v>
      </c>
      <c r="D60" s="19" t="s">
        <v>86</v>
      </c>
      <c r="E60" s="19" t="s">
        <v>87</v>
      </c>
      <c r="F60" s="19" t="s">
        <v>88</v>
      </c>
      <c r="G60" s="19" t="s">
        <v>30</v>
      </c>
      <c r="H60" s="19">
        <v>3586.0</v>
      </c>
      <c r="I60" s="19">
        <v>3637.0</v>
      </c>
      <c r="J60" s="19">
        <f t="shared" si="1"/>
        <v>51</v>
      </c>
      <c r="K60" s="19"/>
      <c r="L60" s="19"/>
    </row>
    <row r="61" ht="14.25" customHeight="1">
      <c r="B61" s="17">
        <v>45435.0</v>
      </c>
      <c r="C61" s="21">
        <v>45435.0</v>
      </c>
      <c r="D61" s="19" t="s">
        <v>86</v>
      </c>
      <c r="E61" s="19" t="s">
        <v>87</v>
      </c>
      <c r="F61" s="19" t="s">
        <v>89</v>
      </c>
      <c r="G61" s="19" t="s">
        <v>30</v>
      </c>
      <c r="H61" s="19">
        <v>3637.0</v>
      </c>
      <c r="I61" s="19">
        <v>3638.0</v>
      </c>
      <c r="J61" s="19">
        <f t="shared" si="1"/>
        <v>1</v>
      </c>
      <c r="K61" s="19"/>
      <c r="L61" s="19"/>
    </row>
    <row r="62" ht="14.25" customHeight="1">
      <c r="B62" s="17">
        <v>45436.0</v>
      </c>
      <c r="C62" s="21">
        <v>45443.0</v>
      </c>
      <c r="D62" s="19" t="s">
        <v>86</v>
      </c>
      <c r="E62" s="19" t="s">
        <v>87</v>
      </c>
      <c r="F62" s="19" t="s">
        <v>90</v>
      </c>
      <c r="G62" s="19" t="s">
        <v>30</v>
      </c>
      <c r="H62" s="19">
        <v>3638.0</v>
      </c>
      <c r="I62" s="19">
        <v>3704.0</v>
      </c>
      <c r="J62" s="19">
        <f t="shared" si="1"/>
        <v>66</v>
      </c>
      <c r="K62" s="19"/>
      <c r="L62" s="19"/>
    </row>
    <row r="63" ht="14.25" customHeight="1">
      <c r="B63" s="17">
        <v>45444.0</v>
      </c>
      <c r="C63" s="21">
        <v>45444.0</v>
      </c>
      <c r="D63" s="19"/>
      <c r="E63" s="19" t="s">
        <v>87</v>
      </c>
      <c r="F63" s="19" t="s">
        <v>91</v>
      </c>
      <c r="G63" s="19" t="s">
        <v>30</v>
      </c>
      <c r="H63" s="19"/>
      <c r="I63" s="19"/>
      <c r="J63" s="19">
        <f t="shared" si="1"/>
        <v>0</v>
      </c>
      <c r="K63" s="19"/>
      <c r="L63" s="19"/>
    </row>
    <row r="64" ht="14.25" customHeight="1">
      <c r="B64" s="17">
        <v>45446.0</v>
      </c>
      <c r="C64" s="21">
        <v>45450.0</v>
      </c>
      <c r="D64" s="19" t="s">
        <v>86</v>
      </c>
      <c r="E64" s="19" t="s">
        <v>87</v>
      </c>
      <c r="F64" s="19"/>
      <c r="G64" s="19" t="s">
        <v>30</v>
      </c>
      <c r="H64" s="19">
        <v>3704.0</v>
      </c>
      <c r="I64" s="19">
        <v>3732.4</v>
      </c>
      <c r="J64" s="19">
        <f t="shared" si="1"/>
        <v>28.4</v>
      </c>
      <c r="K64" s="19"/>
      <c r="L64" s="19"/>
    </row>
    <row r="65" ht="14.25" customHeight="1">
      <c r="B65" s="17">
        <v>45451.0</v>
      </c>
      <c r="C65" s="21">
        <v>45451.0</v>
      </c>
      <c r="D65" s="19"/>
      <c r="E65" s="19" t="s">
        <v>87</v>
      </c>
      <c r="F65" s="19" t="s">
        <v>92</v>
      </c>
      <c r="G65" s="19" t="s">
        <v>30</v>
      </c>
      <c r="H65" s="19">
        <v>3432.4</v>
      </c>
      <c r="I65" s="19">
        <v>3733.4</v>
      </c>
      <c r="J65" s="19">
        <f t="shared" si="1"/>
        <v>301</v>
      </c>
      <c r="K65" s="19"/>
      <c r="L65" s="19"/>
    </row>
    <row r="66" ht="14.25" customHeight="1">
      <c r="B66" s="17">
        <v>45453.0</v>
      </c>
      <c r="C66" s="21">
        <v>45457.0</v>
      </c>
      <c r="D66" s="19" t="s">
        <v>93</v>
      </c>
      <c r="E66" s="19" t="s">
        <v>87</v>
      </c>
      <c r="F66" s="19"/>
      <c r="G66" s="19" t="s">
        <v>30</v>
      </c>
      <c r="H66" s="19">
        <v>3733.4</v>
      </c>
      <c r="I66" s="19">
        <v>3778.0</v>
      </c>
      <c r="J66" s="19">
        <f t="shared" si="1"/>
        <v>44.6</v>
      </c>
      <c r="K66" s="19"/>
      <c r="L66" s="19"/>
    </row>
    <row r="67" ht="14.25" customHeight="1">
      <c r="B67" s="17">
        <v>45460.0</v>
      </c>
      <c r="C67" s="21">
        <v>45463.0</v>
      </c>
      <c r="D67" s="19" t="s">
        <v>94</v>
      </c>
      <c r="E67" s="19" t="s">
        <v>87</v>
      </c>
      <c r="F67" s="19" t="s">
        <v>41</v>
      </c>
      <c r="G67" s="19" t="s">
        <v>30</v>
      </c>
      <c r="H67" s="19">
        <v>3778.0</v>
      </c>
      <c r="I67" s="19">
        <v>3806.3</v>
      </c>
      <c r="J67" s="19">
        <f t="shared" si="1"/>
        <v>28.3</v>
      </c>
      <c r="K67" s="19"/>
      <c r="L67" s="19"/>
    </row>
    <row r="68" ht="14.25" customHeight="1">
      <c r="B68" s="17">
        <v>45464.0</v>
      </c>
      <c r="C68" s="21">
        <v>45468.0</v>
      </c>
      <c r="D68" s="19" t="s">
        <v>95</v>
      </c>
      <c r="E68" s="19" t="s">
        <v>87</v>
      </c>
      <c r="F68" s="19" t="s">
        <v>96</v>
      </c>
      <c r="G68" s="19" t="s">
        <v>30</v>
      </c>
      <c r="H68" s="19">
        <v>3806.3</v>
      </c>
      <c r="I68" s="19">
        <v>3830.5</v>
      </c>
      <c r="J68" s="19">
        <f t="shared" si="1"/>
        <v>24.2</v>
      </c>
      <c r="K68" s="19"/>
      <c r="L68" s="19"/>
    </row>
    <row r="69" ht="14.25" customHeight="1">
      <c r="B69" s="17">
        <v>45459.0</v>
      </c>
      <c r="C69" s="21">
        <v>45472.0</v>
      </c>
      <c r="D69" s="19" t="s">
        <v>28</v>
      </c>
      <c r="E69" s="19" t="s">
        <v>87</v>
      </c>
      <c r="F69" s="19" t="s">
        <v>97</v>
      </c>
      <c r="G69" s="19" t="s">
        <v>30</v>
      </c>
      <c r="H69" s="19">
        <v>3830.5</v>
      </c>
      <c r="I69" s="19"/>
      <c r="J69" s="19">
        <f t="shared" si="1"/>
        <v>-3830.5</v>
      </c>
      <c r="K69" s="19"/>
      <c r="L69" s="19"/>
    </row>
    <row r="70" ht="14.25" customHeight="1">
      <c r="B70" s="17">
        <v>45474.0</v>
      </c>
      <c r="C70" s="21">
        <v>45477.0</v>
      </c>
      <c r="D70" s="19" t="s">
        <v>28</v>
      </c>
      <c r="E70" s="19" t="s">
        <v>87</v>
      </c>
      <c r="F70" s="19" t="s">
        <v>97</v>
      </c>
      <c r="G70" s="19" t="s">
        <v>30</v>
      </c>
      <c r="H70" s="19">
        <v>3860.0</v>
      </c>
      <c r="I70" s="19">
        <v>3879.4</v>
      </c>
      <c r="J70" s="19">
        <f t="shared" si="1"/>
        <v>19.4</v>
      </c>
      <c r="K70" s="19"/>
      <c r="L70" s="19"/>
    </row>
    <row r="71" ht="14.25" customHeight="1">
      <c r="B71" s="17">
        <v>45478.0</v>
      </c>
      <c r="C71" s="21">
        <v>45478.0</v>
      </c>
      <c r="D71" s="19" t="s">
        <v>72</v>
      </c>
      <c r="E71" s="19" t="s">
        <v>87</v>
      </c>
      <c r="F71" s="19"/>
      <c r="G71" s="19" t="s">
        <v>30</v>
      </c>
      <c r="H71" s="19">
        <v>3879.4</v>
      </c>
      <c r="I71" s="19">
        <v>3886.2</v>
      </c>
      <c r="J71" s="19">
        <f t="shared" si="1"/>
        <v>6.8</v>
      </c>
      <c r="K71" s="19"/>
      <c r="L71" s="19"/>
    </row>
    <row r="72" ht="14.25" customHeight="1">
      <c r="B72" s="17">
        <v>45481.0</v>
      </c>
      <c r="C72" s="17">
        <v>45481.0</v>
      </c>
      <c r="D72" s="19" t="s">
        <v>98</v>
      </c>
      <c r="E72" s="19" t="s">
        <v>87</v>
      </c>
      <c r="F72" s="19" t="s">
        <v>99</v>
      </c>
      <c r="G72" s="19" t="s">
        <v>30</v>
      </c>
      <c r="H72" s="19">
        <v>3886.2</v>
      </c>
      <c r="I72" s="19">
        <v>3894.8</v>
      </c>
      <c r="J72" s="19">
        <f t="shared" si="1"/>
        <v>8.6</v>
      </c>
      <c r="K72" s="19"/>
      <c r="L72" s="19"/>
    </row>
    <row r="73" ht="14.25" customHeight="1">
      <c r="B73" s="17">
        <v>45482.0</v>
      </c>
      <c r="C73" s="21">
        <v>45496.0</v>
      </c>
      <c r="D73" s="19" t="s">
        <v>28</v>
      </c>
      <c r="E73" s="19" t="s">
        <v>87</v>
      </c>
      <c r="F73" s="19" t="s">
        <v>97</v>
      </c>
      <c r="G73" s="19" t="s">
        <v>30</v>
      </c>
      <c r="H73" s="19">
        <v>3894.8</v>
      </c>
      <c r="I73" s="19">
        <v>3998.9</v>
      </c>
      <c r="J73" s="19">
        <f t="shared" si="1"/>
        <v>104.1</v>
      </c>
      <c r="K73" s="19"/>
      <c r="L73" s="19"/>
    </row>
    <row r="74" ht="14.25" customHeight="1">
      <c r="B74" s="17">
        <v>45497.0</v>
      </c>
      <c r="C74" s="21">
        <v>45497.0</v>
      </c>
      <c r="D74" s="19" t="s">
        <v>100</v>
      </c>
      <c r="E74" s="19" t="s">
        <v>87</v>
      </c>
      <c r="F74" s="19" t="s">
        <v>96</v>
      </c>
      <c r="G74" s="19" t="s">
        <v>30</v>
      </c>
      <c r="H74" s="19">
        <v>3998.9</v>
      </c>
      <c r="I74" s="19">
        <v>4004.9</v>
      </c>
      <c r="J74" s="19">
        <f t="shared" si="1"/>
        <v>6</v>
      </c>
      <c r="K74" s="19"/>
      <c r="L74" s="19"/>
    </row>
    <row r="75" ht="14.25" customHeight="1">
      <c r="B75" s="17">
        <v>45498.0</v>
      </c>
      <c r="C75" s="21">
        <v>45504.0</v>
      </c>
      <c r="D75" s="19" t="s">
        <v>28</v>
      </c>
      <c r="E75" s="19" t="s">
        <v>87</v>
      </c>
      <c r="F75" s="19" t="s">
        <v>97</v>
      </c>
      <c r="G75" s="19" t="s">
        <v>30</v>
      </c>
      <c r="H75" s="19">
        <v>4004.9</v>
      </c>
      <c r="I75" s="19">
        <v>4055.0</v>
      </c>
      <c r="J75" s="19">
        <f t="shared" si="1"/>
        <v>50.1</v>
      </c>
      <c r="K75" s="19"/>
      <c r="L75" s="19"/>
    </row>
    <row r="76" ht="14.25" customHeight="1">
      <c r="B76" s="17">
        <v>45505.0</v>
      </c>
      <c r="C76" s="21">
        <v>45533.0</v>
      </c>
      <c r="D76" s="19" t="s">
        <v>28</v>
      </c>
      <c r="E76" s="19" t="s">
        <v>87</v>
      </c>
      <c r="F76" s="19" t="s">
        <v>97</v>
      </c>
      <c r="G76" s="19" t="s">
        <v>30</v>
      </c>
      <c r="H76" s="19">
        <v>4055.0</v>
      </c>
      <c r="I76" s="19">
        <v>4200.0</v>
      </c>
      <c r="J76" s="19">
        <f t="shared" si="1"/>
        <v>145</v>
      </c>
      <c r="K76" s="19"/>
      <c r="L76" s="19"/>
    </row>
    <row r="77" ht="14.25" customHeight="1">
      <c r="B77" s="27">
        <v>45510.0</v>
      </c>
      <c r="C77" s="28">
        <v>45512.0</v>
      </c>
      <c r="D77" s="19" t="s">
        <v>101</v>
      </c>
      <c r="E77" s="19"/>
      <c r="F77" s="19" t="s">
        <v>102</v>
      </c>
      <c r="G77" s="19" t="s">
        <v>103</v>
      </c>
      <c r="H77" s="19">
        <v>5019.0</v>
      </c>
      <c r="I77" s="19">
        <v>5047.2</v>
      </c>
      <c r="J77" s="19">
        <f t="shared" si="1"/>
        <v>28.2</v>
      </c>
      <c r="K77" s="19">
        <v>380.0</v>
      </c>
      <c r="L77" s="19"/>
    </row>
    <row r="78" ht="14.25" customHeight="1">
      <c r="B78" s="17">
        <v>45536.0</v>
      </c>
      <c r="C78" s="21">
        <v>45552.0</v>
      </c>
      <c r="D78" s="19" t="s">
        <v>104</v>
      </c>
      <c r="E78" s="19" t="s">
        <v>87</v>
      </c>
      <c r="F78" s="19" t="s">
        <v>105</v>
      </c>
      <c r="G78" s="19" t="s">
        <v>12</v>
      </c>
      <c r="H78" s="19">
        <v>4220.0</v>
      </c>
      <c r="I78" s="19">
        <v>4320.8</v>
      </c>
      <c r="J78" s="19">
        <f t="shared" si="1"/>
        <v>100.8</v>
      </c>
      <c r="K78" s="19">
        <v>1063.0</v>
      </c>
      <c r="L78" s="19"/>
    </row>
    <row r="79" ht="14.25" customHeight="1">
      <c r="B79" s="17">
        <v>45553.0</v>
      </c>
      <c r="C79" s="21">
        <v>45561.0</v>
      </c>
      <c r="D79" s="19" t="s">
        <v>63</v>
      </c>
      <c r="E79" s="19"/>
      <c r="F79" s="19" t="s">
        <v>52</v>
      </c>
      <c r="G79" s="19" t="s">
        <v>12</v>
      </c>
      <c r="H79" s="19">
        <v>4320.8</v>
      </c>
      <c r="I79" s="19">
        <v>4388.0</v>
      </c>
      <c r="J79" s="19">
        <f t="shared" si="1"/>
        <v>67.2</v>
      </c>
      <c r="K79" s="19">
        <v>923.0</v>
      </c>
      <c r="L79" s="19"/>
    </row>
    <row r="80" ht="14.25" customHeight="1">
      <c r="B80" s="17">
        <v>45562.0</v>
      </c>
      <c r="C80" s="21">
        <v>45576.0</v>
      </c>
      <c r="D80" s="19" t="s">
        <v>63</v>
      </c>
      <c r="E80" s="19"/>
      <c r="F80" s="19" t="s">
        <v>106</v>
      </c>
      <c r="G80" s="19" t="s">
        <v>12</v>
      </c>
      <c r="H80" s="19">
        <v>4388.0</v>
      </c>
      <c r="I80" s="19">
        <v>4483.0</v>
      </c>
      <c r="J80" s="19">
        <f t="shared" si="1"/>
        <v>95</v>
      </c>
      <c r="K80" s="19">
        <v>1446.0</v>
      </c>
      <c r="L80" s="19"/>
    </row>
    <row r="81" ht="14.25" customHeight="1">
      <c r="B81" s="17">
        <v>45579.0</v>
      </c>
      <c r="C81" s="21">
        <v>45581.0</v>
      </c>
      <c r="D81" s="19" t="s">
        <v>107</v>
      </c>
      <c r="E81" s="19"/>
      <c r="F81" s="19" t="s">
        <v>108</v>
      </c>
      <c r="G81" s="19" t="s">
        <v>12</v>
      </c>
      <c r="H81" s="19">
        <v>4487.0</v>
      </c>
      <c r="I81" s="19">
        <v>4508.5</v>
      </c>
      <c r="J81" s="19">
        <f t="shared" si="1"/>
        <v>21.5</v>
      </c>
      <c r="K81" s="19">
        <v>500.0</v>
      </c>
      <c r="L81" s="19"/>
    </row>
    <row r="82" ht="14.25" customHeight="1">
      <c r="B82" s="17">
        <v>45582.0</v>
      </c>
      <c r="C82" s="21">
        <v>45589.0</v>
      </c>
      <c r="D82" s="19" t="s">
        <v>58</v>
      </c>
      <c r="E82" s="19"/>
      <c r="F82" s="19" t="s">
        <v>109</v>
      </c>
      <c r="G82" s="19" t="s">
        <v>110</v>
      </c>
      <c r="H82" s="19">
        <v>4508.5</v>
      </c>
      <c r="I82" s="19">
        <v>4571.0</v>
      </c>
      <c r="J82" s="19">
        <f t="shared" si="1"/>
        <v>62.5</v>
      </c>
      <c r="K82" s="19">
        <v>1170.0</v>
      </c>
      <c r="L82" s="19"/>
    </row>
    <row r="83" ht="14.25" customHeight="1">
      <c r="B83" s="17">
        <v>45593.0</v>
      </c>
      <c r="C83" s="21">
        <v>45596.0</v>
      </c>
      <c r="D83" s="19" t="s">
        <v>111</v>
      </c>
      <c r="E83" s="19"/>
      <c r="F83" s="19" t="s">
        <v>71</v>
      </c>
      <c r="G83" s="19" t="s">
        <v>12</v>
      </c>
      <c r="H83" s="19">
        <v>4571.0</v>
      </c>
      <c r="I83" s="19">
        <v>4598.0</v>
      </c>
      <c r="J83" s="19">
        <f t="shared" si="1"/>
        <v>27</v>
      </c>
      <c r="K83" s="19">
        <v>645.0</v>
      </c>
      <c r="L83" s="19"/>
    </row>
    <row r="84" ht="14.25" customHeight="1">
      <c r="B84" s="17">
        <v>45597.0</v>
      </c>
      <c r="C84" s="21">
        <v>45599.0</v>
      </c>
      <c r="D84" s="19" t="s">
        <v>111</v>
      </c>
      <c r="E84" s="19"/>
      <c r="F84" s="19" t="s">
        <v>71</v>
      </c>
      <c r="G84" s="19" t="s">
        <v>12</v>
      </c>
      <c r="H84" s="19">
        <v>4598.0</v>
      </c>
      <c r="I84" s="19">
        <v>4620.6</v>
      </c>
      <c r="J84" s="19">
        <f t="shared" si="1"/>
        <v>22.6</v>
      </c>
      <c r="K84" s="19">
        <v>340.0</v>
      </c>
      <c r="L84" s="19"/>
    </row>
    <row r="85" ht="14.25" customHeight="1">
      <c r="B85" s="17">
        <v>45603.0</v>
      </c>
      <c r="C85" s="21">
        <v>45614.0</v>
      </c>
      <c r="D85" s="19" t="s">
        <v>28</v>
      </c>
      <c r="E85" s="19"/>
      <c r="F85" s="19"/>
      <c r="G85" s="19" t="s">
        <v>12</v>
      </c>
      <c r="H85" s="19">
        <v>4620.6</v>
      </c>
      <c r="I85" s="19">
        <v>4719.0</v>
      </c>
      <c r="J85" s="19">
        <f t="shared" si="1"/>
        <v>98.4</v>
      </c>
      <c r="K85" s="19">
        <v>1686.0</v>
      </c>
      <c r="L85" s="19"/>
    </row>
    <row r="86" ht="14.25" customHeight="1">
      <c r="B86" s="17">
        <v>45616.0</v>
      </c>
      <c r="C86" s="21">
        <v>45626.0</v>
      </c>
      <c r="D86" s="19" t="s">
        <v>42</v>
      </c>
      <c r="E86" s="19"/>
      <c r="F86" s="19" t="s">
        <v>75</v>
      </c>
      <c r="G86" s="19" t="s">
        <v>30</v>
      </c>
      <c r="H86" s="19">
        <v>4720.2</v>
      </c>
      <c r="I86" s="19">
        <v>4788.0</v>
      </c>
      <c r="J86" s="19">
        <f t="shared" si="1"/>
        <v>67.8</v>
      </c>
      <c r="K86" s="19">
        <v>1100.0</v>
      </c>
      <c r="L86" s="19"/>
    </row>
    <row r="87" ht="14.25" customHeight="1">
      <c r="B87" s="17">
        <v>45628.0</v>
      </c>
      <c r="C87" s="21">
        <v>45638.0</v>
      </c>
      <c r="D87" s="19" t="s">
        <v>112</v>
      </c>
      <c r="E87" s="19"/>
      <c r="F87" s="19" t="s">
        <v>113</v>
      </c>
      <c r="G87" s="19" t="s">
        <v>30</v>
      </c>
      <c r="H87" s="19">
        <v>4788.0</v>
      </c>
      <c r="I87" s="19">
        <v>4868.0</v>
      </c>
      <c r="J87" s="19">
        <f t="shared" si="1"/>
        <v>80</v>
      </c>
      <c r="K87" s="19">
        <v>1550.0</v>
      </c>
      <c r="L87" s="19"/>
    </row>
    <row r="88" ht="14.25" customHeight="1">
      <c r="B88" s="17">
        <v>45639.0</v>
      </c>
      <c r="C88" s="21">
        <v>45640.0</v>
      </c>
      <c r="D88" s="19" t="s">
        <v>51</v>
      </c>
      <c r="E88" s="19"/>
      <c r="F88" s="19" t="s">
        <v>114</v>
      </c>
      <c r="G88" s="19" t="s">
        <v>30</v>
      </c>
      <c r="H88" s="19">
        <v>4868.0</v>
      </c>
      <c r="I88" s="19">
        <v>4878.5</v>
      </c>
      <c r="J88" s="19">
        <f t="shared" si="1"/>
        <v>10.5</v>
      </c>
      <c r="K88" s="19"/>
      <c r="L88" s="19"/>
    </row>
    <row r="89" ht="14.25" customHeight="1">
      <c r="B89" s="17">
        <v>45642.0</v>
      </c>
      <c r="C89" s="21">
        <v>45649.0</v>
      </c>
      <c r="D89" s="19" t="s">
        <v>112</v>
      </c>
      <c r="E89" s="19"/>
      <c r="F89" s="19" t="s">
        <v>115</v>
      </c>
      <c r="G89" s="19" t="s">
        <v>30</v>
      </c>
      <c r="H89" s="19">
        <v>4878.5</v>
      </c>
      <c r="I89" s="19">
        <v>4932.0</v>
      </c>
      <c r="J89" s="19">
        <f t="shared" si="1"/>
        <v>53.5</v>
      </c>
      <c r="K89" s="19">
        <v>1010.0</v>
      </c>
      <c r="L89" s="19"/>
    </row>
    <row r="90" ht="14.25" customHeight="1">
      <c r="B90" s="17">
        <v>45655.0</v>
      </c>
      <c r="C90" s="17">
        <v>45655.0</v>
      </c>
      <c r="D90" s="19"/>
      <c r="E90" s="19"/>
      <c r="F90" s="19" t="s">
        <v>116</v>
      </c>
      <c r="G90" s="19" t="s">
        <v>30</v>
      </c>
      <c r="H90" s="19">
        <v>4932.0</v>
      </c>
      <c r="I90" s="19">
        <v>4939.0</v>
      </c>
      <c r="J90" s="19">
        <f t="shared" si="1"/>
        <v>7</v>
      </c>
      <c r="K90" s="19"/>
      <c r="L90" s="19"/>
    </row>
    <row r="91" ht="14.25" customHeight="1">
      <c r="B91" s="17">
        <v>45656.0</v>
      </c>
      <c r="C91" s="17">
        <v>45656.0</v>
      </c>
      <c r="D91" s="19"/>
      <c r="E91" s="19"/>
      <c r="F91" s="19" t="s">
        <v>89</v>
      </c>
      <c r="G91" s="19" t="s">
        <v>30</v>
      </c>
      <c r="H91" s="19">
        <v>4939.0</v>
      </c>
      <c r="I91" s="19">
        <v>4948.0</v>
      </c>
      <c r="J91" s="19">
        <f t="shared" si="1"/>
        <v>9</v>
      </c>
      <c r="K91" s="19"/>
      <c r="L91" s="19"/>
    </row>
    <row r="92" ht="14.25" customHeight="1">
      <c r="B92" s="17">
        <v>45657.0</v>
      </c>
      <c r="C92" s="17">
        <v>45659.0</v>
      </c>
      <c r="D92" s="19" t="s">
        <v>117</v>
      </c>
      <c r="E92" s="19"/>
      <c r="F92" s="19" t="s">
        <v>118</v>
      </c>
      <c r="G92" s="19" t="s">
        <v>30</v>
      </c>
      <c r="H92" s="19">
        <v>4948.0</v>
      </c>
      <c r="I92" s="19">
        <v>4964.2</v>
      </c>
      <c r="J92" s="19">
        <f t="shared" si="1"/>
        <v>16.2</v>
      </c>
      <c r="K92" s="19">
        <v>390.0</v>
      </c>
      <c r="L92" s="19"/>
    </row>
    <row r="93" ht="14.25" customHeight="1">
      <c r="B93" s="17">
        <v>45660.0</v>
      </c>
      <c r="C93" s="21">
        <v>45672.0</v>
      </c>
      <c r="D93" s="19" t="s">
        <v>28</v>
      </c>
      <c r="E93" s="19"/>
      <c r="F93" s="19" t="s">
        <v>105</v>
      </c>
      <c r="G93" s="19" t="s">
        <v>12</v>
      </c>
      <c r="H93" s="19">
        <v>4964.2</v>
      </c>
      <c r="I93" s="19">
        <v>5040.0</v>
      </c>
      <c r="J93" s="19">
        <f t="shared" si="1"/>
        <v>75.8</v>
      </c>
      <c r="K93" s="19">
        <v>1342.0</v>
      </c>
      <c r="L93" s="19"/>
    </row>
    <row r="94" ht="14.25" customHeight="1">
      <c r="B94" s="17">
        <v>45673.0</v>
      </c>
      <c r="C94" s="21">
        <v>45673.0</v>
      </c>
      <c r="D94" s="19" t="s">
        <v>119</v>
      </c>
      <c r="E94" s="19"/>
      <c r="F94" s="19" t="s">
        <v>120</v>
      </c>
      <c r="G94" s="19" t="s">
        <v>12</v>
      </c>
      <c r="H94" s="19">
        <v>5040.0</v>
      </c>
      <c r="I94" s="19">
        <v>5047.0</v>
      </c>
      <c r="J94" s="19">
        <f t="shared" si="1"/>
        <v>7</v>
      </c>
      <c r="K94" s="19"/>
      <c r="L94" s="19"/>
    </row>
    <row r="95" ht="14.25" customHeight="1">
      <c r="B95" s="17">
        <v>45674.0</v>
      </c>
      <c r="C95" s="21">
        <v>45674.0</v>
      </c>
      <c r="D95" s="19" t="s">
        <v>121</v>
      </c>
      <c r="E95" s="19"/>
      <c r="F95" s="19"/>
      <c r="G95" s="19" t="s">
        <v>12</v>
      </c>
      <c r="H95" s="19">
        <v>5047.0</v>
      </c>
      <c r="I95" s="19">
        <v>5051.2</v>
      </c>
      <c r="J95" s="19">
        <f t="shared" si="1"/>
        <v>4.2</v>
      </c>
      <c r="K95" s="19"/>
      <c r="L95" s="19"/>
    </row>
    <row r="96" ht="14.25" customHeight="1">
      <c r="B96" s="17">
        <v>45675.0</v>
      </c>
      <c r="C96" s="21">
        <v>45675.0</v>
      </c>
      <c r="D96" s="19" t="s">
        <v>122</v>
      </c>
      <c r="E96" s="19"/>
      <c r="F96" s="19"/>
      <c r="G96" s="19" t="s">
        <v>12</v>
      </c>
      <c r="H96" s="19">
        <v>5051.2</v>
      </c>
      <c r="I96" s="19">
        <v>5051.7</v>
      </c>
      <c r="J96" s="19">
        <f t="shared" si="1"/>
        <v>0.5</v>
      </c>
      <c r="K96" s="19"/>
      <c r="L96" s="19"/>
    </row>
    <row r="97" ht="14.25" customHeight="1">
      <c r="B97" s="17">
        <v>45676.0</v>
      </c>
      <c r="C97" s="21">
        <v>45687.0</v>
      </c>
      <c r="D97" s="19" t="s">
        <v>28</v>
      </c>
      <c r="E97" s="19"/>
      <c r="F97" s="19" t="s">
        <v>123</v>
      </c>
      <c r="G97" s="19" t="s">
        <v>12</v>
      </c>
      <c r="H97" s="19">
        <v>5051.7</v>
      </c>
      <c r="I97" s="19">
        <v>5153.0</v>
      </c>
      <c r="J97" s="19">
        <f t="shared" si="1"/>
        <v>101.3</v>
      </c>
      <c r="K97" s="19">
        <v>1792.0</v>
      </c>
      <c r="L97" s="19"/>
    </row>
    <row r="98" ht="14.25" customHeight="1">
      <c r="B98" s="17">
        <v>45690.0</v>
      </c>
      <c r="C98" s="21">
        <v>45702.0</v>
      </c>
      <c r="D98" s="19" t="s">
        <v>28</v>
      </c>
      <c r="E98" s="19"/>
      <c r="F98" s="19" t="s">
        <v>124</v>
      </c>
      <c r="G98" s="19" t="s">
        <v>12</v>
      </c>
      <c r="H98" s="19">
        <v>5153.0</v>
      </c>
      <c r="I98" s="19">
        <v>5227.0</v>
      </c>
      <c r="J98" s="19">
        <f t="shared" si="1"/>
        <v>74</v>
      </c>
      <c r="K98" s="19">
        <v>1295.0</v>
      </c>
      <c r="L98" s="19"/>
    </row>
    <row r="99" ht="14.25" customHeight="1">
      <c r="B99" s="17">
        <v>45703.0</v>
      </c>
      <c r="C99" s="21">
        <v>45709.0</v>
      </c>
      <c r="D99" s="19"/>
      <c r="E99" s="19"/>
      <c r="F99" s="19" t="s">
        <v>102</v>
      </c>
      <c r="G99" s="19" t="s">
        <v>30</v>
      </c>
      <c r="H99" s="19">
        <v>5332.3</v>
      </c>
      <c r="I99" s="19">
        <v>5337.8</v>
      </c>
      <c r="J99" s="19">
        <f t="shared" si="1"/>
        <v>5.5</v>
      </c>
      <c r="K99" s="19">
        <v>1380.0</v>
      </c>
      <c r="L99" s="19"/>
    </row>
    <row r="100" ht="14.25" customHeight="1">
      <c r="B100" s="17">
        <v>45710.0</v>
      </c>
      <c r="C100" s="21">
        <v>45714.0</v>
      </c>
      <c r="D100" s="19"/>
      <c r="E100" s="19"/>
      <c r="F100" s="19" t="s">
        <v>125</v>
      </c>
      <c r="G100" s="19" t="s">
        <v>12</v>
      </c>
      <c r="H100" s="19">
        <v>5314.0</v>
      </c>
      <c r="I100" s="19">
        <v>5339.0</v>
      </c>
      <c r="J100" s="19">
        <f t="shared" si="1"/>
        <v>25</v>
      </c>
      <c r="K100" s="19">
        <v>230.0</v>
      </c>
      <c r="L100" s="19"/>
    </row>
    <row r="101" ht="14.25" customHeight="1">
      <c r="B101" s="17">
        <v>45714.0</v>
      </c>
      <c r="C101" s="21">
        <v>45716.0</v>
      </c>
      <c r="D101" s="19"/>
      <c r="E101" s="19"/>
      <c r="F101" s="19" t="s">
        <v>75</v>
      </c>
      <c r="G101" s="19"/>
      <c r="H101" s="19">
        <v>5339.0</v>
      </c>
      <c r="I101" s="19">
        <v>5347.3</v>
      </c>
      <c r="J101" s="19">
        <f t="shared" si="1"/>
        <v>8.3</v>
      </c>
      <c r="K101" s="19">
        <v>209.0</v>
      </c>
      <c r="L101" s="19"/>
    </row>
    <row r="102" ht="14.25" customHeight="1">
      <c r="B102" s="17">
        <v>45716.0</v>
      </c>
      <c r="C102" s="21">
        <v>45723.0</v>
      </c>
      <c r="D102" s="19" t="s">
        <v>126</v>
      </c>
      <c r="E102" s="19"/>
      <c r="F102" s="19" t="s">
        <v>41</v>
      </c>
      <c r="G102" s="19" t="s">
        <v>12</v>
      </c>
      <c r="H102" s="19">
        <v>5347.3</v>
      </c>
      <c r="I102" s="19">
        <v>5396.0</v>
      </c>
      <c r="J102" s="19">
        <f t="shared" si="1"/>
        <v>48.7</v>
      </c>
      <c r="K102" s="19">
        <v>484.0</v>
      </c>
      <c r="L102" s="19"/>
    </row>
    <row r="103" ht="14.25" customHeight="1">
      <c r="B103" s="17">
        <v>45726.0</v>
      </c>
      <c r="C103" s="21">
        <v>45728.0</v>
      </c>
      <c r="D103" s="19" t="s">
        <v>127</v>
      </c>
      <c r="E103" s="19"/>
      <c r="F103" s="19" t="s">
        <v>128</v>
      </c>
      <c r="G103" s="19" t="s">
        <v>12</v>
      </c>
      <c r="H103" s="19">
        <v>5396.0</v>
      </c>
      <c r="I103" s="19">
        <v>5427.0</v>
      </c>
      <c r="J103" s="19">
        <f t="shared" si="1"/>
        <v>31</v>
      </c>
      <c r="K103" s="19">
        <v>490.0</v>
      </c>
      <c r="L103" s="19"/>
    </row>
    <row r="104" ht="14.25" customHeight="1">
      <c r="B104" s="17">
        <v>45729.0</v>
      </c>
      <c r="C104" s="21">
        <v>45730.0</v>
      </c>
      <c r="D104" s="19" t="s">
        <v>129</v>
      </c>
      <c r="E104" s="19"/>
      <c r="F104" s="19" t="s">
        <v>118</v>
      </c>
      <c r="G104" s="19" t="s">
        <v>12</v>
      </c>
      <c r="H104" s="19">
        <v>5427.0</v>
      </c>
      <c r="I104" s="19">
        <v>5446.0</v>
      </c>
      <c r="J104" s="19">
        <f t="shared" si="1"/>
        <v>19</v>
      </c>
      <c r="K104" s="19">
        <v>400.0</v>
      </c>
      <c r="L104" s="19"/>
    </row>
    <row r="105" ht="14.25" customHeight="1">
      <c r="B105" s="17">
        <v>45731.0</v>
      </c>
      <c r="C105" s="21">
        <v>45733.0</v>
      </c>
      <c r="D105" s="19" t="s">
        <v>130</v>
      </c>
      <c r="E105" s="19"/>
      <c r="F105" s="19" t="s">
        <v>131</v>
      </c>
      <c r="G105" s="19" t="s">
        <v>12</v>
      </c>
      <c r="H105" s="19">
        <v>5446.0</v>
      </c>
      <c r="I105" s="19">
        <v>5457.0</v>
      </c>
      <c r="J105" s="19">
        <f t="shared" si="1"/>
        <v>11</v>
      </c>
      <c r="K105" s="19">
        <v>458.0</v>
      </c>
      <c r="L105" s="19"/>
    </row>
    <row r="106" ht="14.25" customHeight="1">
      <c r="B106" s="17">
        <v>45734.0</v>
      </c>
      <c r="C106" s="21">
        <v>45747.0</v>
      </c>
      <c r="D106" s="19" t="s">
        <v>132</v>
      </c>
      <c r="E106" s="19"/>
      <c r="F106" s="19" t="s">
        <v>41</v>
      </c>
      <c r="G106" s="19" t="s">
        <v>53</v>
      </c>
      <c r="H106" s="19">
        <v>5457.0</v>
      </c>
      <c r="I106" s="19">
        <v>5579.0</v>
      </c>
      <c r="J106" s="19">
        <f t="shared" si="1"/>
        <v>122</v>
      </c>
      <c r="K106" s="19">
        <v>2524.0</v>
      </c>
      <c r="L106" s="19"/>
    </row>
    <row r="107" ht="14.25" customHeight="1">
      <c r="B107" s="17">
        <v>45748.0</v>
      </c>
      <c r="C107" s="21">
        <v>45758.0</v>
      </c>
      <c r="D107" s="19" t="s">
        <v>132</v>
      </c>
      <c r="E107" s="19"/>
      <c r="F107" s="19" t="s">
        <v>41</v>
      </c>
      <c r="G107" s="19" t="s">
        <v>30</v>
      </c>
      <c r="H107" s="19">
        <v>5579.0</v>
      </c>
      <c r="I107" s="19">
        <v>5674.0</v>
      </c>
      <c r="J107" s="19">
        <f t="shared" si="1"/>
        <v>95</v>
      </c>
      <c r="K107" s="19">
        <v>1603.0</v>
      </c>
      <c r="L107" s="19"/>
    </row>
    <row r="108" ht="14.25" customHeight="1">
      <c r="B108" s="17">
        <v>45759.0</v>
      </c>
      <c r="C108" s="21">
        <v>45768.0</v>
      </c>
      <c r="D108" s="19" t="s">
        <v>107</v>
      </c>
      <c r="E108" s="19"/>
      <c r="F108" s="19"/>
      <c r="G108" s="19" t="s">
        <v>30</v>
      </c>
      <c r="H108" s="19">
        <v>5674.0</v>
      </c>
      <c r="I108" s="19">
        <v>5736.0</v>
      </c>
      <c r="J108" s="19">
        <f t="shared" si="1"/>
        <v>62</v>
      </c>
      <c r="K108" s="19">
        <v>1684.0</v>
      </c>
      <c r="L108" s="19"/>
    </row>
    <row r="109" ht="14.25" customHeight="1">
      <c r="B109" s="17">
        <v>45775.0</v>
      </c>
      <c r="C109" s="21">
        <v>45777.0</v>
      </c>
      <c r="D109" s="19" t="s">
        <v>112</v>
      </c>
      <c r="E109" s="19"/>
      <c r="F109" s="19"/>
      <c r="G109" s="19" t="s">
        <v>30</v>
      </c>
      <c r="H109" s="19">
        <v>5736.0</v>
      </c>
      <c r="I109" s="19">
        <v>5762.0</v>
      </c>
      <c r="J109" s="19">
        <f t="shared" si="1"/>
        <v>26</v>
      </c>
      <c r="K109" s="19">
        <v>440.0</v>
      </c>
      <c r="L109" s="19"/>
    </row>
    <row r="110" ht="14.25" customHeight="1">
      <c r="B110" s="17">
        <v>45778.0</v>
      </c>
      <c r="C110" s="21">
        <v>45804.0</v>
      </c>
      <c r="D110" s="19"/>
      <c r="E110" s="19"/>
      <c r="F110" s="19"/>
      <c r="G110" s="19"/>
      <c r="H110" s="19"/>
      <c r="I110" s="19"/>
      <c r="J110" s="19">
        <f t="shared" si="1"/>
        <v>0</v>
      </c>
      <c r="K110" s="19"/>
      <c r="L110" s="19"/>
    </row>
    <row r="111" ht="14.25" customHeight="1">
      <c r="B111" s="17">
        <v>45810.0</v>
      </c>
      <c r="C111" s="21">
        <v>45818.0</v>
      </c>
      <c r="D111" s="19" t="s">
        <v>67</v>
      </c>
      <c r="E111" s="19"/>
      <c r="F111" s="19" t="s">
        <v>133</v>
      </c>
      <c r="G111" s="19" t="s">
        <v>12</v>
      </c>
      <c r="H111" s="19">
        <v>5998.0</v>
      </c>
      <c r="I111" s="19">
        <v>6034.8</v>
      </c>
      <c r="J111" s="19">
        <f t="shared" si="1"/>
        <v>36.8</v>
      </c>
      <c r="K111" s="19">
        <v>600.0</v>
      </c>
      <c r="L111" s="19"/>
    </row>
    <row r="112" ht="14.25" customHeight="1">
      <c r="B112" s="17">
        <v>45819.0</v>
      </c>
      <c r="C112" s="21">
        <v>45822.0</v>
      </c>
      <c r="D112" s="19" t="s">
        <v>134</v>
      </c>
      <c r="E112" s="19"/>
      <c r="F112" s="19" t="s">
        <v>135</v>
      </c>
      <c r="G112" s="19" t="s">
        <v>12</v>
      </c>
      <c r="H112" s="19">
        <v>6034.8</v>
      </c>
      <c r="I112" s="19">
        <v>6058.0</v>
      </c>
      <c r="J112" s="19">
        <f t="shared" si="1"/>
        <v>23.2</v>
      </c>
      <c r="K112" s="19">
        <v>658.0</v>
      </c>
      <c r="L112" s="19"/>
    </row>
    <row r="113" ht="14.25" customHeight="1">
      <c r="B113" s="17">
        <v>45823.0</v>
      </c>
      <c r="C113" s="21">
        <v>45838.0</v>
      </c>
      <c r="D113" s="19" t="s">
        <v>67</v>
      </c>
      <c r="E113" s="19"/>
      <c r="F113" s="19" t="s">
        <v>36</v>
      </c>
      <c r="G113" s="19" t="s">
        <v>30</v>
      </c>
      <c r="H113" s="19">
        <v>6058.0</v>
      </c>
      <c r="I113" s="19">
        <v>6171.0</v>
      </c>
      <c r="J113" s="19">
        <f t="shared" si="1"/>
        <v>113</v>
      </c>
      <c r="K113" s="19">
        <v>1454.0</v>
      </c>
      <c r="L113" s="19"/>
    </row>
    <row r="114" ht="14.25" customHeight="1">
      <c r="B114" s="17">
        <v>45839.0</v>
      </c>
      <c r="C114" s="21">
        <v>45859.0</v>
      </c>
      <c r="D114" s="19" t="s">
        <v>67</v>
      </c>
      <c r="E114" s="19"/>
      <c r="F114" s="19" t="s">
        <v>36</v>
      </c>
      <c r="G114" s="19" t="s">
        <v>30</v>
      </c>
      <c r="H114" s="19">
        <v>6171.0</v>
      </c>
      <c r="I114" s="19">
        <v>6331.0</v>
      </c>
      <c r="J114" s="19">
        <f t="shared" si="1"/>
        <v>160</v>
      </c>
      <c r="K114" s="19">
        <v>2507.0</v>
      </c>
      <c r="L114" s="19"/>
    </row>
    <row r="115" ht="14.25" customHeight="1">
      <c r="B115" s="17">
        <v>45861.0</v>
      </c>
      <c r="C115" s="21">
        <v>45869.0</v>
      </c>
      <c r="D115" s="19" t="s">
        <v>28</v>
      </c>
      <c r="E115" s="19"/>
      <c r="F115" s="19" t="s">
        <v>136</v>
      </c>
      <c r="G115" s="19" t="s">
        <v>30</v>
      </c>
      <c r="H115" s="19">
        <v>6331.0</v>
      </c>
      <c r="I115" s="19">
        <v>6413.0</v>
      </c>
      <c r="J115" s="19">
        <f t="shared" si="1"/>
        <v>82</v>
      </c>
      <c r="K115" s="19">
        <v>1200.0</v>
      </c>
      <c r="L115" s="19"/>
    </row>
    <row r="116" ht="14.25" customHeight="1">
      <c r="B116" s="17">
        <v>45870.0</v>
      </c>
      <c r="C116" s="21">
        <v>45875.0</v>
      </c>
      <c r="D116" s="19" t="s">
        <v>28</v>
      </c>
      <c r="E116" s="19"/>
      <c r="F116" s="19" t="s">
        <v>137</v>
      </c>
      <c r="G116" s="19" t="s">
        <v>30</v>
      </c>
      <c r="H116" s="19">
        <v>6413.0</v>
      </c>
      <c r="I116" s="19">
        <v>6444.8</v>
      </c>
      <c r="J116" s="19">
        <f t="shared" si="1"/>
        <v>31.8</v>
      </c>
      <c r="K116" s="19">
        <v>723.0</v>
      </c>
      <c r="L116" s="19"/>
    </row>
    <row r="117" ht="14.25" customHeight="1">
      <c r="B117" s="17">
        <v>45887.0</v>
      </c>
      <c r="C117" s="21">
        <v>45891.0</v>
      </c>
      <c r="D117" s="19" t="s">
        <v>67</v>
      </c>
      <c r="E117" s="19"/>
      <c r="F117" s="19" t="s">
        <v>36</v>
      </c>
      <c r="G117" s="19" t="s">
        <v>30</v>
      </c>
      <c r="H117" s="19">
        <v>6453.0</v>
      </c>
      <c r="I117" s="19">
        <v>6485.7</v>
      </c>
      <c r="J117" s="19">
        <f t="shared" si="1"/>
        <v>32.7</v>
      </c>
      <c r="K117" s="19">
        <v>470.0</v>
      </c>
      <c r="L117" s="19"/>
    </row>
    <row r="118" ht="14.25" customHeight="1">
      <c r="B118" s="17">
        <v>45892.0</v>
      </c>
      <c r="C118" s="21">
        <v>45895.0</v>
      </c>
      <c r="D118" s="19" t="s">
        <v>86</v>
      </c>
      <c r="E118" s="19"/>
      <c r="F118" s="19" t="s">
        <v>36</v>
      </c>
      <c r="G118" s="19" t="s">
        <v>30</v>
      </c>
      <c r="H118" s="19">
        <v>6485.7</v>
      </c>
      <c r="I118" s="19">
        <v>6516.0</v>
      </c>
      <c r="J118" s="19">
        <f t="shared" si="1"/>
        <v>30.3</v>
      </c>
      <c r="K118" s="19">
        <v>750.0</v>
      </c>
      <c r="L118" s="19"/>
    </row>
    <row r="119" ht="14.25" customHeight="1">
      <c r="B119" s="17">
        <v>45895.0</v>
      </c>
      <c r="C119" s="21">
        <v>45895.0</v>
      </c>
      <c r="D119" s="19" t="s">
        <v>67</v>
      </c>
      <c r="E119" s="19"/>
      <c r="F119" s="19" t="s">
        <v>36</v>
      </c>
      <c r="G119" s="19" t="s">
        <v>12</v>
      </c>
      <c r="H119" s="19">
        <v>6516.1</v>
      </c>
      <c r="I119" s="19">
        <v>6520.4</v>
      </c>
      <c r="J119" s="19">
        <f t="shared" si="1"/>
        <v>4.3</v>
      </c>
      <c r="K119" s="19">
        <v>240.0</v>
      </c>
      <c r="L119" s="19"/>
    </row>
    <row r="120" ht="14.25" customHeight="1">
      <c r="B120" s="17">
        <v>45896.0</v>
      </c>
      <c r="C120" s="21">
        <v>45899.0</v>
      </c>
      <c r="D120" s="19" t="s">
        <v>138</v>
      </c>
      <c r="E120" s="19"/>
      <c r="F120" s="19" t="s">
        <v>139</v>
      </c>
      <c r="G120" s="19" t="s">
        <v>30</v>
      </c>
      <c r="H120" s="19">
        <v>6529.0</v>
      </c>
      <c r="I120" s="19">
        <v>6570.0</v>
      </c>
      <c r="J120" s="19">
        <f t="shared" si="1"/>
        <v>41</v>
      </c>
      <c r="K120" s="19">
        <v>927.0</v>
      </c>
      <c r="L120" s="19"/>
    </row>
    <row r="121" ht="14.25" customHeight="1">
      <c r="B121" s="17">
        <v>45901.0</v>
      </c>
      <c r="C121" s="21">
        <v>45915.0</v>
      </c>
      <c r="D121" s="19" t="s">
        <v>138</v>
      </c>
      <c r="E121" s="19"/>
      <c r="F121" s="19" t="s">
        <v>140</v>
      </c>
      <c r="G121" s="19" t="s">
        <v>12</v>
      </c>
      <c r="H121" s="19">
        <v>6570.0</v>
      </c>
      <c r="I121" s="19">
        <v>6692.0</v>
      </c>
      <c r="J121" s="19">
        <f t="shared" si="1"/>
        <v>122</v>
      </c>
      <c r="K121" s="19"/>
      <c r="L121" s="19"/>
    </row>
    <row r="122" ht="14.25" customHeight="1">
      <c r="B122" s="17">
        <v>45916.0</v>
      </c>
      <c r="C122" s="21">
        <v>45930.0</v>
      </c>
      <c r="D122" s="19" t="s">
        <v>86</v>
      </c>
      <c r="E122" s="19"/>
      <c r="F122" s="19" t="s">
        <v>36</v>
      </c>
      <c r="G122" s="19" t="s">
        <v>30</v>
      </c>
      <c r="H122" s="19">
        <v>6692.0</v>
      </c>
      <c r="I122" s="19">
        <v>6822.0</v>
      </c>
      <c r="J122" s="19">
        <f t="shared" si="1"/>
        <v>130</v>
      </c>
      <c r="K122" s="19"/>
      <c r="L122" s="19"/>
    </row>
    <row r="123" ht="14.25" customHeight="1">
      <c r="B123" s="17">
        <v>45931.0</v>
      </c>
      <c r="C123" s="21">
        <v>45933.0</v>
      </c>
      <c r="D123" s="19" t="s">
        <v>141</v>
      </c>
      <c r="E123" s="19"/>
      <c r="F123" s="19" t="s">
        <v>36</v>
      </c>
      <c r="G123" s="19" t="s">
        <v>30</v>
      </c>
      <c r="H123" s="19">
        <v>6822.0</v>
      </c>
      <c r="I123" s="19">
        <v>6840.1</v>
      </c>
      <c r="J123" s="19">
        <f t="shared" si="1"/>
        <v>18.1</v>
      </c>
      <c r="K123" s="19"/>
      <c r="L123" s="19"/>
    </row>
    <row r="124" ht="14.25" customHeight="1">
      <c r="B124" s="17">
        <v>45936.0</v>
      </c>
      <c r="C124" s="21">
        <v>45959.0</v>
      </c>
      <c r="D124" s="19" t="s">
        <v>134</v>
      </c>
      <c r="E124" s="19"/>
      <c r="F124" s="19" t="s">
        <v>142</v>
      </c>
      <c r="G124" s="19" t="s">
        <v>12</v>
      </c>
      <c r="H124" s="19">
        <v>6840.1</v>
      </c>
      <c r="I124" s="19">
        <v>7008.0</v>
      </c>
      <c r="J124" s="19">
        <f t="shared" si="1"/>
        <v>167.9</v>
      </c>
      <c r="K124" s="19"/>
      <c r="L124" s="19"/>
    </row>
    <row r="125" ht="14.25" customHeight="1">
      <c r="B125" s="17">
        <v>45960.0</v>
      </c>
      <c r="C125" s="21">
        <v>45961.0</v>
      </c>
      <c r="D125" s="29" t="s">
        <v>143</v>
      </c>
      <c r="E125" s="19"/>
      <c r="F125" s="29" t="s">
        <v>144</v>
      </c>
      <c r="G125" s="19" t="s">
        <v>30</v>
      </c>
      <c r="H125" s="19">
        <v>7008.0</v>
      </c>
      <c r="I125" s="29">
        <v>7033.0</v>
      </c>
      <c r="J125" s="19">
        <f t="shared" si="1"/>
        <v>25</v>
      </c>
      <c r="K125" s="19"/>
      <c r="L125" s="19"/>
    </row>
    <row r="126" ht="14.25" customHeight="1">
      <c r="B126" s="30">
        <v>45964.0</v>
      </c>
      <c r="C126" s="31">
        <v>45965.0</v>
      </c>
      <c r="D126" s="29" t="s">
        <v>143</v>
      </c>
      <c r="E126" s="19"/>
      <c r="F126" s="29" t="s">
        <v>144</v>
      </c>
      <c r="G126" s="29" t="s">
        <v>12</v>
      </c>
      <c r="H126" s="29">
        <v>7033.0</v>
      </c>
      <c r="I126" s="29">
        <v>7052.0</v>
      </c>
      <c r="J126" s="19">
        <f t="shared" si="1"/>
        <v>19</v>
      </c>
      <c r="K126" s="29">
        <v>550.0</v>
      </c>
      <c r="L126" s="19"/>
    </row>
    <row r="127" ht="14.25" customHeight="1">
      <c r="B127" s="30">
        <v>45966.0</v>
      </c>
      <c r="C127" s="31">
        <v>45967.0</v>
      </c>
      <c r="D127" s="29" t="s">
        <v>145</v>
      </c>
      <c r="E127" s="19"/>
      <c r="F127" s="29" t="s">
        <v>146</v>
      </c>
      <c r="G127" s="29" t="s">
        <v>12</v>
      </c>
      <c r="H127" s="29">
        <v>7052.0</v>
      </c>
      <c r="I127" s="29">
        <v>7058.0</v>
      </c>
      <c r="J127" s="19">
        <f t="shared" si="1"/>
        <v>6</v>
      </c>
      <c r="K127" s="19"/>
      <c r="L127" s="19"/>
    </row>
    <row r="128" ht="14.25" customHeight="1">
      <c r="B128" s="30">
        <v>45968.0</v>
      </c>
      <c r="C128" s="31">
        <v>45976.0</v>
      </c>
      <c r="D128" s="29" t="s">
        <v>67</v>
      </c>
      <c r="E128" s="19"/>
      <c r="F128" s="29" t="s">
        <v>36</v>
      </c>
      <c r="G128" s="29" t="s">
        <v>12</v>
      </c>
      <c r="H128" s="29">
        <v>7058.0</v>
      </c>
      <c r="I128" s="29">
        <v>7127.0</v>
      </c>
      <c r="J128" s="19">
        <f t="shared" si="1"/>
        <v>69</v>
      </c>
      <c r="K128" s="29">
        <v>1330.0</v>
      </c>
      <c r="L128" s="19"/>
    </row>
    <row r="129" ht="14.25" customHeight="1">
      <c r="B129" s="30">
        <v>45978.0</v>
      </c>
      <c r="C129" s="31">
        <v>45981.0</v>
      </c>
      <c r="D129" s="29" t="s">
        <v>134</v>
      </c>
      <c r="E129" s="19"/>
      <c r="F129" s="19"/>
      <c r="G129" s="29" t="s">
        <v>12</v>
      </c>
      <c r="H129" s="29">
        <v>7127.0</v>
      </c>
      <c r="I129" s="29">
        <v>7161.2</v>
      </c>
      <c r="J129" s="19">
        <f t="shared" si="1"/>
        <v>34.2</v>
      </c>
      <c r="K129" s="29">
        <v>745.0</v>
      </c>
      <c r="L129" s="19"/>
    </row>
    <row r="130" ht="14.25" customHeight="1">
      <c r="B130" s="30">
        <v>45982.0</v>
      </c>
      <c r="C130" s="31">
        <v>45990.0</v>
      </c>
      <c r="D130" s="29" t="s">
        <v>134</v>
      </c>
      <c r="E130" s="19"/>
      <c r="F130" s="29" t="s">
        <v>147</v>
      </c>
      <c r="G130" s="29" t="s">
        <v>12</v>
      </c>
      <c r="H130" s="29">
        <v>7161.2</v>
      </c>
      <c r="I130" s="29">
        <v>7544.0</v>
      </c>
      <c r="J130" s="19">
        <f t="shared" si="1"/>
        <v>382.8</v>
      </c>
      <c r="K130" s="29">
        <v>1500.0</v>
      </c>
      <c r="L130" s="19"/>
    </row>
    <row r="131" ht="14.25" customHeight="1">
      <c r="B131" s="30">
        <v>45992.0</v>
      </c>
      <c r="C131" s="31">
        <v>45996.0</v>
      </c>
      <c r="D131" s="29" t="s">
        <v>42</v>
      </c>
      <c r="E131" s="19"/>
      <c r="F131" s="29" t="s">
        <v>147</v>
      </c>
      <c r="G131" s="29" t="s">
        <v>30</v>
      </c>
      <c r="H131" s="29">
        <v>7244.0</v>
      </c>
      <c r="I131" s="29">
        <v>7282.8</v>
      </c>
      <c r="J131" s="19">
        <f t="shared" si="1"/>
        <v>38.8</v>
      </c>
      <c r="K131" s="29">
        <v>744.0</v>
      </c>
      <c r="L131" s="19"/>
    </row>
    <row r="132" ht="14.25" customHeight="1">
      <c r="B132" s="30">
        <v>45997.0</v>
      </c>
      <c r="C132" s="31">
        <v>46009.0</v>
      </c>
      <c r="D132" s="29" t="s">
        <v>148</v>
      </c>
      <c r="E132" s="19"/>
      <c r="F132" s="29" t="s">
        <v>149</v>
      </c>
      <c r="G132" s="29" t="s">
        <v>12</v>
      </c>
      <c r="H132" s="29">
        <v>7282.8</v>
      </c>
      <c r="I132" s="29">
        <v>7366.0</v>
      </c>
      <c r="J132" s="19">
        <f t="shared" si="1"/>
        <v>83.2</v>
      </c>
      <c r="K132" s="29">
        <v>1160.0</v>
      </c>
      <c r="L132" s="19"/>
    </row>
    <row r="133" ht="14.25" customHeight="1">
      <c r="B133" s="30">
        <v>46010.0</v>
      </c>
      <c r="C133" s="31">
        <v>46022.0</v>
      </c>
      <c r="D133" s="29" t="s">
        <v>112</v>
      </c>
      <c r="E133" s="19"/>
      <c r="F133" s="19"/>
      <c r="G133" s="29" t="s">
        <v>30</v>
      </c>
      <c r="H133" s="29">
        <v>7366.0</v>
      </c>
      <c r="I133" s="29">
        <v>7452.0</v>
      </c>
      <c r="J133" s="19">
        <f t="shared" si="1"/>
        <v>86</v>
      </c>
      <c r="K133" s="29">
        <v>2144.0</v>
      </c>
      <c r="L133" s="19"/>
    </row>
    <row r="134" ht="14.25" customHeight="1">
      <c r="B134" s="17"/>
      <c r="C134" s="21"/>
      <c r="D134" s="19"/>
      <c r="E134" s="19"/>
      <c r="F134" s="19"/>
      <c r="G134" s="19"/>
      <c r="H134" s="19"/>
      <c r="I134" s="19"/>
      <c r="J134" s="19">
        <f t="shared" si="1"/>
        <v>0</v>
      </c>
      <c r="K134" s="19"/>
      <c r="L134" s="19"/>
    </row>
    <row r="135" ht="14.25" customHeight="1">
      <c r="B135" s="17"/>
      <c r="C135" s="21"/>
      <c r="D135" s="19"/>
      <c r="E135" s="19"/>
      <c r="F135" s="19"/>
      <c r="G135" s="19"/>
      <c r="H135" s="19"/>
      <c r="I135" s="19"/>
      <c r="J135" s="19">
        <f t="shared" si="1"/>
        <v>0</v>
      </c>
      <c r="K135" s="19"/>
      <c r="L135" s="19"/>
    </row>
    <row r="136" ht="14.25" customHeight="1">
      <c r="B136" s="17"/>
      <c r="C136" s="21"/>
      <c r="D136" s="19"/>
      <c r="E136" s="19"/>
      <c r="F136" s="19"/>
      <c r="G136" s="19"/>
      <c r="H136" s="19"/>
      <c r="I136" s="19"/>
      <c r="J136" s="19">
        <f t="shared" si="1"/>
        <v>0</v>
      </c>
      <c r="K136" s="19"/>
      <c r="L136" s="19"/>
    </row>
    <row r="137" ht="14.25" customHeight="1">
      <c r="B137" s="17"/>
      <c r="C137" s="21"/>
      <c r="D137" s="19"/>
      <c r="E137" s="19"/>
      <c r="F137" s="19"/>
      <c r="G137" s="19"/>
      <c r="H137" s="19"/>
      <c r="I137" s="19"/>
      <c r="J137" s="19">
        <f t="shared" si="1"/>
        <v>0</v>
      </c>
      <c r="K137" s="19"/>
      <c r="L137" s="19"/>
    </row>
    <row r="138" ht="14.25" customHeight="1">
      <c r="B138" s="17"/>
      <c r="C138" s="21"/>
      <c r="D138" s="19"/>
      <c r="E138" s="19"/>
      <c r="F138" s="19"/>
      <c r="G138" s="19"/>
      <c r="H138" s="19"/>
      <c r="I138" s="19"/>
      <c r="J138" s="19">
        <f t="shared" si="1"/>
        <v>0</v>
      </c>
      <c r="K138" s="19"/>
      <c r="L138" s="19"/>
    </row>
    <row r="139" ht="14.25" customHeight="1">
      <c r="B139" s="17"/>
      <c r="C139" s="21"/>
      <c r="D139" s="19"/>
      <c r="E139" s="19"/>
      <c r="F139" s="19"/>
      <c r="G139" s="19"/>
      <c r="H139" s="19"/>
      <c r="I139" s="19"/>
      <c r="J139" s="19">
        <f t="shared" si="1"/>
        <v>0</v>
      </c>
      <c r="K139" s="19"/>
      <c r="L139" s="19"/>
    </row>
    <row r="140" ht="14.25" customHeight="1">
      <c r="B140" s="17"/>
      <c r="C140" s="21"/>
      <c r="D140" s="19"/>
      <c r="E140" s="19"/>
      <c r="F140" s="19"/>
      <c r="G140" s="19"/>
      <c r="H140" s="19"/>
      <c r="I140" s="19"/>
      <c r="J140" s="19">
        <f t="shared" si="1"/>
        <v>0</v>
      </c>
      <c r="K140" s="19"/>
      <c r="L140" s="19"/>
    </row>
    <row r="141" ht="14.25" customHeight="1">
      <c r="B141" s="17"/>
      <c r="C141" s="21"/>
      <c r="D141" s="19"/>
      <c r="E141" s="19"/>
      <c r="F141" s="19"/>
      <c r="G141" s="19"/>
      <c r="H141" s="19"/>
      <c r="I141" s="19"/>
      <c r="J141" s="19">
        <f t="shared" si="1"/>
        <v>0</v>
      </c>
      <c r="K141" s="19"/>
      <c r="L141" s="19"/>
    </row>
    <row r="142" ht="14.25" customHeight="1">
      <c r="B142" s="17"/>
      <c r="C142" s="21"/>
      <c r="D142" s="19"/>
      <c r="E142" s="19"/>
      <c r="F142" s="19"/>
      <c r="G142" s="19"/>
      <c r="H142" s="19"/>
      <c r="I142" s="19"/>
      <c r="J142" s="19">
        <f t="shared" si="1"/>
        <v>0</v>
      </c>
      <c r="K142" s="19"/>
      <c r="L142" s="19"/>
    </row>
    <row r="143" ht="14.25" customHeight="1">
      <c r="B143" s="17"/>
      <c r="C143" s="21"/>
      <c r="D143" s="19"/>
      <c r="E143" s="19"/>
      <c r="F143" s="19"/>
      <c r="G143" s="19"/>
      <c r="H143" s="19"/>
      <c r="I143" s="19"/>
      <c r="J143" s="19">
        <f t="shared" si="1"/>
        <v>0</v>
      </c>
      <c r="K143" s="19"/>
      <c r="L143" s="19"/>
    </row>
    <row r="144" ht="14.25" customHeight="1">
      <c r="B144" s="17"/>
      <c r="C144" s="21"/>
      <c r="D144" s="19"/>
      <c r="E144" s="19"/>
      <c r="F144" s="19"/>
      <c r="G144" s="19"/>
      <c r="H144" s="19"/>
      <c r="I144" s="19"/>
      <c r="J144" s="19">
        <f t="shared" si="1"/>
        <v>0</v>
      </c>
      <c r="K144" s="19"/>
      <c r="L144" s="19"/>
    </row>
    <row r="145" ht="14.25" customHeight="1">
      <c r="B145" s="17"/>
      <c r="C145" s="21"/>
      <c r="D145" s="19"/>
      <c r="E145" s="19"/>
      <c r="F145" s="19"/>
      <c r="G145" s="19"/>
      <c r="H145" s="19"/>
      <c r="I145" s="19"/>
      <c r="J145" s="19">
        <f t="shared" si="1"/>
        <v>0</v>
      </c>
      <c r="K145" s="19"/>
      <c r="L145" s="19"/>
    </row>
    <row r="146" ht="14.25" customHeight="1">
      <c r="B146" s="17"/>
      <c r="C146" s="21"/>
      <c r="D146" s="19"/>
      <c r="E146" s="19"/>
      <c r="F146" s="19"/>
      <c r="G146" s="19"/>
      <c r="H146" s="19"/>
      <c r="I146" s="19"/>
      <c r="J146" s="19">
        <f t="shared" si="1"/>
        <v>0</v>
      </c>
      <c r="K146" s="19"/>
      <c r="L146" s="19"/>
    </row>
    <row r="147" ht="14.25" customHeight="1">
      <c r="B147" s="17"/>
      <c r="C147" s="21"/>
      <c r="D147" s="19"/>
      <c r="E147" s="19"/>
      <c r="F147" s="19"/>
      <c r="G147" s="19"/>
      <c r="H147" s="19"/>
      <c r="I147" s="19"/>
      <c r="J147" s="19">
        <f t="shared" si="1"/>
        <v>0</v>
      </c>
      <c r="K147" s="19"/>
      <c r="L147" s="19"/>
    </row>
    <row r="148" ht="14.25" customHeight="1">
      <c r="B148" s="17"/>
      <c r="C148" s="21"/>
      <c r="D148" s="19"/>
      <c r="E148" s="19"/>
      <c r="F148" s="19"/>
      <c r="G148" s="19"/>
      <c r="H148" s="19"/>
      <c r="I148" s="19"/>
      <c r="J148" s="19">
        <f t="shared" si="1"/>
        <v>0</v>
      </c>
      <c r="K148" s="19"/>
      <c r="L148" s="19"/>
    </row>
    <row r="149" ht="14.25" customHeight="1">
      <c r="B149" s="17"/>
      <c r="C149" s="21"/>
      <c r="D149" s="19"/>
      <c r="E149" s="19"/>
      <c r="F149" s="19"/>
      <c r="G149" s="19"/>
      <c r="H149" s="19"/>
      <c r="I149" s="19"/>
      <c r="J149" s="19">
        <f t="shared" si="1"/>
        <v>0</v>
      </c>
      <c r="K149" s="19"/>
      <c r="L149" s="19"/>
    </row>
    <row r="150" ht="14.25" customHeight="1">
      <c r="B150" s="17"/>
      <c r="C150" s="21"/>
      <c r="D150" s="19"/>
      <c r="E150" s="19"/>
      <c r="F150" s="19"/>
      <c r="G150" s="19"/>
      <c r="H150" s="19"/>
      <c r="I150" s="19"/>
      <c r="J150" s="19">
        <f t="shared" si="1"/>
        <v>0</v>
      </c>
      <c r="K150" s="19"/>
      <c r="L150" s="19"/>
    </row>
    <row r="151" ht="14.25" customHeight="1">
      <c r="B151" s="17"/>
      <c r="C151" s="21"/>
      <c r="D151" s="19"/>
      <c r="E151" s="19"/>
      <c r="F151" s="19"/>
      <c r="G151" s="19"/>
      <c r="H151" s="19"/>
      <c r="I151" s="19"/>
      <c r="J151" s="19">
        <f t="shared" si="1"/>
        <v>0</v>
      </c>
      <c r="K151" s="19"/>
      <c r="L151" s="19"/>
    </row>
    <row r="152" ht="14.25" customHeight="1">
      <c r="B152" s="17"/>
      <c r="C152" s="21"/>
      <c r="D152" s="19"/>
      <c r="E152" s="19"/>
      <c r="F152" s="19"/>
      <c r="G152" s="19"/>
      <c r="H152" s="19"/>
      <c r="I152" s="19"/>
      <c r="J152" s="19">
        <f t="shared" si="1"/>
        <v>0</v>
      </c>
      <c r="K152" s="19"/>
      <c r="L152" s="19"/>
    </row>
    <row r="153" ht="14.25" customHeight="1">
      <c r="B153" s="17"/>
      <c r="C153" s="21"/>
      <c r="D153" s="19"/>
      <c r="E153" s="19"/>
      <c r="F153" s="19"/>
      <c r="G153" s="19"/>
      <c r="H153" s="19"/>
      <c r="I153" s="19"/>
      <c r="J153" s="19">
        <f t="shared" si="1"/>
        <v>0</v>
      </c>
      <c r="K153" s="19"/>
      <c r="L153" s="19"/>
    </row>
    <row r="154" ht="14.25" customHeight="1">
      <c r="B154" s="17"/>
      <c r="C154" s="21"/>
      <c r="D154" s="19"/>
      <c r="E154" s="19"/>
      <c r="F154" s="19"/>
      <c r="G154" s="19"/>
      <c r="H154" s="19"/>
      <c r="I154" s="19"/>
      <c r="J154" s="19">
        <f t="shared" si="1"/>
        <v>0</v>
      </c>
      <c r="K154" s="19"/>
      <c r="L154" s="19"/>
    </row>
    <row r="155" ht="14.25" customHeight="1">
      <c r="B155" s="17"/>
      <c r="C155" s="21"/>
      <c r="D155" s="19"/>
      <c r="E155" s="19"/>
      <c r="F155" s="19"/>
      <c r="G155" s="19"/>
      <c r="H155" s="19"/>
      <c r="I155" s="19"/>
      <c r="J155" s="19">
        <f t="shared" si="1"/>
        <v>0</v>
      </c>
      <c r="K155" s="19"/>
      <c r="L155" s="19"/>
    </row>
    <row r="156" ht="14.25" customHeight="1">
      <c r="B156" s="17"/>
      <c r="C156" s="21"/>
      <c r="D156" s="19"/>
      <c r="E156" s="19"/>
      <c r="F156" s="19"/>
      <c r="G156" s="19"/>
      <c r="H156" s="19"/>
      <c r="I156" s="19"/>
      <c r="J156" s="19">
        <f t="shared" si="1"/>
        <v>0</v>
      </c>
      <c r="K156" s="19"/>
      <c r="L156" s="19"/>
    </row>
    <row r="157" ht="14.25" customHeight="1">
      <c r="B157" s="17"/>
      <c r="C157" s="21"/>
      <c r="D157" s="19"/>
      <c r="E157" s="19"/>
      <c r="F157" s="19"/>
      <c r="G157" s="19"/>
      <c r="H157" s="19"/>
      <c r="I157" s="19"/>
      <c r="J157" s="19">
        <f t="shared" si="1"/>
        <v>0</v>
      </c>
      <c r="K157" s="19"/>
      <c r="L157" s="19"/>
    </row>
    <row r="158" ht="14.25" customHeight="1">
      <c r="B158" s="17"/>
      <c r="C158" s="21"/>
      <c r="D158" s="19"/>
      <c r="E158" s="19"/>
      <c r="F158" s="19"/>
      <c r="G158" s="19"/>
      <c r="H158" s="19"/>
      <c r="I158" s="19"/>
      <c r="J158" s="19">
        <f t="shared" si="1"/>
        <v>0</v>
      </c>
      <c r="K158" s="19"/>
      <c r="L158" s="19"/>
    </row>
    <row r="159" ht="14.25" customHeight="1">
      <c r="B159" s="17"/>
      <c r="C159" s="21"/>
      <c r="D159" s="19"/>
      <c r="E159" s="19"/>
      <c r="F159" s="19"/>
      <c r="G159" s="19"/>
      <c r="H159" s="19"/>
      <c r="I159" s="19"/>
      <c r="J159" s="19">
        <f t="shared" si="1"/>
        <v>0</v>
      </c>
      <c r="K159" s="19"/>
      <c r="L159" s="19"/>
    </row>
    <row r="160" ht="14.25" customHeight="1">
      <c r="B160" s="17"/>
      <c r="C160" s="21"/>
      <c r="D160" s="19"/>
      <c r="E160" s="19"/>
      <c r="F160" s="19"/>
      <c r="G160" s="19"/>
      <c r="H160" s="19"/>
      <c r="I160" s="19"/>
      <c r="J160" s="19">
        <f t="shared" si="1"/>
        <v>0</v>
      </c>
      <c r="K160" s="19"/>
      <c r="L160" s="19"/>
    </row>
    <row r="161" ht="14.25" customHeight="1">
      <c r="B161" s="17"/>
      <c r="C161" s="21"/>
      <c r="D161" s="19"/>
      <c r="E161" s="19"/>
      <c r="F161" s="19"/>
      <c r="G161" s="19"/>
      <c r="H161" s="19"/>
      <c r="I161" s="19"/>
      <c r="J161" s="19">
        <f t="shared" si="1"/>
        <v>0</v>
      </c>
      <c r="K161" s="19"/>
      <c r="L161" s="19"/>
    </row>
    <row r="162" ht="14.25" customHeight="1">
      <c r="B162" s="17"/>
      <c r="C162" s="21"/>
      <c r="D162" s="19"/>
      <c r="E162" s="19"/>
      <c r="F162" s="19"/>
      <c r="G162" s="19"/>
      <c r="H162" s="19"/>
      <c r="I162" s="19"/>
      <c r="J162" s="19">
        <f t="shared" si="1"/>
        <v>0</v>
      </c>
      <c r="K162" s="19"/>
      <c r="L162" s="19"/>
    </row>
    <row r="163" ht="14.25" customHeight="1">
      <c r="B163" s="17"/>
      <c r="C163" s="21"/>
      <c r="D163" s="19"/>
      <c r="E163" s="19"/>
      <c r="F163" s="19"/>
      <c r="G163" s="19"/>
      <c r="H163" s="19"/>
      <c r="I163" s="19"/>
      <c r="J163" s="19">
        <f t="shared" si="1"/>
        <v>0</v>
      </c>
      <c r="K163" s="19"/>
      <c r="L163" s="19"/>
    </row>
    <row r="164" ht="14.25" customHeight="1">
      <c r="B164" s="17"/>
      <c r="C164" s="21"/>
      <c r="D164" s="19"/>
      <c r="E164" s="19"/>
      <c r="F164" s="19"/>
      <c r="G164" s="19"/>
      <c r="H164" s="19"/>
      <c r="I164" s="19"/>
      <c r="J164" s="19">
        <f t="shared" si="1"/>
        <v>0</v>
      </c>
      <c r="K164" s="19"/>
      <c r="L164" s="19"/>
    </row>
    <row r="165" ht="14.25" customHeight="1">
      <c r="B165" s="17"/>
      <c r="C165" s="21"/>
      <c r="D165" s="19"/>
      <c r="E165" s="19"/>
      <c r="F165" s="19"/>
      <c r="G165" s="19"/>
      <c r="H165" s="19"/>
      <c r="I165" s="19"/>
      <c r="J165" s="19">
        <f t="shared" si="1"/>
        <v>0</v>
      </c>
      <c r="K165" s="19"/>
      <c r="L165" s="19"/>
    </row>
    <row r="166" ht="14.25" customHeight="1">
      <c r="B166" s="17"/>
      <c r="C166" s="21"/>
      <c r="D166" s="19"/>
      <c r="E166" s="19"/>
      <c r="F166" s="19"/>
      <c r="G166" s="19"/>
      <c r="H166" s="19"/>
      <c r="I166" s="19"/>
      <c r="J166" s="19">
        <f t="shared" si="1"/>
        <v>0</v>
      </c>
      <c r="K166" s="19"/>
      <c r="L166" s="19"/>
    </row>
    <row r="167" ht="14.25" customHeight="1">
      <c r="B167" s="17"/>
      <c r="C167" s="21"/>
      <c r="D167" s="19"/>
      <c r="E167" s="19"/>
      <c r="F167" s="19"/>
      <c r="G167" s="19"/>
      <c r="H167" s="19"/>
      <c r="I167" s="19"/>
      <c r="J167" s="19">
        <f t="shared" si="1"/>
        <v>0</v>
      </c>
      <c r="K167" s="19"/>
      <c r="L167" s="19"/>
    </row>
    <row r="168" ht="14.25" customHeight="1">
      <c r="B168" s="17"/>
      <c r="C168" s="21"/>
      <c r="D168" s="19"/>
      <c r="E168" s="19"/>
      <c r="F168" s="19"/>
      <c r="G168" s="19"/>
      <c r="H168" s="19"/>
      <c r="I168" s="19"/>
      <c r="J168" s="19">
        <f t="shared" si="1"/>
        <v>0</v>
      </c>
      <c r="K168" s="19"/>
      <c r="L168" s="19"/>
    </row>
    <row r="169" ht="14.25" customHeight="1">
      <c r="B169" s="17"/>
      <c r="C169" s="21"/>
      <c r="D169" s="19"/>
      <c r="E169" s="19"/>
      <c r="F169" s="19"/>
      <c r="G169" s="19"/>
      <c r="H169" s="19"/>
      <c r="I169" s="19"/>
      <c r="J169" s="19">
        <f t="shared" si="1"/>
        <v>0</v>
      </c>
      <c r="K169" s="19"/>
      <c r="L169" s="19"/>
    </row>
    <row r="170" ht="14.25" customHeight="1">
      <c r="B170" s="17"/>
      <c r="C170" s="21"/>
      <c r="D170" s="19"/>
      <c r="E170" s="19"/>
      <c r="F170" s="19"/>
      <c r="G170" s="19"/>
      <c r="H170" s="19"/>
      <c r="I170" s="19"/>
      <c r="J170" s="19">
        <f t="shared" si="1"/>
        <v>0</v>
      </c>
      <c r="K170" s="19"/>
      <c r="L170" s="19"/>
    </row>
    <row r="171" ht="14.25" customHeight="1">
      <c r="B171" s="17"/>
      <c r="C171" s="21"/>
      <c r="D171" s="19"/>
      <c r="E171" s="19"/>
      <c r="F171" s="19"/>
      <c r="G171" s="19"/>
      <c r="H171" s="19"/>
      <c r="I171" s="19"/>
      <c r="J171" s="19">
        <f t="shared" si="1"/>
        <v>0</v>
      </c>
      <c r="K171" s="19"/>
      <c r="L171" s="19"/>
    </row>
    <row r="172" ht="14.25" customHeight="1">
      <c r="B172" s="17"/>
      <c r="C172" s="21"/>
      <c r="D172" s="19"/>
      <c r="E172" s="19"/>
      <c r="F172" s="19"/>
      <c r="G172" s="19"/>
      <c r="H172" s="19"/>
      <c r="I172" s="19"/>
      <c r="J172" s="19">
        <f t="shared" si="1"/>
        <v>0</v>
      </c>
      <c r="K172" s="19"/>
      <c r="L172" s="19"/>
    </row>
    <row r="173" ht="14.25" customHeight="1">
      <c r="B173" s="17"/>
      <c r="C173" s="21"/>
      <c r="D173" s="19"/>
      <c r="E173" s="19"/>
      <c r="F173" s="19"/>
      <c r="G173" s="19"/>
      <c r="H173" s="19"/>
      <c r="I173" s="19"/>
      <c r="J173" s="19">
        <f t="shared" si="1"/>
        <v>0</v>
      </c>
      <c r="K173" s="19"/>
      <c r="L173" s="19"/>
    </row>
    <row r="174" ht="14.25" customHeight="1">
      <c r="B174" s="17"/>
      <c r="C174" s="21"/>
      <c r="D174" s="19"/>
      <c r="E174" s="19"/>
      <c r="F174" s="19"/>
      <c r="G174" s="19"/>
      <c r="H174" s="19"/>
      <c r="I174" s="19"/>
      <c r="J174" s="19">
        <f t="shared" si="1"/>
        <v>0</v>
      </c>
      <c r="K174" s="19"/>
      <c r="L174" s="19"/>
    </row>
    <row r="175" ht="14.25" customHeight="1">
      <c r="B175" s="17"/>
      <c r="C175" s="21"/>
      <c r="D175" s="19"/>
      <c r="E175" s="19"/>
      <c r="F175" s="19"/>
      <c r="G175" s="19"/>
      <c r="H175" s="19"/>
      <c r="I175" s="19"/>
      <c r="J175" s="19">
        <f t="shared" si="1"/>
        <v>0</v>
      </c>
      <c r="K175" s="19"/>
      <c r="L175" s="19"/>
    </row>
    <row r="176" ht="14.25" customHeight="1">
      <c r="B176" s="17"/>
      <c r="C176" s="21"/>
      <c r="D176" s="19"/>
      <c r="E176" s="19"/>
      <c r="F176" s="19"/>
      <c r="G176" s="19"/>
      <c r="H176" s="19"/>
      <c r="I176" s="19"/>
      <c r="J176" s="19">
        <f t="shared" si="1"/>
        <v>0</v>
      </c>
      <c r="K176" s="19"/>
      <c r="L176" s="19"/>
    </row>
    <row r="177" ht="14.25" customHeight="1">
      <c r="B177" s="17"/>
      <c r="C177" s="21"/>
      <c r="D177" s="19"/>
      <c r="E177" s="19"/>
      <c r="F177" s="19"/>
      <c r="G177" s="19"/>
      <c r="H177" s="19"/>
      <c r="I177" s="19"/>
      <c r="J177" s="19">
        <f t="shared" si="1"/>
        <v>0</v>
      </c>
      <c r="K177" s="19"/>
      <c r="L177" s="19"/>
    </row>
    <row r="178" ht="14.25" customHeight="1">
      <c r="B178" s="17"/>
      <c r="C178" s="21"/>
      <c r="D178" s="19"/>
      <c r="E178" s="19"/>
      <c r="F178" s="19"/>
      <c r="G178" s="19"/>
      <c r="H178" s="19"/>
      <c r="I178" s="19"/>
      <c r="J178" s="19">
        <f t="shared" si="1"/>
        <v>0</v>
      </c>
      <c r="K178" s="19"/>
      <c r="L178" s="19"/>
    </row>
    <row r="179" ht="14.25" customHeight="1">
      <c r="B179" s="17"/>
      <c r="C179" s="21"/>
      <c r="D179" s="19"/>
      <c r="E179" s="19"/>
      <c r="F179" s="19"/>
      <c r="G179" s="19"/>
      <c r="H179" s="19"/>
      <c r="I179" s="19"/>
      <c r="J179" s="19">
        <f t="shared" si="1"/>
        <v>0</v>
      </c>
      <c r="K179" s="19"/>
      <c r="L179" s="19"/>
    </row>
    <row r="180" ht="14.25" customHeight="1">
      <c r="B180" s="17"/>
      <c r="C180" s="21"/>
      <c r="D180" s="19"/>
      <c r="E180" s="19"/>
      <c r="F180" s="19"/>
      <c r="G180" s="19"/>
      <c r="H180" s="19"/>
      <c r="I180" s="19"/>
      <c r="J180" s="19">
        <f t="shared" si="1"/>
        <v>0</v>
      </c>
      <c r="K180" s="19"/>
      <c r="L180" s="19"/>
    </row>
    <row r="181" ht="14.25" customHeight="1">
      <c r="B181" s="17"/>
      <c r="C181" s="21"/>
      <c r="D181" s="19"/>
      <c r="E181" s="19"/>
      <c r="F181" s="19"/>
      <c r="G181" s="19"/>
      <c r="H181" s="19"/>
      <c r="I181" s="19"/>
      <c r="J181" s="19">
        <f t="shared" si="1"/>
        <v>0</v>
      </c>
      <c r="K181" s="19"/>
      <c r="L181" s="19"/>
    </row>
    <row r="182" ht="14.25" customHeight="1">
      <c r="B182" s="17"/>
      <c r="C182" s="21"/>
      <c r="D182" s="19"/>
      <c r="E182" s="19"/>
      <c r="F182" s="19"/>
      <c r="G182" s="19"/>
      <c r="H182" s="19"/>
      <c r="I182" s="19"/>
      <c r="J182" s="19">
        <f t="shared" si="1"/>
        <v>0</v>
      </c>
      <c r="K182" s="19"/>
      <c r="L182" s="19"/>
    </row>
    <row r="183" ht="14.25" customHeight="1">
      <c r="B183" s="17"/>
      <c r="C183" s="21"/>
      <c r="D183" s="19"/>
      <c r="E183" s="19"/>
      <c r="F183" s="19"/>
      <c r="G183" s="19"/>
      <c r="H183" s="19"/>
      <c r="I183" s="19"/>
      <c r="J183" s="19">
        <f t="shared" si="1"/>
        <v>0</v>
      </c>
      <c r="K183" s="19"/>
      <c r="L183" s="19"/>
    </row>
    <row r="184" ht="14.25" customHeight="1">
      <c r="B184" s="17"/>
      <c r="C184" s="21"/>
      <c r="D184" s="19"/>
      <c r="E184" s="19"/>
      <c r="F184" s="19"/>
      <c r="G184" s="19"/>
      <c r="H184" s="19"/>
      <c r="I184" s="19"/>
      <c r="J184" s="19">
        <f t="shared" si="1"/>
        <v>0</v>
      </c>
      <c r="K184" s="19"/>
      <c r="L184" s="19"/>
    </row>
    <row r="185" ht="14.25" customHeight="1">
      <c r="B185" s="17"/>
      <c r="C185" s="21"/>
      <c r="D185" s="19"/>
      <c r="E185" s="19"/>
      <c r="F185" s="19"/>
      <c r="G185" s="19"/>
      <c r="H185" s="19"/>
      <c r="I185" s="19"/>
      <c r="J185" s="19">
        <f t="shared" si="1"/>
        <v>0</v>
      </c>
      <c r="K185" s="19"/>
      <c r="L185" s="19"/>
    </row>
    <row r="186" ht="14.25" customHeight="1">
      <c r="B186" s="17"/>
      <c r="C186" s="21"/>
      <c r="D186" s="19"/>
      <c r="E186" s="19"/>
      <c r="F186" s="19"/>
      <c r="G186" s="19"/>
      <c r="H186" s="19"/>
      <c r="I186" s="19"/>
      <c r="J186" s="19">
        <f t="shared" si="1"/>
        <v>0</v>
      </c>
      <c r="K186" s="19"/>
      <c r="L186" s="19"/>
    </row>
    <row r="187" ht="14.25" customHeight="1">
      <c r="B187" s="17"/>
      <c r="C187" s="21"/>
      <c r="D187" s="19"/>
      <c r="E187" s="19"/>
      <c r="F187" s="19"/>
      <c r="G187" s="19"/>
      <c r="H187" s="19"/>
      <c r="I187" s="19"/>
      <c r="J187" s="19">
        <f t="shared" si="1"/>
        <v>0</v>
      </c>
      <c r="K187" s="19"/>
      <c r="L187" s="19"/>
    </row>
    <row r="188" ht="14.25" customHeight="1">
      <c r="B188" s="17"/>
      <c r="C188" s="21"/>
      <c r="D188" s="19"/>
      <c r="E188" s="19"/>
      <c r="F188" s="19"/>
      <c r="G188" s="19"/>
      <c r="H188" s="19"/>
      <c r="I188" s="19"/>
      <c r="J188" s="19">
        <f t="shared" si="1"/>
        <v>0</v>
      </c>
      <c r="K188" s="19"/>
      <c r="L188" s="19"/>
    </row>
    <row r="189" ht="14.25" customHeight="1">
      <c r="B189" s="17"/>
      <c r="C189" s="21"/>
      <c r="D189" s="19"/>
      <c r="E189" s="19"/>
      <c r="F189" s="19"/>
      <c r="G189" s="19"/>
      <c r="H189" s="19"/>
      <c r="I189" s="19"/>
      <c r="J189" s="19">
        <f t="shared" si="1"/>
        <v>0</v>
      </c>
      <c r="K189" s="19"/>
      <c r="L189" s="19"/>
    </row>
    <row r="190" ht="14.25" customHeight="1">
      <c r="B190" s="17"/>
      <c r="C190" s="21"/>
      <c r="D190" s="19"/>
      <c r="E190" s="19"/>
      <c r="F190" s="19"/>
      <c r="G190" s="19"/>
      <c r="H190" s="19"/>
      <c r="I190" s="19"/>
      <c r="J190" s="19">
        <f t="shared" si="1"/>
        <v>0</v>
      </c>
      <c r="K190" s="19"/>
      <c r="L190" s="19"/>
    </row>
    <row r="191" ht="14.25" customHeight="1">
      <c r="B191" s="17"/>
      <c r="C191" s="21"/>
      <c r="D191" s="19"/>
      <c r="E191" s="19"/>
      <c r="F191" s="19"/>
      <c r="G191" s="19"/>
      <c r="H191" s="19"/>
      <c r="I191" s="19"/>
      <c r="J191" s="19">
        <f t="shared" si="1"/>
        <v>0</v>
      </c>
      <c r="K191" s="19"/>
      <c r="L191" s="19"/>
    </row>
    <row r="192" ht="14.25" customHeight="1">
      <c r="B192" s="17"/>
      <c r="C192" s="21"/>
      <c r="D192" s="19"/>
      <c r="E192" s="19"/>
      <c r="F192" s="19"/>
      <c r="G192" s="19"/>
      <c r="H192" s="19"/>
      <c r="I192" s="19"/>
      <c r="J192" s="19">
        <f t="shared" si="1"/>
        <v>0</v>
      </c>
      <c r="K192" s="19"/>
      <c r="L192" s="19"/>
    </row>
    <row r="193" ht="14.25" customHeight="1">
      <c r="B193" s="17"/>
      <c r="C193" s="21"/>
      <c r="D193" s="19"/>
      <c r="E193" s="19"/>
      <c r="F193" s="19"/>
      <c r="G193" s="19"/>
      <c r="H193" s="19"/>
      <c r="I193" s="19"/>
      <c r="J193" s="19">
        <f t="shared" si="1"/>
        <v>0</v>
      </c>
      <c r="K193" s="19"/>
      <c r="L193" s="19"/>
    </row>
    <row r="194" ht="14.25" customHeight="1">
      <c r="B194" s="17"/>
      <c r="C194" s="21"/>
      <c r="D194" s="19"/>
      <c r="E194" s="19"/>
      <c r="F194" s="19"/>
      <c r="G194" s="19"/>
      <c r="H194" s="19"/>
      <c r="I194" s="19"/>
      <c r="J194" s="19">
        <f t="shared" si="1"/>
        <v>0</v>
      </c>
      <c r="K194" s="19"/>
      <c r="L194" s="19"/>
    </row>
    <row r="195" ht="14.25" customHeight="1">
      <c r="B195" s="17"/>
      <c r="C195" s="21"/>
      <c r="D195" s="19"/>
      <c r="E195" s="19"/>
      <c r="F195" s="19"/>
      <c r="G195" s="19"/>
      <c r="H195" s="19"/>
      <c r="I195" s="19"/>
      <c r="J195" s="19">
        <f t="shared" si="1"/>
        <v>0</v>
      </c>
      <c r="K195" s="19"/>
      <c r="L195" s="19"/>
    </row>
    <row r="196" ht="14.25" customHeight="1">
      <c r="B196" s="17"/>
      <c r="C196" s="21"/>
      <c r="D196" s="19"/>
      <c r="E196" s="19"/>
      <c r="F196" s="19"/>
      <c r="G196" s="19"/>
      <c r="H196" s="19"/>
      <c r="I196" s="19"/>
      <c r="J196" s="19">
        <f t="shared" si="1"/>
        <v>0</v>
      </c>
      <c r="K196" s="19"/>
      <c r="L196" s="19"/>
    </row>
    <row r="197" ht="14.25" customHeight="1">
      <c r="B197" s="17"/>
      <c r="C197" s="21"/>
      <c r="D197" s="19"/>
      <c r="E197" s="19"/>
      <c r="F197" s="19"/>
      <c r="G197" s="19"/>
      <c r="H197" s="19"/>
      <c r="I197" s="19"/>
      <c r="J197" s="19">
        <f t="shared" si="1"/>
        <v>0</v>
      </c>
      <c r="K197" s="19"/>
      <c r="L197" s="19"/>
    </row>
    <row r="198" ht="14.25" customHeight="1">
      <c r="B198" s="17"/>
      <c r="C198" s="21"/>
      <c r="D198" s="19"/>
      <c r="E198" s="19"/>
      <c r="F198" s="19"/>
      <c r="G198" s="19"/>
      <c r="H198" s="19"/>
      <c r="I198" s="19"/>
      <c r="J198" s="19">
        <f t="shared" si="1"/>
        <v>0</v>
      </c>
      <c r="K198" s="19"/>
      <c r="L198" s="19"/>
    </row>
    <row r="199" ht="14.25" customHeight="1">
      <c r="B199" s="17"/>
      <c r="C199" s="21"/>
      <c r="D199" s="19"/>
      <c r="E199" s="19"/>
      <c r="F199" s="19"/>
      <c r="G199" s="19"/>
      <c r="H199" s="19"/>
      <c r="I199" s="19"/>
      <c r="J199" s="19">
        <f t="shared" si="1"/>
        <v>0</v>
      </c>
      <c r="K199" s="19"/>
      <c r="L199" s="19"/>
    </row>
    <row r="200" ht="14.25" customHeight="1">
      <c r="B200" s="17"/>
      <c r="C200" s="21"/>
      <c r="D200" s="19"/>
      <c r="E200" s="19"/>
      <c r="F200" s="19"/>
      <c r="G200" s="19"/>
      <c r="H200" s="19"/>
      <c r="I200" s="19"/>
      <c r="J200" s="19">
        <f t="shared" si="1"/>
        <v>0</v>
      </c>
      <c r="K200" s="19"/>
      <c r="L200" s="19"/>
    </row>
    <row r="201" ht="14.25" customHeight="1">
      <c r="B201" s="17"/>
      <c r="C201" s="21"/>
      <c r="D201" s="19"/>
      <c r="E201" s="19"/>
      <c r="F201" s="19"/>
      <c r="G201" s="19"/>
      <c r="H201" s="19"/>
      <c r="I201" s="19"/>
      <c r="J201" s="19">
        <f t="shared" si="1"/>
        <v>0</v>
      </c>
      <c r="K201" s="19"/>
      <c r="L201" s="19"/>
    </row>
    <row r="202" ht="14.25" customHeight="1">
      <c r="B202" s="2"/>
      <c r="C202" s="2"/>
    </row>
    <row r="203" ht="14.25" customHeight="1">
      <c r="B203" s="2"/>
      <c r="C203" s="2"/>
    </row>
    <row r="204" ht="14.25" customHeight="1">
      <c r="B204" s="2"/>
      <c r="C204" s="2"/>
    </row>
    <row r="205" ht="14.25" customHeight="1">
      <c r="B205" s="2"/>
      <c r="C205" s="2"/>
    </row>
    <row r="206" ht="14.25" customHeight="1">
      <c r="B206" s="2"/>
      <c r="C206" s="2"/>
    </row>
    <row r="207" ht="14.25" customHeight="1">
      <c r="B207" s="2"/>
      <c r="C207" s="2"/>
    </row>
    <row r="208" ht="14.25" customHeight="1">
      <c r="B208" s="2"/>
      <c r="C208" s="2"/>
    </row>
    <row r="209" ht="14.25" customHeight="1">
      <c r="B209" s="2"/>
      <c r="C209" s="2"/>
    </row>
    <row r="210" ht="14.25" customHeight="1">
      <c r="B210" s="2"/>
      <c r="C210" s="2"/>
    </row>
    <row r="211" ht="14.25" customHeight="1">
      <c r="B211" s="2"/>
      <c r="C211" s="2"/>
    </row>
    <row r="212" ht="14.25" customHeight="1">
      <c r="B212" s="2"/>
      <c r="C212" s="2"/>
    </row>
    <row r="213" ht="14.25" customHeight="1">
      <c r="B213" s="2"/>
      <c r="C213" s="2"/>
    </row>
    <row r="214" ht="14.25" customHeight="1">
      <c r="B214" s="2"/>
      <c r="C214" s="2"/>
    </row>
    <row r="215" ht="14.25" customHeight="1">
      <c r="B215" s="2"/>
      <c r="C215" s="2"/>
    </row>
    <row r="216" ht="14.25" customHeight="1">
      <c r="B216" s="2"/>
      <c r="C216" s="2"/>
    </row>
    <row r="217" ht="14.25" customHeight="1">
      <c r="B217" s="2"/>
      <c r="C217" s="2"/>
    </row>
    <row r="218" ht="14.25" customHeight="1">
      <c r="B218" s="2"/>
      <c r="C218" s="2"/>
    </row>
    <row r="219" ht="14.25" customHeight="1">
      <c r="B219" s="2"/>
      <c r="C219" s="2"/>
    </row>
    <row r="220" ht="14.25" customHeight="1">
      <c r="B220" s="2"/>
      <c r="C220" s="2"/>
    </row>
    <row r="221" ht="14.25" customHeight="1">
      <c r="B221" s="2"/>
      <c r="C221" s="2"/>
    </row>
    <row r="222" ht="14.25" customHeight="1">
      <c r="B222" s="2"/>
      <c r="C222" s="2"/>
    </row>
    <row r="223" ht="14.25" customHeight="1">
      <c r="B223" s="2"/>
      <c r="C223" s="2"/>
    </row>
    <row r="224" ht="14.25" customHeight="1">
      <c r="B224" s="2"/>
      <c r="C224" s="2"/>
    </row>
    <row r="225" ht="14.25" customHeight="1">
      <c r="B225" s="2"/>
      <c r="C225" s="2"/>
    </row>
    <row r="226" ht="14.25" customHeight="1">
      <c r="B226" s="2"/>
      <c r="C226" s="2"/>
    </row>
    <row r="227" ht="14.25" customHeight="1">
      <c r="B227" s="2"/>
      <c r="C227" s="2"/>
    </row>
    <row r="228" ht="14.25" customHeight="1">
      <c r="B228" s="2"/>
      <c r="C228" s="2"/>
    </row>
    <row r="229" ht="14.25" customHeight="1">
      <c r="B229" s="2"/>
      <c r="C229" s="2"/>
    </row>
    <row r="230" ht="14.25" customHeight="1">
      <c r="B230" s="2"/>
      <c r="C230" s="2"/>
    </row>
    <row r="231" ht="14.25" customHeight="1">
      <c r="B231" s="2"/>
      <c r="C231" s="2"/>
    </row>
    <row r="232" ht="14.25" customHeight="1">
      <c r="B232" s="2"/>
      <c r="C232" s="2"/>
    </row>
    <row r="233" ht="14.25" customHeight="1">
      <c r="B233" s="2"/>
      <c r="C233" s="2"/>
    </row>
    <row r="234" ht="14.25" customHeight="1">
      <c r="B234" s="2"/>
      <c r="C234" s="2"/>
    </row>
    <row r="235" ht="14.25" customHeight="1">
      <c r="B235" s="2"/>
      <c r="C235" s="2"/>
    </row>
    <row r="236" ht="14.25" customHeight="1">
      <c r="B236" s="2"/>
      <c r="C236" s="2"/>
    </row>
    <row r="237" ht="14.25" customHeight="1">
      <c r="B237" s="2"/>
      <c r="C237" s="2"/>
    </row>
    <row r="238" ht="14.25" customHeight="1">
      <c r="B238" s="2"/>
      <c r="C238" s="2"/>
    </row>
    <row r="239" ht="14.25" customHeight="1">
      <c r="B239" s="2"/>
      <c r="C239" s="2"/>
    </row>
    <row r="240" ht="14.25" customHeight="1">
      <c r="B240" s="2"/>
      <c r="C240" s="2"/>
    </row>
    <row r="241" ht="14.25" customHeight="1">
      <c r="B241" s="2"/>
      <c r="C241" s="2"/>
    </row>
    <row r="242" ht="14.25" customHeight="1">
      <c r="B242" s="2"/>
      <c r="C242" s="2"/>
    </row>
    <row r="243" ht="14.25" customHeight="1">
      <c r="B243" s="2"/>
      <c r="C243" s="2"/>
    </row>
    <row r="244" ht="14.25" customHeight="1">
      <c r="B244" s="2"/>
      <c r="C244" s="2"/>
    </row>
    <row r="245" ht="14.25" customHeight="1">
      <c r="B245" s="2"/>
      <c r="C245" s="2"/>
    </row>
    <row r="246" ht="14.25" customHeight="1">
      <c r="B246" s="2"/>
      <c r="C246" s="2"/>
    </row>
    <row r="247" ht="14.25" customHeight="1">
      <c r="B247" s="2"/>
      <c r="C247" s="2"/>
    </row>
    <row r="248" ht="14.25" customHeight="1">
      <c r="B248" s="2"/>
      <c r="C248" s="2"/>
    </row>
    <row r="249" ht="14.25" customHeight="1">
      <c r="B249" s="2"/>
      <c r="C249" s="2"/>
    </row>
    <row r="250" ht="14.25" customHeight="1">
      <c r="B250" s="2"/>
      <c r="C250" s="2"/>
    </row>
    <row r="251" ht="14.25" customHeight="1">
      <c r="B251" s="2"/>
      <c r="C251" s="2"/>
    </row>
    <row r="252" ht="14.25" customHeight="1">
      <c r="B252" s="2"/>
      <c r="C252" s="2"/>
    </row>
    <row r="253" ht="14.25" customHeight="1">
      <c r="B253" s="2"/>
      <c r="C253" s="2"/>
    </row>
    <row r="254" ht="14.25" customHeight="1">
      <c r="B254" s="2"/>
      <c r="C254" s="2"/>
    </row>
    <row r="255" ht="14.25" customHeight="1">
      <c r="B255" s="2"/>
      <c r="C255" s="2"/>
    </row>
    <row r="256" ht="14.25" customHeight="1">
      <c r="B256" s="2"/>
      <c r="C256" s="2"/>
    </row>
    <row r="257" ht="14.25" customHeight="1">
      <c r="B257" s="2"/>
      <c r="C257" s="2"/>
    </row>
    <row r="258" ht="14.25" customHeight="1">
      <c r="B258" s="2"/>
      <c r="C258" s="2"/>
    </row>
    <row r="259" ht="14.25" customHeight="1">
      <c r="B259" s="2"/>
      <c r="C259" s="2"/>
    </row>
    <row r="260" ht="14.25" customHeight="1">
      <c r="B260" s="2"/>
      <c r="C260" s="2"/>
    </row>
    <row r="261" ht="14.25" customHeight="1">
      <c r="B261" s="2"/>
      <c r="C261" s="2"/>
    </row>
    <row r="262" ht="14.25" customHeight="1">
      <c r="B262" s="2"/>
      <c r="C262" s="2"/>
    </row>
    <row r="263" ht="14.25" customHeight="1">
      <c r="B263" s="2"/>
      <c r="C263" s="2"/>
    </row>
    <row r="264" ht="14.25" customHeight="1">
      <c r="B264" s="2"/>
      <c r="C264" s="2"/>
    </row>
    <row r="265" ht="14.25" customHeight="1">
      <c r="B265" s="2"/>
      <c r="C265" s="2"/>
    </row>
    <row r="266" ht="14.25" customHeight="1">
      <c r="B266" s="2"/>
      <c r="C266" s="2"/>
    </row>
    <row r="267" ht="14.25" customHeight="1">
      <c r="B267" s="2"/>
      <c r="C267" s="2"/>
    </row>
    <row r="268" ht="14.25" customHeight="1">
      <c r="B268" s="2"/>
      <c r="C268" s="2"/>
    </row>
    <row r="269" ht="14.25" customHeight="1">
      <c r="B269" s="2"/>
      <c r="C269" s="2"/>
    </row>
    <row r="270" ht="14.25" customHeight="1">
      <c r="B270" s="2"/>
      <c r="C270" s="2"/>
    </row>
    <row r="271" ht="14.25" customHeight="1">
      <c r="B271" s="2"/>
      <c r="C271" s="2"/>
    </row>
    <row r="272" ht="14.25" customHeight="1">
      <c r="B272" s="2"/>
      <c r="C272" s="2"/>
    </row>
    <row r="273" ht="14.25" customHeight="1">
      <c r="B273" s="2"/>
      <c r="C273" s="2"/>
    </row>
    <row r="274" ht="14.25" customHeight="1">
      <c r="B274" s="2"/>
      <c r="C274" s="2"/>
    </row>
    <row r="275" ht="14.25" customHeight="1">
      <c r="B275" s="2"/>
      <c r="C275" s="2"/>
    </row>
    <row r="276" ht="14.25" customHeight="1">
      <c r="B276" s="2"/>
      <c r="C276" s="2"/>
    </row>
    <row r="277" ht="14.25" customHeight="1">
      <c r="B277" s="2"/>
      <c r="C277" s="2"/>
    </row>
    <row r="278" ht="14.25" customHeight="1">
      <c r="B278" s="2"/>
      <c r="C278" s="2"/>
    </row>
    <row r="279" ht="14.25" customHeight="1">
      <c r="B279" s="2"/>
      <c r="C279" s="2"/>
    </row>
    <row r="280" ht="14.25" customHeight="1">
      <c r="B280" s="2"/>
      <c r="C280" s="2"/>
    </row>
    <row r="281" ht="14.25" customHeight="1">
      <c r="B281" s="2"/>
      <c r="C281" s="2"/>
    </row>
    <row r="282" ht="14.25" customHeight="1">
      <c r="B282" s="2"/>
      <c r="C282" s="2"/>
    </row>
    <row r="283" ht="14.25" customHeight="1">
      <c r="B283" s="2"/>
      <c r="C283" s="2"/>
    </row>
    <row r="284" ht="14.25" customHeight="1">
      <c r="B284" s="2"/>
      <c r="C284" s="2"/>
    </row>
    <row r="285" ht="14.25" customHeight="1">
      <c r="B285" s="2"/>
      <c r="C285" s="2"/>
    </row>
    <row r="286" ht="14.25" customHeight="1">
      <c r="B286" s="2"/>
      <c r="C286" s="2"/>
    </row>
    <row r="287" ht="14.25" customHeight="1">
      <c r="B287" s="2"/>
      <c r="C287" s="2"/>
    </row>
    <row r="288" ht="14.25" customHeight="1">
      <c r="B288" s="2"/>
      <c r="C288" s="2"/>
    </row>
    <row r="289" ht="14.25" customHeight="1">
      <c r="B289" s="2"/>
      <c r="C289" s="2"/>
    </row>
    <row r="290" ht="14.25" customHeight="1">
      <c r="B290" s="2"/>
      <c r="C290" s="2"/>
    </row>
    <row r="291" ht="14.25" customHeight="1">
      <c r="B291" s="2"/>
      <c r="C291" s="2"/>
    </row>
    <row r="292" ht="14.25" customHeight="1">
      <c r="B292" s="2"/>
      <c r="C292" s="2"/>
    </row>
    <row r="293" ht="14.25" customHeight="1">
      <c r="B293" s="2"/>
      <c r="C293" s="2"/>
    </row>
    <row r="294" ht="14.25" customHeight="1">
      <c r="B294" s="2"/>
      <c r="C294" s="2"/>
    </row>
    <row r="295" ht="14.25" customHeight="1">
      <c r="B295" s="2"/>
      <c r="C295" s="2"/>
    </row>
    <row r="296" ht="14.25" customHeight="1">
      <c r="B296" s="2"/>
      <c r="C296" s="2"/>
    </row>
    <row r="297" ht="14.25" customHeight="1">
      <c r="B297" s="2"/>
      <c r="C297" s="2"/>
    </row>
    <row r="298" ht="14.25" customHeight="1">
      <c r="B298" s="2"/>
      <c r="C298" s="2"/>
    </row>
    <row r="299" ht="14.25" customHeight="1">
      <c r="B299" s="2"/>
      <c r="C299" s="2"/>
    </row>
    <row r="300" ht="14.25" customHeight="1">
      <c r="B300" s="2"/>
      <c r="C300" s="2"/>
    </row>
    <row r="301" ht="14.25" customHeight="1">
      <c r="B301" s="2"/>
      <c r="C301" s="2"/>
    </row>
    <row r="302" ht="14.25" customHeight="1">
      <c r="B302" s="2"/>
      <c r="C302" s="2"/>
    </row>
    <row r="303" ht="14.25" customHeight="1">
      <c r="B303" s="2"/>
      <c r="C303" s="2"/>
    </row>
    <row r="304" ht="14.25" customHeight="1">
      <c r="B304" s="2"/>
      <c r="C304" s="2"/>
    </row>
    <row r="305" ht="14.25" customHeight="1">
      <c r="B305" s="2"/>
      <c r="C305" s="2"/>
    </row>
    <row r="306" ht="14.25" customHeight="1">
      <c r="B306" s="2"/>
      <c r="C306" s="2"/>
    </row>
    <row r="307" ht="14.25" customHeight="1">
      <c r="B307" s="2"/>
      <c r="C307" s="2"/>
    </row>
    <row r="308" ht="14.25" customHeight="1">
      <c r="B308" s="2"/>
      <c r="C308" s="2"/>
    </row>
    <row r="309" ht="14.25" customHeight="1">
      <c r="B309" s="2"/>
      <c r="C309" s="2"/>
    </row>
    <row r="310" ht="14.25" customHeight="1">
      <c r="B310" s="2"/>
      <c r="C310" s="2"/>
    </row>
    <row r="311" ht="14.25" customHeight="1">
      <c r="B311" s="2"/>
      <c r="C311" s="2"/>
    </row>
    <row r="312" ht="14.25" customHeight="1">
      <c r="B312" s="2"/>
      <c r="C312" s="2"/>
    </row>
    <row r="313" ht="14.25" customHeight="1">
      <c r="B313" s="2"/>
      <c r="C313" s="2"/>
    </row>
    <row r="314" ht="14.25" customHeight="1">
      <c r="B314" s="2"/>
      <c r="C314" s="2"/>
    </row>
    <row r="315" ht="14.25" customHeight="1">
      <c r="B315" s="2"/>
      <c r="C315" s="2"/>
    </row>
    <row r="316" ht="14.25" customHeight="1">
      <c r="B316" s="2"/>
      <c r="C316" s="2"/>
    </row>
    <row r="317" ht="14.25" customHeight="1">
      <c r="B317" s="2"/>
      <c r="C317" s="2"/>
    </row>
    <row r="318" ht="14.25" customHeight="1">
      <c r="B318" s="2"/>
      <c r="C318" s="2"/>
    </row>
    <row r="319" ht="14.25" customHeight="1">
      <c r="B319" s="2"/>
      <c r="C319" s="2"/>
    </row>
    <row r="320" ht="14.25" customHeight="1">
      <c r="B320" s="2"/>
      <c r="C320" s="2"/>
    </row>
    <row r="321" ht="14.25" customHeight="1">
      <c r="B321" s="2"/>
      <c r="C321" s="2"/>
    </row>
    <row r="322" ht="14.25" customHeight="1">
      <c r="B322" s="2"/>
      <c r="C322" s="2"/>
    </row>
    <row r="323" ht="14.25" customHeight="1">
      <c r="B323" s="2"/>
      <c r="C323" s="2"/>
    </row>
    <row r="324" ht="14.25" customHeight="1">
      <c r="B324" s="2"/>
      <c r="C324" s="2"/>
    </row>
    <row r="325" ht="14.25" customHeight="1">
      <c r="B325" s="2"/>
      <c r="C325" s="2"/>
    </row>
    <row r="326" ht="14.25" customHeight="1">
      <c r="B326" s="2"/>
      <c r="C326" s="2"/>
    </row>
    <row r="327" ht="14.25" customHeight="1">
      <c r="B327" s="2"/>
      <c r="C327" s="2"/>
    </row>
    <row r="328" ht="14.25" customHeight="1">
      <c r="B328" s="2"/>
      <c r="C328" s="2"/>
    </row>
    <row r="329" ht="14.25" customHeight="1">
      <c r="B329" s="2"/>
      <c r="C329" s="2"/>
    </row>
    <row r="330" ht="14.25" customHeight="1">
      <c r="B330" s="2"/>
      <c r="C330" s="2"/>
    </row>
    <row r="331" ht="14.25" customHeight="1">
      <c r="B331" s="2"/>
      <c r="C331" s="2"/>
    </row>
    <row r="332" ht="14.25" customHeight="1">
      <c r="B332" s="2"/>
      <c r="C332" s="2"/>
    </row>
    <row r="333" ht="14.25" customHeight="1">
      <c r="B333" s="2"/>
      <c r="C333" s="2"/>
    </row>
    <row r="334" ht="14.25" customHeight="1">
      <c r="B334" s="2"/>
      <c r="C334" s="2"/>
    </row>
    <row r="335" ht="14.25" customHeight="1">
      <c r="B335" s="2"/>
      <c r="C335" s="2"/>
    </row>
    <row r="336" ht="14.25" customHeight="1">
      <c r="B336" s="2"/>
      <c r="C336" s="2"/>
    </row>
    <row r="337" ht="14.25" customHeight="1">
      <c r="B337" s="2"/>
      <c r="C337" s="2"/>
    </row>
    <row r="338" ht="14.25" customHeight="1">
      <c r="B338" s="2"/>
      <c r="C338" s="2"/>
    </row>
    <row r="339" ht="14.25" customHeight="1">
      <c r="B339" s="2"/>
      <c r="C339" s="2"/>
    </row>
    <row r="340" ht="14.25" customHeight="1">
      <c r="B340" s="2"/>
      <c r="C340" s="2"/>
    </row>
    <row r="341" ht="14.25" customHeight="1">
      <c r="B341" s="2"/>
      <c r="C341" s="2"/>
    </row>
    <row r="342" ht="14.25" customHeight="1">
      <c r="B342" s="2"/>
      <c r="C342" s="2"/>
    </row>
    <row r="343" ht="14.25" customHeight="1">
      <c r="B343" s="2"/>
      <c r="C343" s="2"/>
    </row>
    <row r="344" ht="14.25" customHeight="1">
      <c r="B344" s="2"/>
      <c r="C344" s="2"/>
    </row>
    <row r="345" ht="14.25" customHeight="1">
      <c r="B345" s="2"/>
      <c r="C345" s="2"/>
    </row>
    <row r="346" ht="14.25" customHeight="1">
      <c r="B346" s="2"/>
      <c r="C346" s="2"/>
    </row>
    <row r="347" ht="14.25" customHeight="1">
      <c r="B347" s="2"/>
      <c r="C347" s="2"/>
    </row>
    <row r="348" ht="14.25" customHeight="1">
      <c r="B348" s="2"/>
      <c r="C348" s="2"/>
    </row>
    <row r="349" ht="14.25" customHeight="1">
      <c r="B349" s="2"/>
      <c r="C349" s="2"/>
    </row>
    <row r="350" ht="14.25" customHeight="1">
      <c r="B350" s="2"/>
      <c r="C350" s="2"/>
    </row>
    <row r="351" ht="14.25" customHeight="1">
      <c r="B351" s="2"/>
      <c r="C351" s="2"/>
    </row>
    <row r="352" ht="14.25" customHeight="1">
      <c r="B352" s="2"/>
      <c r="C352" s="2"/>
    </row>
    <row r="353" ht="14.25" customHeight="1">
      <c r="B353" s="2"/>
      <c r="C353" s="2"/>
    </row>
    <row r="354" ht="14.25" customHeight="1">
      <c r="B354" s="2"/>
      <c r="C354" s="2"/>
    </row>
    <row r="355" ht="14.25" customHeight="1">
      <c r="B355" s="2"/>
      <c r="C355" s="2"/>
    </row>
    <row r="356" ht="14.25" customHeight="1">
      <c r="B356" s="2"/>
      <c r="C356" s="2"/>
    </row>
    <row r="357" ht="14.25" customHeight="1">
      <c r="B357" s="2"/>
      <c r="C357" s="2"/>
    </row>
    <row r="358" ht="14.25" customHeight="1">
      <c r="B358" s="2"/>
      <c r="C358" s="2"/>
    </row>
    <row r="359" ht="14.25" customHeight="1">
      <c r="B359" s="2"/>
      <c r="C359" s="2"/>
    </row>
    <row r="360" ht="14.25" customHeight="1">
      <c r="B360" s="2"/>
      <c r="C360" s="2"/>
    </row>
    <row r="361" ht="14.25" customHeight="1">
      <c r="B361" s="2"/>
      <c r="C361" s="2"/>
    </row>
    <row r="362" ht="14.25" customHeight="1">
      <c r="B362" s="2"/>
      <c r="C362" s="2"/>
    </row>
    <row r="363" ht="14.25" customHeight="1">
      <c r="B363" s="2"/>
      <c r="C363" s="2"/>
    </row>
    <row r="364" ht="14.25" customHeight="1">
      <c r="B364" s="2"/>
      <c r="C364" s="2"/>
    </row>
    <row r="365" ht="14.25" customHeight="1">
      <c r="B365" s="2"/>
      <c r="C365" s="2"/>
    </row>
    <row r="366" ht="14.25" customHeight="1">
      <c r="B366" s="2"/>
      <c r="C366" s="2"/>
    </row>
    <row r="367" ht="14.25" customHeight="1">
      <c r="B367" s="2"/>
      <c r="C367" s="2"/>
    </row>
    <row r="368" ht="14.25" customHeight="1">
      <c r="B368" s="2"/>
      <c r="C368" s="2"/>
    </row>
    <row r="369" ht="14.25" customHeight="1">
      <c r="B369" s="2"/>
      <c r="C369" s="2"/>
    </row>
    <row r="370" ht="14.25" customHeight="1">
      <c r="B370" s="2"/>
      <c r="C370" s="2"/>
    </row>
    <row r="371" ht="14.25" customHeight="1">
      <c r="B371" s="2"/>
      <c r="C371" s="2"/>
    </row>
    <row r="372" ht="14.25" customHeight="1">
      <c r="B372" s="2"/>
      <c r="C372" s="2"/>
    </row>
    <row r="373" ht="14.25" customHeight="1">
      <c r="B373" s="2"/>
      <c r="C373" s="2"/>
    </row>
    <row r="374" ht="14.25" customHeight="1">
      <c r="B374" s="2"/>
      <c r="C374" s="2"/>
    </row>
    <row r="375" ht="14.25" customHeight="1">
      <c r="B375" s="2"/>
      <c r="C375" s="2"/>
    </row>
    <row r="376" ht="14.25" customHeight="1">
      <c r="B376" s="2"/>
      <c r="C376" s="2"/>
    </row>
    <row r="377" ht="14.25" customHeight="1">
      <c r="B377" s="2"/>
      <c r="C377" s="2"/>
    </row>
    <row r="378" ht="14.25" customHeight="1">
      <c r="B378" s="2"/>
      <c r="C378" s="2"/>
    </row>
    <row r="379" ht="14.25" customHeight="1">
      <c r="B379" s="2"/>
      <c r="C379" s="2"/>
    </row>
    <row r="380" ht="14.25" customHeight="1">
      <c r="B380" s="2"/>
      <c r="C380" s="2"/>
    </row>
    <row r="381" ht="14.25" customHeight="1">
      <c r="B381" s="2"/>
      <c r="C381" s="2"/>
    </row>
    <row r="382" ht="14.25" customHeight="1">
      <c r="B382" s="2"/>
      <c r="C382" s="2"/>
    </row>
    <row r="383" ht="14.25" customHeight="1">
      <c r="B383" s="2"/>
      <c r="C383" s="2"/>
    </row>
    <row r="384" ht="14.25" customHeight="1">
      <c r="B384" s="2"/>
      <c r="C384" s="2"/>
    </row>
    <row r="385" ht="14.25" customHeight="1">
      <c r="B385" s="2"/>
      <c r="C385" s="2"/>
    </row>
    <row r="386" ht="14.25" customHeight="1">
      <c r="B386" s="2"/>
      <c r="C386" s="2"/>
    </row>
    <row r="387" ht="14.25" customHeight="1">
      <c r="B387" s="2"/>
      <c r="C387" s="2"/>
    </row>
    <row r="388" ht="14.25" customHeight="1">
      <c r="B388" s="2"/>
      <c r="C388" s="2"/>
    </row>
    <row r="389" ht="14.25" customHeight="1">
      <c r="B389" s="2"/>
      <c r="C389" s="2"/>
    </row>
    <row r="390" ht="14.25" customHeight="1">
      <c r="B390" s="2"/>
      <c r="C390" s="2"/>
    </row>
    <row r="391" ht="14.25" customHeight="1">
      <c r="B391" s="2"/>
      <c r="C391" s="2"/>
    </row>
    <row r="392" ht="14.25" customHeight="1">
      <c r="B392" s="2"/>
      <c r="C392" s="2"/>
    </row>
    <row r="393" ht="14.25" customHeight="1">
      <c r="B393" s="2"/>
      <c r="C393" s="2"/>
    </row>
    <row r="394" ht="14.25" customHeight="1">
      <c r="B394" s="2"/>
      <c r="C394" s="2"/>
    </row>
    <row r="395" ht="14.25" customHeight="1">
      <c r="B395" s="2"/>
      <c r="C395" s="2"/>
    </row>
    <row r="396" ht="14.25" customHeight="1">
      <c r="B396" s="2"/>
      <c r="C396" s="2"/>
    </row>
    <row r="397" ht="14.25" customHeight="1">
      <c r="B397" s="2"/>
      <c r="C397" s="2"/>
    </row>
    <row r="398" ht="14.25" customHeight="1">
      <c r="B398" s="2"/>
      <c r="C398" s="2"/>
    </row>
    <row r="399" ht="14.25" customHeight="1">
      <c r="B399" s="2"/>
      <c r="C399" s="2"/>
    </row>
    <row r="400" ht="14.25" customHeight="1">
      <c r="B400" s="2"/>
      <c r="C400" s="2"/>
    </row>
    <row r="401" ht="14.2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autoFilter ref="$A$6:$AB$201"/>
  <mergeCells count="1">
    <mergeCell ref="B2:L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3" width="16.71"/>
    <col customWidth="1" min="4" max="4" width="29.0"/>
    <col customWidth="1" min="5" max="5" width="4.43"/>
    <col customWidth="1" min="6" max="6" width="24.57"/>
    <col customWidth="1" min="7" max="7" width="14.57"/>
    <col customWidth="1" min="8" max="8" width="13.71"/>
    <col customWidth="1" min="9" max="9" width="13.29"/>
    <col customWidth="1" min="10" max="10" width="15.0"/>
    <col customWidth="1" min="11" max="11" width="9.57"/>
    <col customWidth="1" min="12" max="12" width="55.14"/>
    <col customWidth="1" min="13" max="13" width="14.43"/>
    <col customWidth="1" hidden="1" min="14" max="14" width="12.29"/>
    <col customWidth="1" min="15" max="15" width="42.43"/>
    <col customWidth="1" min="16" max="16" width="14.71"/>
    <col customWidth="1" min="17" max="17" width="17.71"/>
    <col customWidth="1" min="18" max="24" width="8.86"/>
  </cols>
  <sheetData>
    <row r="1" ht="14.25" customHeight="1">
      <c r="B1" s="2"/>
      <c r="C1" s="2"/>
    </row>
    <row r="2" ht="21.0" customHeight="1">
      <c r="B2" s="3" t="s">
        <v>150</v>
      </c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  <c r="Q2" s="6"/>
    </row>
    <row r="3" ht="21.0" customHeight="1">
      <c r="B3" s="7"/>
      <c r="L3" s="8"/>
      <c r="M3" s="6"/>
      <c r="N3" s="6"/>
      <c r="O3" s="6"/>
      <c r="P3" s="6"/>
      <c r="Q3" s="6"/>
      <c r="T3" s="9"/>
      <c r="U3" s="9"/>
      <c r="V3" s="9"/>
      <c r="W3" s="9"/>
      <c r="X3" s="9"/>
    </row>
    <row r="4" ht="15.0" customHeight="1">
      <c r="B4" s="7"/>
      <c r="L4" s="8"/>
      <c r="M4" s="6"/>
      <c r="N4" s="6"/>
      <c r="O4" s="6"/>
      <c r="P4" s="6"/>
      <c r="Q4" s="6"/>
      <c r="T4" s="9"/>
      <c r="U4" s="9"/>
      <c r="V4" s="9"/>
      <c r="W4" s="9"/>
      <c r="X4" s="9"/>
    </row>
    <row r="5" ht="15.0" customHeight="1"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6"/>
      <c r="N5" s="6"/>
      <c r="O5" s="6"/>
      <c r="P5" s="6"/>
      <c r="Q5" s="6"/>
      <c r="U5" s="9"/>
      <c r="V5" s="9"/>
      <c r="W5" s="9"/>
      <c r="X5" s="9"/>
    </row>
    <row r="6" ht="14.25" customHeight="1">
      <c r="B6" s="13" t="s">
        <v>1</v>
      </c>
      <c r="C6" s="14" t="s">
        <v>151</v>
      </c>
      <c r="D6" s="15" t="s">
        <v>152</v>
      </c>
      <c r="E6" s="15"/>
      <c r="F6" s="15" t="s">
        <v>153</v>
      </c>
      <c r="G6" s="15" t="s">
        <v>5</v>
      </c>
      <c r="H6" s="15" t="s">
        <v>6</v>
      </c>
      <c r="I6" s="15" t="s">
        <v>7</v>
      </c>
      <c r="J6" s="15" t="s">
        <v>154</v>
      </c>
      <c r="K6" s="15" t="s">
        <v>155</v>
      </c>
      <c r="L6" s="15" t="s">
        <v>10</v>
      </c>
      <c r="O6" s="16"/>
      <c r="P6" s="9"/>
      <c r="Q6" s="9"/>
      <c r="R6" s="9"/>
    </row>
    <row r="7" ht="14.25" hidden="1" customHeight="1">
      <c r="B7" s="17">
        <v>44981.0</v>
      </c>
      <c r="C7" s="21">
        <v>44984.0</v>
      </c>
      <c r="D7" s="19" t="s">
        <v>156</v>
      </c>
      <c r="E7" s="19"/>
      <c r="F7" s="19"/>
      <c r="G7" s="19" t="s">
        <v>157</v>
      </c>
      <c r="H7" s="19">
        <v>3678.0</v>
      </c>
      <c r="I7" s="19">
        <v>3685.1</v>
      </c>
      <c r="J7" s="19">
        <f t="shared" ref="J7:J16" si="1">I7-H7</f>
        <v>7.1</v>
      </c>
      <c r="K7" s="19"/>
      <c r="L7" s="19" t="s">
        <v>158</v>
      </c>
    </row>
    <row r="8" ht="14.25" hidden="1" customHeight="1">
      <c r="B8" s="17">
        <v>44984.0</v>
      </c>
      <c r="C8" s="21">
        <v>44986.0</v>
      </c>
      <c r="D8" s="19" t="s">
        <v>159</v>
      </c>
      <c r="E8" s="19"/>
      <c r="F8" s="19"/>
      <c r="G8" s="19" t="s">
        <v>157</v>
      </c>
      <c r="H8" s="19">
        <v>3688.0</v>
      </c>
      <c r="I8" s="19">
        <v>3707.3</v>
      </c>
      <c r="J8" s="19">
        <f t="shared" si="1"/>
        <v>19.3</v>
      </c>
      <c r="K8" s="19"/>
      <c r="L8" s="19" t="s">
        <v>158</v>
      </c>
    </row>
    <row r="9" ht="14.25" hidden="1" customHeight="1">
      <c r="B9" s="17">
        <v>44986.0</v>
      </c>
      <c r="C9" s="21">
        <v>44989.0</v>
      </c>
      <c r="D9" s="19" t="s">
        <v>160</v>
      </c>
      <c r="E9" s="19"/>
      <c r="F9" s="19"/>
      <c r="G9" s="19" t="s">
        <v>157</v>
      </c>
      <c r="H9" s="19">
        <v>3707.3</v>
      </c>
      <c r="I9" s="19">
        <v>3731.0</v>
      </c>
      <c r="J9" s="19">
        <f t="shared" si="1"/>
        <v>23.7</v>
      </c>
      <c r="K9" s="19"/>
      <c r="L9" s="19" t="s">
        <v>161</v>
      </c>
    </row>
    <row r="10" ht="14.25" hidden="1" customHeight="1">
      <c r="B10" s="17">
        <v>44989.0</v>
      </c>
      <c r="C10" s="21">
        <v>44991.0</v>
      </c>
      <c r="D10" s="19" t="s">
        <v>162</v>
      </c>
      <c r="E10" s="19"/>
      <c r="F10" s="19"/>
      <c r="G10" s="19" t="s">
        <v>157</v>
      </c>
      <c r="H10" s="19">
        <v>3731.0</v>
      </c>
      <c r="I10" s="19">
        <v>3737.6</v>
      </c>
      <c r="J10" s="19">
        <f t="shared" si="1"/>
        <v>6.6</v>
      </c>
      <c r="K10" s="19"/>
      <c r="L10" s="19" t="s">
        <v>163</v>
      </c>
    </row>
    <row r="11" ht="14.25" hidden="1" customHeight="1">
      <c r="B11" s="17">
        <v>44992.0</v>
      </c>
      <c r="C11" s="21">
        <v>44999.0</v>
      </c>
      <c r="D11" s="19" t="s">
        <v>164</v>
      </c>
      <c r="E11" s="19"/>
      <c r="F11" s="19"/>
      <c r="G11" s="19" t="s">
        <v>157</v>
      </c>
      <c r="H11" s="19">
        <v>3741.8</v>
      </c>
      <c r="I11" s="19">
        <v>3776.9</v>
      </c>
      <c r="J11" s="19">
        <f t="shared" si="1"/>
        <v>35.1</v>
      </c>
      <c r="K11" s="19">
        <v>200.0</v>
      </c>
      <c r="L11" s="19" t="s">
        <v>165</v>
      </c>
    </row>
    <row r="12" ht="14.25" hidden="1" customHeight="1">
      <c r="B12" s="17">
        <v>44995.0</v>
      </c>
      <c r="C12" s="21">
        <v>44996.0</v>
      </c>
      <c r="D12" s="19" t="s">
        <v>166</v>
      </c>
      <c r="E12" s="19"/>
      <c r="F12" s="19"/>
      <c r="G12" s="19" t="s">
        <v>157</v>
      </c>
      <c r="H12" s="19">
        <v>3761.2</v>
      </c>
      <c r="I12" s="19">
        <v>3768.6</v>
      </c>
      <c r="J12" s="19">
        <f t="shared" si="1"/>
        <v>7.4</v>
      </c>
      <c r="K12" s="19"/>
      <c r="L12" s="19" t="s">
        <v>167</v>
      </c>
    </row>
    <row r="13" ht="14.25" hidden="1" customHeight="1">
      <c r="B13" s="17">
        <v>45000.0</v>
      </c>
      <c r="C13" s="21">
        <v>45021.0</v>
      </c>
      <c r="D13" s="19" t="s">
        <v>168</v>
      </c>
      <c r="E13" s="19"/>
      <c r="F13" s="19"/>
      <c r="G13" s="19" t="s">
        <v>157</v>
      </c>
      <c r="H13" s="19">
        <v>3776.9</v>
      </c>
      <c r="I13" s="19">
        <v>3934.5</v>
      </c>
      <c r="J13" s="19">
        <f t="shared" si="1"/>
        <v>157.6</v>
      </c>
      <c r="K13" s="19">
        <v>2930.0</v>
      </c>
      <c r="L13" s="19" t="s">
        <v>169</v>
      </c>
    </row>
    <row r="14" ht="14.25" hidden="1" customHeight="1">
      <c r="B14" s="17">
        <v>45021.0</v>
      </c>
      <c r="C14" s="21">
        <v>45042.0</v>
      </c>
      <c r="D14" s="19" t="s">
        <v>170</v>
      </c>
      <c r="E14" s="19"/>
      <c r="F14" s="19"/>
      <c r="G14" s="19" t="s">
        <v>157</v>
      </c>
      <c r="H14" s="19">
        <v>3934.5</v>
      </c>
      <c r="I14" s="19">
        <v>4068.0</v>
      </c>
      <c r="J14" s="19">
        <f t="shared" si="1"/>
        <v>133.5</v>
      </c>
      <c r="K14" s="19"/>
      <c r="L14" s="19" t="s">
        <v>171</v>
      </c>
    </row>
    <row r="15" ht="14.25" hidden="1" customHeight="1">
      <c r="B15" s="17">
        <v>45042.0</v>
      </c>
      <c r="C15" s="21">
        <v>45054.0</v>
      </c>
      <c r="D15" s="19" t="s">
        <v>166</v>
      </c>
      <c r="E15" s="19"/>
      <c r="F15" s="19"/>
      <c r="G15" s="19" t="s">
        <v>157</v>
      </c>
      <c r="H15" s="19">
        <v>4068.0</v>
      </c>
      <c r="I15" s="19">
        <v>4154.0</v>
      </c>
      <c r="J15" s="19">
        <f t="shared" si="1"/>
        <v>86</v>
      </c>
      <c r="K15" s="19"/>
      <c r="L15" s="19" t="s">
        <v>172</v>
      </c>
    </row>
    <row r="16" ht="14.25" hidden="1" customHeight="1">
      <c r="B16" s="17">
        <v>45054.0</v>
      </c>
      <c r="C16" s="21">
        <v>45056.0</v>
      </c>
      <c r="D16" s="19" t="s">
        <v>173</v>
      </c>
      <c r="E16" s="19"/>
      <c r="F16" s="19"/>
      <c r="G16" s="19" t="s">
        <v>157</v>
      </c>
      <c r="H16" s="19">
        <v>4154.0</v>
      </c>
      <c r="I16" s="19">
        <v>4161.6</v>
      </c>
      <c r="J16" s="19">
        <f t="shared" si="1"/>
        <v>7.6</v>
      </c>
      <c r="K16" s="19"/>
      <c r="L16" s="19" t="s">
        <v>174</v>
      </c>
    </row>
    <row r="17" ht="14.25" hidden="1" customHeight="1">
      <c r="B17" s="17">
        <v>45056.0</v>
      </c>
      <c r="C17" s="21">
        <v>45070.0</v>
      </c>
      <c r="D17" s="19" t="s">
        <v>175</v>
      </c>
      <c r="E17" s="19"/>
      <c r="F17" s="19" t="s">
        <v>176</v>
      </c>
      <c r="G17" s="19" t="s">
        <v>157</v>
      </c>
      <c r="H17" s="19">
        <v>4161.6</v>
      </c>
      <c r="I17" s="19">
        <v>4279.6</v>
      </c>
      <c r="J17" s="19">
        <v>109.3</v>
      </c>
      <c r="K17" s="19">
        <v>1895.0</v>
      </c>
      <c r="L17" s="19" t="s">
        <v>177</v>
      </c>
    </row>
    <row r="18" ht="14.25" hidden="1" customHeight="1">
      <c r="B18" s="17">
        <v>45064.0</v>
      </c>
      <c r="C18" s="21">
        <v>45064.0</v>
      </c>
      <c r="D18" s="19" t="s">
        <v>178</v>
      </c>
      <c r="E18" s="19"/>
      <c r="F18" s="19"/>
      <c r="G18" s="19" t="s">
        <v>157</v>
      </c>
      <c r="H18" s="19">
        <v>4223.5</v>
      </c>
      <c r="I18" s="19">
        <v>4232.2</v>
      </c>
      <c r="J18" s="19">
        <f t="shared" ref="J18:J75" si="2">I18-H18</f>
        <v>8.7</v>
      </c>
      <c r="K18" s="19">
        <v>5045.0</v>
      </c>
      <c r="L18" s="19" t="s">
        <v>179</v>
      </c>
    </row>
    <row r="19" ht="14.25" hidden="1" customHeight="1">
      <c r="B19" s="17">
        <v>45071.0</v>
      </c>
      <c r="C19" s="21">
        <v>45075.0</v>
      </c>
      <c r="D19" s="19" t="s">
        <v>180</v>
      </c>
      <c r="E19" s="19"/>
      <c r="F19" s="19"/>
      <c r="G19" s="19" t="s">
        <v>157</v>
      </c>
      <c r="H19" s="19">
        <v>4279.6</v>
      </c>
      <c r="I19" s="19">
        <v>4304.6</v>
      </c>
      <c r="J19" s="19">
        <f t="shared" si="2"/>
        <v>25</v>
      </c>
      <c r="K19" s="19">
        <v>310.0</v>
      </c>
      <c r="L19" s="19" t="s">
        <v>181</v>
      </c>
    </row>
    <row r="20" ht="14.25" hidden="1" customHeight="1">
      <c r="B20" s="17">
        <v>45076.0</v>
      </c>
      <c r="C20" s="21">
        <v>45089.0</v>
      </c>
      <c r="D20" s="19" t="s">
        <v>182</v>
      </c>
      <c r="E20" s="19"/>
      <c r="F20" s="19" t="s">
        <v>183</v>
      </c>
      <c r="G20" s="19" t="s">
        <v>157</v>
      </c>
      <c r="H20" s="19">
        <v>4305.6</v>
      </c>
      <c r="I20" s="19">
        <v>4381.7</v>
      </c>
      <c r="J20" s="19">
        <f t="shared" si="2"/>
        <v>76.1</v>
      </c>
      <c r="K20" s="19">
        <v>1800.0</v>
      </c>
      <c r="L20" s="19" t="s">
        <v>184</v>
      </c>
    </row>
    <row r="21" ht="14.25" hidden="1" customHeight="1">
      <c r="B21" s="17">
        <v>45089.0</v>
      </c>
      <c r="C21" s="21">
        <v>45107.0</v>
      </c>
      <c r="D21" s="19" t="s">
        <v>185</v>
      </c>
      <c r="E21" s="19"/>
      <c r="F21" s="19" t="s">
        <v>36</v>
      </c>
      <c r="G21" s="19" t="s">
        <v>157</v>
      </c>
      <c r="H21" s="19">
        <v>4381.7</v>
      </c>
      <c r="I21" s="19">
        <v>4572.5</v>
      </c>
      <c r="J21" s="19">
        <f t="shared" si="2"/>
        <v>190.8</v>
      </c>
      <c r="K21" s="19">
        <v>3351.0</v>
      </c>
      <c r="L21" s="19" t="s">
        <v>186</v>
      </c>
    </row>
    <row r="22" ht="14.25" hidden="1" customHeight="1">
      <c r="B22" s="17">
        <v>45108.0</v>
      </c>
      <c r="C22" s="21">
        <v>45115.0</v>
      </c>
      <c r="D22" s="19" t="s">
        <v>185</v>
      </c>
      <c r="E22" s="19"/>
      <c r="F22" s="19" t="s">
        <v>36</v>
      </c>
      <c r="G22" s="19" t="s">
        <v>157</v>
      </c>
      <c r="H22" s="19">
        <v>4572.5</v>
      </c>
      <c r="I22" s="19">
        <v>4632.5</v>
      </c>
      <c r="J22" s="19">
        <f t="shared" si="2"/>
        <v>60</v>
      </c>
      <c r="K22" s="19">
        <v>850.0</v>
      </c>
      <c r="L22" s="19"/>
    </row>
    <row r="23" ht="14.25" hidden="1" customHeight="1">
      <c r="B23" s="17">
        <v>45117.0</v>
      </c>
      <c r="C23" s="21">
        <v>45127.0</v>
      </c>
      <c r="D23" s="19" t="s">
        <v>187</v>
      </c>
      <c r="E23" s="19"/>
      <c r="F23" s="19" t="s">
        <v>188</v>
      </c>
      <c r="G23" s="19" t="s">
        <v>157</v>
      </c>
      <c r="H23" s="19">
        <v>4632.5</v>
      </c>
      <c r="I23" s="19">
        <v>4728.6</v>
      </c>
      <c r="J23" s="19">
        <f t="shared" si="2"/>
        <v>96.1</v>
      </c>
      <c r="K23" s="19">
        <v>1737.0</v>
      </c>
      <c r="L23" s="19" t="s">
        <v>189</v>
      </c>
    </row>
    <row r="24" ht="14.25" hidden="1" customHeight="1">
      <c r="B24" s="17">
        <v>45128.0</v>
      </c>
      <c r="C24" s="21">
        <v>45138.0</v>
      </c>
      <c r="D24" s="19" t="s">
        <v>190</v>
      </c>
      <c r="E24" s="19"/>
      <c r="F24" s="19" t="s">
        <v>191</v>
      </c>
      <c r="G24" s="19" t="s">
        <v>157</v>
      </c>
      <c r="H24" s="19">
        <v>4728.6</v>
      </c>
      <c r="I24" s="19">
        <v>4798.5</v>
      </c>
      <c r="J24" s="19">
        <f t="shared" si="2"/>
        <v>69.9</v>
      </c>
      <c r="K24" s="23">
        <v>1083.0</v>
      </c>
      <c r="L24" s="19" t="s">
        <v>41</v>
      </c>
    </row>
    <row r="25" ht="14.25" hidden="1" customHeight="1">
      <c r="B25" s="17">
        <v>45139.0</v>
      </c>
      <c r="C25" s="21">
        <v>45148.0</v>
      </c>
      <c r="D25" s="19" t="s">
        <v>190</v>
      </c>
      <c r="E25" s="19"/>
      <c r="F25" s="19" t="s">
        <v>191</v>
      </c>
      <c r="G25" s="19" t="s">
        <v>157</v>
      </c>
      <c r="H25" s="19">
        <v>4798.5</v>
      </c>
      <c r="I25" s="19">
        <v>4863.3</v>
      </c>
      <c r="J25" s="19">
        <f t="shared" si="2"/>
        <v>64.8</v>
      </c>
      <c r="K25" s="19"/>
      <c r="L25" s="19" t="s">
        <v>192</v>
      </c>
    </row>
    <row r="26" ht="14.25" hidden="1" customHeight="1">
      <c r="B26" s="17">
        <v>45148.0</v>
      </c>
      <c r="C26" s="21">
        <v>45148.0</v>
      </c>
      <c r="D26" s="19" t="s">
        <v>193</v>
      </c>
      <c r="E26" s="19"/>
      <c r="F26" s="19" t="s">
        <v>191</v>
      </c>
      <c r="G26" s="19" t="s">
        <v>157</v>
      </c>
      <c r="H26" s="19">
        <v>4863.3</v>
      </c>
      <c r="I26" s="19">
        <v>4869.3</v>
      </c>
      <c r="J26" s="19">
        <f t="shared" si="2"/>
        <v>6</v>
      </c>
      <c r="K26" s="19"/>
      <c r="L26" s="19" t="s">
        <v>194</v>
      </c>
    </row>
    <row r="27" ht="14.25" hidden="1" customHeight="1">
      <c r="B27" s="17">
        <v>45149.0</v>
      </c>
      <c r="C27" s="21">
        <v>45155.0</v>
      </c>
      <c r="D27" s="19" t="s">
        <v>190</v>
      </c>
      <c r="E27" s="19"/>
      <c r="F27" s="19" t="s">
        <v>191</v>
      </c>
      <c r="G27" s="19" t="s">
        <v>157</v>
      </c>
      <c r="H27" s="19">
        <v>4869.3</v>
      </c>
      <c r="I27" s="19">
        <v>4921.0</v>
      </c>
      <c r="J27" s="19">
        <f t="shared" si="2"/>
        <v>51.7</v>
      </c>
      <c r="K27" s="23">
        <v>2206.0</v>
      </c>
      <c r="L27" s="19" t="s">
        <v>41</v>
      </c>
    </row>
    <row r="28" ht="14.25" hidden="1" customHeight="1">
      <c r="B28" s="17">
        <v>45156.0</v>
      </c>
      <c r="C28" s="21">
        <v>45157.0</v>
      </c>
      <c r="D28" s="19" t="s">
        <v>175</v>
      </c>
      <c r="E28" s="19"/>
      <c r="F28" s="19"/>
      <c r="G28" s="19" t="s">
        <v>157</v>
      </c>
      <c r="H28" s="19">
        <v>4921.0</v>
      </c>
      <c r="I28" s="19">
        <v>4932.1</v>
      </c>
      <c r="J28" s="19">
        <f t="shared" si="2"/>
        <v>11.1</v>
      </c>
      <c r="K28" s="19">
        <v>225.0</v>
      </c>
      <c r="L28" s="19" t="s">
        <v>195</v>
      </c>
    </row>
    <row r="29" ht="14.25" hidden="1" customHeight="1">
      <c r="B29" s="17">
        <v>45157.0</v>
      </c>
      <c r="C29" s="21">
        <v>45161.0</v>
      </c>
      <c r="D29" s="19" t="s">
        <v>26</v>
      </c>
      <c r="E29" s="19"/>
      <c r="F29" s="19"/>
      <c r="G29" s="19" t="s">
        <v>157</v>
      </c>
      <c r="H29" s="19">
        <v>4932.1</v>
      </c>
      <c r="I29" s="19">
        <v>4971.0</v>
      </c>
      <c r="J29" s="19">
        <f t="shared" si="2"/>
        <v>38.9</v>
      </c>
      <c r="K29" s="19">
        <v>582.0</v>
      </c>
      <c r="L29" s="19" t="s">
        <v>196</v>
      </c>
    </row>
    <row r="30" ht="14.25" hidden="1" customHeight="1">
      <c r="B30" s="17">
        <v>45161.0</v>
      </c>
      <c r="C30" s="21">
        <v>45163.0</v>
      </c>
      <c r="D30" s="19" t="s">
        <v>197</v>
      </c>
      <c r="E30" s="19"/>
      <c r="F30" s="19"/>
      <c r="G30" s="19" t="s">
        <v>157</v>
      </c>
      <c r="H30" s="19">
        <v>4971.0</v>
      </c>
      <c r="I30" s="19">
        <v>4975.3</v>
      </c>
      <c r="J30" s="19">
        <f t="shared" si="2"/>
        <v>4.3</v>
      </c>
      <c r="K30" s="19"/>
      <c r="L30" s="19" t="s">
        <v>198</v>
      </c>
    </row>
    <row r="31" ht="14.25" hidden="1" customHeight="1">
      <c r="B31" s="17">
        <v>45164.0</v>
      </c>
      <c r="C31" s="21">
        <v>45169.0</v>
      </c>
      <c r="D31" s="19" t="s">
        <v>199</v>
      </c>
      <c r="E31" s="19"/>
      <c r="F31" s="19" t="s">
        <v>200</v>
      </c>
      <c r="G31" s="19" t="s">
        <v>157</v>
      </c>
      <c r="H31" s="19">
        <v>4975.3</v>
      </c>
      <c r="I31" s="19">
        <v>5023.5</v>
      </c>
      <c r="J31" s="19">
        <f t="shared" si="2"/>
        <v>48.2</v>
      </c>
      <c r="K31" s="19">
        <v>820.0</v>
      </c>
      <c r="L31" s="19" t="s">
        <v>201</v>
      </c>
    </row>
    <row r="32" ht="14.25" hidden="1" customHeight="1">
      <c r="B32" s="17">
        <v>45139.0</v>
      </c>
      <c r="C32" s="21">
        <v>45187.0</v>
      </c>
      <c r="D32" s="19" t="s">
        <v>199</v>
      </c>
      <c r="E32" s="19"/>
      <c r="F32" s="19" t="s">
        <v>200</v>
      </c>
      <c r="G32" s="19" t="s">
        <v>157</v>
      </c>
      <c r="H32" s="19">
        <v>5023.5</v>
      </c>
      <c r="I32" s="19">
        <v>5153.0</v>
      </c>
      <c r="J32" s="19">
        <f t="shared" si="2"/>
        <v>129.5</v>
      </c>
      <c r="K32" s="19">
        <v>2190.0</v>
      </c>
      <c r="L32" s="19" t="s">
        <v>202</v>
      </c>
    </row>
    <row r="33" ht="14.25" hidden="1" customHeight="1">
      <c r="B33" s="17">
        <v>45188.0</v>
      </c>
      <c r="C33" s="21">
        <v>45197.0</v>
      </c>
      <c r="D33" s="19" t="s">
        <v>203</v>
      </c>
      <c r="E33" s="19"/>
      <c r="F33" s="19" t="s">
        <v>204</v>
      </c>
      <c r="G33" s="19" t="s">
        <v>205</v>
      </c>
      <c r="H33" s="19">
        <v>5153.5</v>
      </c>
      <c r="I33" s="19">
        <v>5261.4</v>
      </c>
      <c r="J33" s="19">
        <f t="shared" si="2"/>
        <v>107.9</v>
      </c>
      <c r="K33" s="19">
        <v>1661.0</v>
      </c>
      <c r="L33" s="19"/>
    </row>
    <row r="34" ht="14.25" hidden="1" customHeight="1">
      <c r="B34" s="17">
        <v>45201.0</v>
      </c>
      <c r="C34" s="21">
        <v>45210.0</v>
      </c>
      <c r="D34" s="19" t="s">
        <v>26</v>
      </c>
      <c r="E34" s="19"/>
      <c r="F34" s="19" t="s">
        <v>206</v>
      </c>
      <c r="G34" s="19" t="s">
        <v>205</v>
      </c>
      <c r="H34" s="19">
        <v>5268.0</v>
      </c>
      <c r="I34" s="19">
        <v>5364.7</v>
      </c>
      <c r="J34" s="19">
        <f t="shared" si="2"/>
        <v>96.7</v>
      </c>
      <c r="K34" s="19">
        <v>1560.0</v>
      </c>
      <c r="L34" s="19" t="s">
        <v>207</v>
      </c>
    </row>
    <row r="35" ht="14.25" hidden="1" customHeight="1">
      <c r="B35" s="17">
        <v>45215.0</v>
      </c>
      <c r="C35" s="21">
        <v>45230.0</v>
      </c>
      <c r="D35" s="19" t="s">
        <v>208</v>
      </c>
      <c r="E35" s="19"/>
      <c r="F35" s="19" t="s">
        <v>209</v>
      </c>
      <c r="G35" s="19" t="s">
        <v>205</v>
      </c>
      <c r="H35" s="19">
        <v>5366.3</v>
      </c>
      <c r="I35" s="19">
        <v>5494.3</v>
      </c>
      <c r="J35" s="19">
        <f t="shared" si="2"/>
        <v>128</v>
      </c>
      <c r="K35" s="19">
        <v>2330.0</v>
      </c>
      <c r="L35" s="19"/>
    </row>
    <row r="36" ht="14.25" hidden="1" customHeight="1">
      <c r="B36" s="17">
        <v>45231.0</v>
      </c>
      <c r="C36" s="21">
        <v>45250.0</v>
      </c>
      <c r="D36" s="19" t="s">
        <v>208</v>
      </c>
      <c r="E36" s="19"/>
      <c r="F36" s="19" t="s">
        <v>209</v>
      </c>
      <c r="G36" s="19" t="s">
        <v>205</v>
      </c>
      <c r="H36" s="19">
        <v>5494.3</v>
      </c>
      <c r="I36" s="19">
        <v>5638.8</v>
      </c>
      <c r="J36" s="19">
        <f t="shared" si="2"/>
        <v>144.5</v>
      </c>
      <c r="K36" s="19">
        <v>2830.0</v>
      </c>
      <c r="L36" s="26"/>
    </row>
    <row r="37" ht="14.25" hidden="1" customHeight="1">
      <c r="B37" s="17">
        <v>45250.0</v>
      </c>
      <c r="C37" s="21">
        <v>45253.0</v>
      </c>
      <c r="D37" s="19" t="s">
        <v>210</v>
      </c>
      <c r="E37" s="19"/>
      <c r="F37" s="19" t="s">
        <v>211</v>
      </c>
      <c r="G37" s="19" t="s">
        <v>205</v>
      </c>
      <c r="H37" s="19">
        <v>5638.8</v>
      </c>
      <c r="I37" s="19">
        <v>5683.6</v>
      </c>
      <c r="J37" s="19">
        <f t="shared" si="2"/>
        <v>44.8</v>
      </c>
      <c r="K37" s="19">
        <v>657.0</v>
      </c>
      <c r="L37" s="19"/>
    </row>
    <row r="38" ht="14.25" hidden="1" customHeight="1">
      <c r="B38" s="17">
        <v>45254.0</v>
      </c>
      <c r="C38" s="21">
        <v>45260.0</v>
      </c>
      <c r="D38" s="19" t="s">
        <v>208</v>
      </c>
      <c r="E38" s="19"/>
      <c r="F38" s="19" t="s">
        <v>212</v>
      </c>
      <c r="G38" s="19" t="s">
        <v>205</v>
      </c>
      <c r="H38" s="19">
        <v>5683.6</v>
      </c>
      <c r="I38" s="19">
        <v>5704.8</v>
      </c>
      <c r="J38" s="19">
        <f t="shared" si="2"/>
        <v>21.2</v>
      </c>
      <c r="K38" s="19">
        <v>215.0</v>
      </c>
      <c r="L38" s="19"/>
    </row>
    <row r="39" ht="14.25" hidden="1" customHeight="1">
      <c r="B39" s="17">
        <v>45261.0</v>
      </c>
      <c r="C39" s="21">
        <v>45283.0</v>
      </c>
      <c r="D39" s="19" t="s">
        <v>208</v>
      </c>
      <c r="E39" s="19"/>
      <c r="F39" s="19" t="s">
        <v>212</v>
      </c>
      <c r="G39" s="19" t="s">
        <v>205</v>
      </c>
      <c r="H39" s="19">
        <v>5704.8</v>
      </c>
      <c r="I39" s="19">
        <v>5874.7</v>
      </c>
      <c r="J39" s="19">
        <f t="shared" si="2"/>
        <v>169.9</v>
      </c>
      <c r="K39" s="19">
        <v>2650.0</v>
      </c>
      <c r="L39" s="19"/>
    </row>
    <row r="40" ht="14.25" hidden="1" customHeight="1">
      <c r="B40" s="17">
        <v>45284.0</v>
      </c>
      <c r="C40" s="21">
        <v>45289.0</v>
      </c>
      <c r="D40" s="19" t="s">
        <v>213</v>
      </c>
      <c r="E40" s="19"/>
      <c r="F40" s="19" t="s">
        <v>214</v>
      </c>
      <c r="G40" s="19" t="s">
        <v>205</v>
      </c>
      <c r="H40" s="19">
        <v>5879.5</v>
      </c>
      <c r="I40" s="19">
        <v>5907.7</v>
      </c>
      <c r="J40" s="19">
        <f t="shared" si="2"/>
        <v>28.2</v>
      </c>
      <c r="K40" s="19">
        <v>440.0</v>
      </c>
      <c r="L40" s="19"/>
    </row>
    <row r="41" ht="14.25" hidden="1" customHeight="1">
      <c r="B41" s="17">
        <v>45293.0</v>
      </c>
      <c r="C41" s="21">
        <v>45307.0</v>
      </c>
      <c r="D41" s="19" t="s">
        <v>213</v>
      </c>
      <c r="E41" s="19"/>
      <c r="F41" s="19" t="s">
        <v>214</v>
      </c>
      <c r="G41" s="19" t="s">
        <v>205</v>
      </c>
      <c r="H41" s="19">
        <v>5907.7</v>
      </c>
      <c r="I41" s="19">
        <v>6029.6</v>
      </c>
      <c r="J41" s="19">
        <f t="shared" si="2"/>
        <v>121.9</v>
      </c>
      <c r="K41" s="19">
        <v>2190.0</v>
      </c>
      <c r="L41" s="19"/>
    </row>
    <row r="42" ht="14.25" hidden="1" customHeight="1">
      <c r="B42" s="17">
        <v>45308.0</v>
      </c>
      <c r="C42" s="28">
        <v>45310.0</v>
      </c>
      <c r="D42" s="19" t="s">
        <v>134</v>
      </c>
      <c r="E42" s="19"/>
      <c r="F42" s="19" t="s">
        <v>215</v>
      </c>
      <c r="G42" s="19" t="s">
        <v>205</v>
      </c>
      <c r="H42" s="19">
        <v>6030.8</v>
      </c>
      <c r="I42" s="19">
        <v>6063.4</v>
      </c>
      <c r="J42" s="19">
        <f t="shared" si="2"/>
        <v>32.6</v>
      </c>
      <c r="K42" s="19">
        <v>400.0</v>
      </c>
      <c r="L42" s="19"/>
    </row>
    <row r="43" ht="14.25" hidden="1" customHeight="1">
      <c r="B43" s="17">
        <v>45311.0</v>
      </c>
      <c r="C43" s="21">
        <v>45314.0</v>
      </c>
      <c r="D43" s="19" t="s">
        <v>199</v>
      </c>
      <c r="E43" s="19"/>
      <c r="F43" s="19" t="s">
        <v>200</v>
      </c>
      <c r="G43" s="19" t="s">
        <v>205</v>
      </c>
      <c r="H43" s="19">
        <v>6064.2</v>
      </c>
      <c r="I43" s="19">
        <v>6088.9</v>
      </c>
      <c r="J43" s="19">
        <f t="shared" si="2"/>
        <v>24.7</v>
      </c>
      <c r="K43" s="19">
        <v>225.0</v>
      </c>
      <c r="L43" s="19"/>
    </row>
    <row r="44" ht="14.25" hidden="1" customHeight="1">
      <c r="B44" s="17">
        <v>45314.0</v>
      </c>
      <c r="C44" s="21">
        <v>45314.0</v>
      </c>
      <c r="D44" s="19" t="s">
        <v>216</v>
      </c>
      <c r="E44" s="19" t="s">
        <v>87</v>
      </c>
      <c r="F44" s="19"/>
      <c r="G44" s="19" t="s">
        <v>103</v>
      </c>
      <c r="H44" s="19">
        <v>6089.2</v>
      </c>
      <c r="I44" s="19">
        <v>6091.0</v>
      </c>
      <c r="J44" s="19">
        <f t="shared" si="2"/>
        <v>1.8</v>
      </c>
      <c r="K44" s="19"/>
      <c r="L44" s="19"/>
    </row>
    <row r="45" ht="14.25" hidden="1" customHeight="1">
      <c r="B45" s="17">
        <v>45315.0</v>
      </c>
      <c r="C45" s="21">
        <v>45328.0</v>
      </c>
      <c r="D45" s="19" t="s">
        <v>175</v>
      </c>
      <c r="E45" s="19" t="s">
        <v>87</v>
      </c>
      <c r="F45" s="19" t="s">
        <v>102</v>
      </c>
      <c r="G45" s="19" t="s">
        <v>103</v>
      </c>
      <c r="H45" s="19">
        <v>6091.0</v>
      </c>
      <c r="I45" s="19">
        <v>6167.6</v>
      </c>
      <c r="J45" s="19">
        <f t="shared" si="2"/>
        <v>76.6</v>
      </c>
      <c r="K45" s="19"/>
      <c r="L45" s="19"/>
    </row>
    <row r="46" ht="14.25" hidden="1" customHeight="1">
      <c r="B46" s="17">
        <v>45328.0</v>
      </c>
      <c r="C46" s="21">
        <v>45339.0</v>
      </c>
      <c r="D46" s="19" t="s">
        <v>74</v>
      </c>
      <c r="E46" s="19" t="s">
        <v>87</v>
      </c>
      <c r="F46" s="19" t="s">
        <v>75</v>
      </c>
      <c r="G46" s="19" t="s">
        <v>205</v>
      </c>
      <c r="H46" s="19">
        <v>6167.7</v>
      </c>
      <c r="I46" s="19">
        <v>6234.9</v>
      </c>
      <c r="J46" s="19">
        <f t="shared" si="2"/>
        <v>67.2</v>
      </c>
      <c r="K46" s="19">
        <v>1076.0</v>
      </c>
      <c r="L46" s="19"/>
    </row>
    <row r="47" ht="14.25" hidden="1" customHeight="1">
      <c r="B47" s="17">
        <v>45339.0</v>
      </c>
      <c r="C47" s="21">
        <v>45350.0</v>
      </c>
      <c r="D47" s="19" t="s">
        <v>217</v>
      </c>
      <c r="E47" s="19" t="s">
        <v>87</v>
      </c>
      <c r="F47" s="19" t="s">
        <v>218</v>
      </c>
      <c r="G47" s="19" t="s">
        <v>103</v>
      </c>
      <c r="H47" s="19">
        <v>6234.9</v>
      </c>
      <c r="I47" s="19">
        <v>6318.2</v>
      </c>
      <c r="J47" s="19">
        <f t="shared" si="2"/>
        <v>83.3</v>
      </c>
      <c r="K47" s="19"/>
      <c r="L47" s="19"/>
    </row>
    <row r="48" ht="14.25" hidden="1" customHeight="1">
      <c r="B48" s="17">
        <v>45351.0</v>
      </c>
      <c r="C48" s="21">
        <v>45352.0</v>
      </c>
      <c r="D48" s="19" t="s">
        <v>208</v>
      </c>
      <c r="E48" s="19"/>
      <c r="F48" s="19" t="s">
        <v>75</v>
      </c>
      <c r="G48" s="19" t="s">
        <v>103</v>
      </c>
      <c r="H48" s="19">
        <v>6318.2</v>
      </c>
      <c r="I48" s="19">
        <v>6339.2</v>
      </c>
      <c r="J48" s="19">
        <f t="shared" si="2"/>
        <v>21</v>
      </c>
      <c r="K48" s="19"/>
      <c r="L48" s="26"/>
    </row>
    <row r="49" ht="14.25" customHeight="1">
      <c r="B49" s="17">
        <v>45353.0</v>
      </c>
      <c r="C49" s="21">
        <v>45399.0</v>
      </c>
      <c r="D49" s="19" t="s">
        <v>219</v>
      </c>
      <c r="E49" s="19" t="s">
        <v>87</v>
      </c>
      <c r="F49" s="19" t="s">
        <v>220</v>
      </c>
      <c r="G49" s="19" t="s">
        <v>205</v>
      </c>
      <c r="H49" s="19">
        <v>6339.2</v>
      </c>
      <c r="I49" s="19">
        <v>6696.1</v>
      </c>
      <c r="J49" s="19">
        <f t="shared" si="2"/>
        <v>356.9</v>
      </c>
      <c r="K49" s="19" t="s">
        <v>221</v>
      </c>
      <c r="L49" s="19"/>
    </row>
    <row r="50" ht="14.25" hidden="1" customHeight="1">
      <c r="B50" s="17">
        <v>45399.0</v>
      </c>
      <c r="C50" s="21">
        <v>45406.0</v>
      </c>
      <c r="D50" s="19" t="s">
        <v>28</v>
      </c>
      <c r="E50" s="19" t="s">
        <v>87</v>
      </c>
      <c r="F50" s="19" t="s">
        <v>222</v>
      </c>
      <c r="G50" s="19" t="s">
        <v>103</v>
      </c>
      <c r="H50" s="19">
        <v>6696.1</v>
      </c>
      <c r="I50" s="19">
        <v>6779.4</v>
      </c>
      <c r="J50" s="19">
        <f t="shared" si="2"/>
        <v>83.3</v>
      </c>
      <c r="K50" s="19"/>
      <c r="L50" s="19"/>
    </row>
    <row r="51" ht="14.25" hidden="1" customHeight="1">
      <c r="B51" s="17">
        <v>45411.0</v>
      </c>
      <c r="C51" s="21">
        <v>45412.0</v>
      </c>
      <c r="D51" s="19" t="s">
        <v>223</v>
      </c>
      <c r="E51" s="19" t="s">
        <v>87</v>
      </c>
      <c r="F51" s="19" t="s">
        <v>224</v>
      </c>
      <c r="G51" s="19" t="s">
        <v>103</v>
      </c>
      <c r="H51" s="19">
        <v>6791.8</v>
      </c>
      <c r="I51" s="19">
        <v>6807.2</v>
      </c>
      <c r="J51" s="19">
        <f t="shared" si="2"/>
        <v>15.4</v>
      </c>
      <c r="K51" s="19"/>
      <c r="L51" s="19"/>
    </row>
    <row r="52" ht="14.25" hidden="1" customHeight="1">
      <c r="B52" s="17">
        <v>45413.0</v>
      </c>
      <c r="C52" s="21">
        <v>45413.0</v>
      </c>
      <c r="D52" s="19" t="s">
        <v>26</v>
      </c>
      <c r="E52" s="19"/>
      <c r="F52" s="19"/>
      <c r="G52" s="19" t="s">
        <v>103</v>
      </c>
      <c r="H52" s="19">
        <v>6820.6</v>
      </c>
      <c r="I52" s="19">
        <v>6830.4</v>
      </c>
      <c r="J52" s="19">
        <f t="shared" si="2"/>
        <v>9.8</v>
      </c>
      <c r="K52" s="19"/>
      <c r="L52" s="19"/>
    </row>
    <row r="53" ht="14.25" hidden="1" customHeight="1">
      <c r="B53" s="17">
        <v>45414.0</v>
      </c>
      <c r="C53" s="21">
        <v>45435.0</v>
      </c>
      <c r="D53" s="19" t="s">
        <v>225</v>
      </c>
      <c r="E53" s="19" t="s">
        <v>87</v>
      </c>
      <c r="F53" s="19" t="s">
        <v>226</v>
      </c>
      <c r="G53" s="19" t="s">
        <v>103</v>
      </c>
      <c r="H53" s="19">
        <v>6830.4</v>
      </c>
      <c r="I53" s="19">
        <v>7040.5</v>
      </c>
      <c r="J53" s="19">
        <f t="shared" si="2"/>
        <v>210.1</v>
      </c>
      <c r="K53" s="19"/>
      <c r="L53" s="19"/>
    </row>
    <row r="54" ht="14.25" hidden="1" customHeight="1">
      <c r="B54" s="17">
        <v>45439.0</v>
      </c>
      <c r="C54" s="21">
        <v>45443.0</v>
      </c>
      <c r="D54" s="19" t="s">
        <v>187</v>
      </c>
      <c r="E54" s="19"/>
      <c r="F54" s="19" t="s">
        <v>227</v>
      </c>
      <c r="G54" s="19" t="s">
        <v>103</v>
      </c>
      <c r="H54" s="19">
        <v>7062.6</v>
      </c>
      <c r="I54" s="19">
        <v>7102.2</v>
      </c>
      <c r="J54" s="19">
        <f t="shared" si="2"/>
        <v>39.6</v>
      </c>
      <c r="K54" s="19"/>
      <c r="L54" s="19"/>
    </row>
    <row r="55" ht="14.25" hidden="1" customHeight="1">
      <c r="B55" s="27">
        <v>45446.0</v>
      </c>
      <c r="C55" s="28">
        <v>45472.0</v>
      </c>
      <c r="D55" s="19" t="s">
        <v>228</v>
      </c>
      <c r="E55" s="19" t="s">
        <v>87</v>
      </c>
      <c r="F55" s="19" t="s">
        <v>229</v>
      </c>
      <c r="G55" s="19" t="s">
        <v>103</v>
      </c>
      <c r="H55" s="19">
        <v>7110.0</v>
      </c>
      <c r="I55" s="19">
        <v>7364.4</v>
      </c>
      <c r="J55" s="19">
        <f t="shared" si="2"/>
        <v>254.4</v>
      </c>
      <c r="K55" s="19">
        <v>1480.0</v>
      </c>
      <c r="L55" s="19"/>
    </row>
    <row r="56" ht="14.25" hidden="1" customHeight="1">
      <c r="B56" s="27">
        <v>45474.0</v>
      </c>
      <c r="C56" s="28">
        <v>45505.0</v>
      </c>
      <c r="D56" s="19" t="s">
        <v>228</v>
      </c>
      <c r="E56" s="19" t="s">
        <v>87</v>
      </c>
      <c r="F56" s="19" t="s">
        <v>229</v>
      </c>
      <c r="G56" s="19" t="s">
        <v>103</v>
      </c>
      <c r="H56" s="19">
        <v>7364.4</v>
      </c>
      <c r="I56" s="19">
        <v>7895.4</v>
      </c>
      <c r="J56" s="19">
        <f t="shared" si="2"/>
        <v>531</v>
      </c>
      <c r="K56" s="19">
        <v>924.0</v>
      </c>
      <c r="L56" s="19"/>
    </row>
    <row r="57" ht="14.25" hidden="1" customHeight="1">
      <c r="B57" s="27">
        <v>45513.0</v>
      </c>
      <c r="C57" s="28">
        <v>45514.0</v>
      </c>
      <c r="D57" s="19" t="s">
        <v>230</v>
      </c>
      <c r="E57" s="19" t="s">
        <v>87</v>
      </c>
      <c r="F57" s="19" t="s">
        <v>231</v>
      </c>
      <c r="G57" s="19" t="s">
        <v>103</v>
      </c>
      <c r="H57" s="19">
        <v>7693.1</v>
      </c>
      <c r="I57" s="19">
        <v>7704.5</v>
      </c>
      <c r="J57" s="19">
        <f t="shared" si="2"/>
        <v>11.4</v>
      </c>
      <c r="K57" s="19"/>
      <c r="L57" s="19"/>
    </row>
    <row r="58" ht="14.25" hidden="1" customHeight="1">
      <c r="B58" s="27">
        <v>45516.0</v>
      </c>
      <c r="C58" s="28">
        <v>45535.0</v>
      </c>
      <c r="D58" s="19" t="s">
        <v>232</v>
      </c>
      <c r="E58" s="19"/>
      <c r="F58" s="19" t="s">
        <v>69</v>
      </c>
      <c r="G58" s="19" t="s">
        <v>103</v>
      </c>
      <c r="H58" s="19">
        <v>7704.8</v>
      </c>
      <c r="I58" s="19">
        <v>7884.9</v>
      </c>
      <c r="J58" s="19">
        <f t="shared" si="2"/>
        <v>180.1</v>
      </c>
      <c r="K58" s="19">
        <v>3339.0</v>
      </c>
      <c r="L58" s="19"/>
    </row>
    <row r="59" ht="14.25" hidden="1" customHeight="1">
      <c r="B59" s="27">
        <v>45536.0</v>
      </c>
      <c r="C59" s="28">
        <v>45539.0</v>
      </c>
      <c r="D59" s="19" t="s">
        <v>232</v>
      </c>
      <c r="E59" s="19"/>
      <c r="F59" s="19" t="s">
        <v>69</v>
      </c>
      <c r="G59" s="19" t="s">
        <v>103</v>
      </c>
      <c r="H59" s="19">
        <v>7884.9</v>
      </c>
      <c r="I59" s="19">
        <v>7928.7</v>
      </c>
      <c r="J59" s="19">
        <f t="shared" si="2"/>
        <v>43.8</v>
      </c>
      <c r="K59" s="19">
        <v>415.0</v>
      </c>
      <c r="L59" s="19"/>
    </row>
    <row r="60" ht="14.25" hidden="1" customHeight="1">
      <c r="B60" s="27">
        <v>45546.0</v>
      </c>
      <c r="C60" s="28">
        <v>45548.0</v>
      </c>
      <c r="D60" s="19" t="s">
        <v>51</v>
      </c>
      <c r="E60" s="19"/>
      <c r="F60" s="19" t="s">
        <v>233</v>
      </c>
      <c r="G60" s="19" t="s">
        <v>103</v>
      </c>
      <c r="H60" s="19">
        <v>7964.7</v>
      </c>
      <c r="I60" s="19">
        <v>7981.0</v>
      </c>
      <c r="J60" s="19">
        <f t="shared" si="2"/>
        <v>16.3</v>
      </c>
      <c r="K60" s="19">
        <v>440.0</v>
      </c>
      <c r="L60" s="19"/>
    </row>
    <row r="61" ht="14.25" hidden="1" customHeight="1">
      <c r="B61" s="27">
        <v>45549.0</v>
      </c>
      <c r="C61" s="28">
        <v>45551.0</v>
      </c>
      <c r="D61" s="19" t="s">
        <v>234</v>
      </c>
      <c r="E61" s="19" t="s">
        <v>87</v>
      </c>
      <c r="F61" s="19"/>
      <c r="G61" s="19" t="s">
        <v>103</v>
      </c>
      <c r="H61" s="19">
        <v>7981.0</v>
      </c>
      <c r="I61" s="19">
        <v>8002.1</v>
      </c>
      <c r="J61" s="19">
        <f t="shared" si="2"/>
        <v>21.1</v>
      </c>
      <c r="K61" s="19">
        <v>230.0</v>
      </c>
      <c r="L61" s="19"/>
    </row>
    <row r="62" ht="14.25" hidden="1" customHeight="1">
      <c r="B62" s="27">
        <v>45552.0</v>
      </c>
      <c r="C62" s="28">
        <v>45565.0</v>
      </c>
      <c r="D62" s="19" t="s">
        <v>51</v>
      </c>
      <c r="E62" s="19"/>
      <c r="F62" s="19" t="s">
        <v>52</v>
      </c>
      <c r="G62" s="19" t="s">
        <v>103</v>
      </c>
      <c r="H62" s="19">
        <v>8002.1</v>
      </c>
      <c r="I62" s="19">
        <v>8112.1</v>
      </c>
      <c r="J62" s="19">
        <f t="shared" si="2"/>
        <v>110</v>
      </c>
      <c r="K62" s="19">
        <v>1715.0</v>
      </c>
      <c r="L62" s="19"/>
    </row>
    <row r="63" ht="14.25" hidden="1" customHeight="1">
      <c r="B63" s="27">
        <v>45566.0</v>
      </c>
      <c r="C63" s="28">
        <v>45584.0</v>
      </c>
      <c r="D63" s="19" t="s">
        <v>51</v>
      </c>
      <c r="E63" s="19"/>
      <c r="F63" s="19" t="s">
        <v>52</v>
      </c>
      <c r="G63" s="19" t="s">
        <v>103</v>
      </c>
      <c r="H63" s="19">
        <v>8112.1</v>
      </c>
      <c r="I63" s="19">
        <v>8208.9</v>
      </c>
      <c r="J63" s="19">
        <f t="shared" si="2"/>
        <v>96.8</v>
      </c>
      <c r="K63" s="19">
        <v>1586.0</v>
      </c>
      <c r="L63" s="19"/>
    </row>
    <row r="64" ht="14.25" hidden="1" customHeight="1">
      <c r="B64" s="27">
        <v>45584.0</v>
      </c>
      <c r="C64" s="28">
        <v>45596.0</v>
      </c>
      <c r="D64" s="19" t="s">
        <v>74</v>
      </c>
      <c r="E64" s="19"/>
      <c r="F64" s="19" t="s">
        <v>43</v>
      </c>
      <c r="G64" s="19" t="s">
        <v>103</v>
      </c>
      <c r="H64" s="19">
        <v>8208.9</v>
      </c>
      <c r="I64" s="19">
        <v>8321.9</v>
      </c>
      <c r="J64" s="19">
        <f t="shared" si="2"/>
        <v>113</v>
      </c>
      <c r="K64" s="19">
        <v>2200.0</v>
      </c>
      <c r="L64" s="19"/>
    </row>
    <row r="65" ht="14.25" hidden="1" customHeight="1">
      <c r="B65" s="27">
        <v>45597.0</v>
      </c>
      <c r="C65" s="28">
        <v>45608.0</v>
      </c>
      <c r="D65" s="19" t="s">
        <v>235</v>
      </c>
      <c r="E65" s="19"/>
      <c r="F65" s="19" t="s">
        <v>227</v>
      </c>
      <c r="G65" s="19" t="s">
        <v>103</v>
      </c>
      <c r="H65" s="19">
        <v>8321.9</v>
      </c>
      <c r="I65" s="19">
        <v>8417.6</v>
      </c>
      <c r="J65" s="19">
        <f t="shared" si="2"/>
        <v>95.7</v>
      </c>
      <c r="K65" s="19">
        <v>1716.0</v>
      </c>
      <c r="L65" s="19"/>
    </row>
    <row r="66" ht="14.25" hidden="1" customHeight="1">
      <c r="B66" s="27">
        <v>45584.0</v>
      </c>
      <c r="C66" s="28">
        <v>45597.0</v>
      </c>
      <c r="D66" s="19" t="s">
        <v>236</v>
      </c>
      <c r="E66" s="19"/>
      <c r="F66" s="19" t="s">
        <v>212</v>
      </c>
      <c r="G66" s="19" t="s">
        <v>103</v>
      </c>
      <c r="H66" s="19">
        <v>8208.9</v>
      </c>
      <c r="I66" s="19">
        <v>8321.9</v>
      </c>
      <c r="J66" s="19">
        <f t="shared" si="2"/>
        <v>113</v>
      </c>
      <c r="K66" s="19"/>
      <c r="L66" s="19"/>
    </row>
    <row r="67" ht="14.25" hidden="1" customHeight="1">
      <c r="B67" s="27">
        <v>45614.0</v>
      </c>
      <c r="C67" s="28"/>
      <c r="D67" s="19"/>
      <c r="E67" s="19"/>
      <c r="F67" s="19"/>
      <c r="G67" s="19" t="s">
        <v>103</v>
      </c>
      <c r="H67" s="19">
        <v>8469.0</v>
      </c>
      <c r="I67" s="19"/>
      <c r="J67" s="19">
        <f t="shared" si="2"/>
        <v>-8469</v>
      </c>
      <c r="K67" s="19"/>
      <c r="L67" s="19"/>
    </row>
    <row r="68" ht="14.25" hidden="1" customHeight="1">
      <c r="B68" s="27"/>
      <c r="C68" s="28"/>
      <c r="D68" s="19"/>
      <c r="E68" s="19"/>
      <c r="F68" s="19"/>
      <c r="G68" s="19" t="s">
        <v>103</v>
      </c>
      <c r="H68" s="19"/>
      <c r="I68" s="19"/>
      <c r="J68" s="19">
        <f t="shared" si="2"/>
        <v>0</v>
      </c>
      <c r="K68" s="19"/>
      <c r="L68" s="19"/>
    </row>
    <row r="69" ht="14.25" hidden="1" customHeight="1">
      <c r="B69" s="27"/>
      <c r="C69" s="28"/>
      <c r="D69" s="19"/>
      <c r="E69" s="19"/>
      <c r="F69" s="19"/>
      <c r="G69" s="19" t="s">
        <v>103</v>
      </c>
      <c r="H69" s="19"/>
      <c r="I69" s="19"/>
      <c r="J69" s="19">
        <f t="shared" si="2"/>
        <v>0</v>
      </c>
      <c r="K69" s="19"/>
      <c r="L69" s="19"/>
    </row>
    <row r="70" ht="14.25" hidden="1" customHeight="1">
      <c r="B70" s="27"/>
      <c r="C70" s="28"/>
      <c r="D70" s="19"/>
      <c r="E70" s="19"/>
      <c r="F70" s="19"/>
      <c r="G70" s="19" t="s">
        <v>103</v>
      </c>
      <c r="H70" s="19"/>
      <c r="I70" s="19"/>
      <c r="J70" s="19">
        <f t="shared" si="2"/>
        <v>0</v>
      </c>
      <c r="K70" s="19"/>
      <c r="L70" s="19"/>
    </row>
    <row r="71" ht="14.25" hidden="1" customHeight="1">
      <c r="B71" s="27"/>
      <c r="C71" s="28"/>
      <c r="D71" s="19"/>
      <c r="E71" s="19"/>
      <c r="F71" s="19"/>
      <c r="G71" s="19" t="s">
        <v>103</v>
      </c>
      <c r="H71" s="19"/>
      <c r="I71" s="19"/>
      <c r="J71" s="19">
        <f t="shared" si="2"/>
        <v>0</v>
      </c>
      <c r="K71" s="19"/>
      <c r="L71" s="19"/>
    </row>
    <row r="72" ht="14.25" hidden="1" customHeight="1">
      <c r="B72" s="27"/>
      <c r="C72" s="28"/>
      <c r="D72" s="19"/>
      <c r="E72" s="19"/>
      <c r="F72" s="19"/>
      <c r="G72" s="19" t="s">
        <v>103</v>
      </c>
      <c r="H72" s="19"/>
      <c r="I72" s="19"/>
      <c r="J72" s="19">
        <f t="shared" si="2"/>
        <v>0</v>
      </c>
      <c r="K72" s="19"/>
      <c r="L72" s="19"/>
    </row>
    <row r="73" ht="14.25" hidden="1" customHeight="1">
      <c r="B73" s="27"/>
      <c r="C73" s="28"/>
      <c r="D73" s="19"/>
      <c r="E73" s="19"/>
      <c r="F73" s="19"/>
      <c r="G73" s="19" t="s">
        <v>103</v>
      </c>
      <c r="H73" s="19"/>
      <c r="I73" s="19"/>
      <c r="J73" s="19">
        <f t="shared" si="2"/>
        <v>0</v>
      </c>
      <c r="K73" s="19"/>
      <c r="L73" s="19"/>
    </row>
    <row r="74" ht="14.25" hidden="1" customHeight="1">
      <c r="B74" s="27"/>
      <c r="C74" s="28"/>
      <c r="D74" s="19"/>
      <c r="E74" s="19"/>
      <c r="F74" s="19"/>
      <c r="G74" s="19"/>
      <c r="H74" s="19"/>
      <c r="I74" s="19"/>
      <c r="J74" s="19">
        <f t="shared" si="2"/>
        <v>0</v>
      </c>
      <c r="K74" s="19"/>
      <c r="L74" s="19"/>
    </row>
    <row r="75" ht="14.25" hidden="1" customHeight="1">
      <c r="B75" s="32">
        <v>45597.0</v>
      </c>
      <c r="C75" s="33">
        <v>45608.0</v>
      </c>
      <c r="D75" s="34" t="s">
        <v>187</v>
      </c>
      <c r="E75" s="34"/>
      <c r="F75" s="34" t="s">
        <v>237</v>
      </c>
      <c r="G75" s="34" t="s">
        <v>205</v>
      </c>
      <c r="H75" s="34">
        <v>8320.7</v>
      </c>
      <c r="I75" s="34">
        <v>8417.6</v>
      </c>
      <c r="J75" s="34">
        <f t="shared" si="2"/>
        <v>96.9</v>
      </c>
      <c r="K75" s="19">
        <v>1716.0</v>
      </c>
      <c r="L75" s="19"/>
    </row>
    <row r="76" ht="14.25" hidden="1" customHeight="1">
      <c r="B76" s="35">
        <v>45604.0</v>
      </c>
      <c r="C76" s="36">
        <v>45608.0</v>
      </c>
      <c r="D76" s="37" t="s">
        <v>187</v>
      </c>
      <c r="E76" s="37"/>
      <c r="F76" s="37" t="s">
        <v>237</v>
      </c>
      <c r="G76" s="37" t="s">
        <v>238</v>
      </c>
      <c r="H76" s="37">
        <v>1091.6</v>
      </c>
      <c r="I76" s="37">
        <v>1173.8</v>
      </c>
      <c r="J76" s="37">
        <v>82.20000000000005</v>
      </c>
      <c r="K76" s="19"/>
      <c r="L76" s="19"/>
    </row>
    <row r="77" ht="14.25" hidden="1" customHeight="1">
      <c r="B77" s="35">
        <v>45614.0</v>
      </c>
      <c r="C77" s="36">
        <v>45614.0</v>
      </c>
      <c r="D77" s="37" t="s">
        <v>187</v>
      </c>
      <c r="E77" s="37"/>
      <c r="F77" s="37" t="s">
        <v>239</v>
      </c>
      <c r="G77" s="37" t="s">
        <v>240</v>
      </c>
      <c r="H77" s="37">
        <v>1046.7</v>
      </c>
      <c r="I77" s="37">
        <v>1049.8</v>
      </c>
      <c r="J77" s="37">
        <v>3.099999999999909</v>
      </c>
      <c r="K77" s="19"/>
      <c r="L77" s="19"/>
    </row>
    <row r="78" ht="14.25" hidden="1" customHeight="1">
      <c r="B78" s="38"/>
      <c r="C78" s="39"/>
      <c r="D78" s="40" t="s">
        <v>187</v>
      </c>
      <c r="E78" s="40"/>
      <c r="F78" s="40" t="s">
        <v>241</v>
      </c>
      <c r="G78" s="40"/>
      <c r="H78" s="40"/>
      <c r="I78" s="40"/>
      <c r="J78" s="40"/>
      <c r="K78" s="19"/>
      <c r="L78" s="19"/>
    </row>
    <row r="79" ht="14.25" hidden="1" customHeight="1">
      <c r="B79" s="27">
        <v>45597.0</v>
      </c>
      <c r="C79" s="28">
        <v>45608.0</v>
      </c>
      <c r="D79" s="19" t="s">
        <v>187</v>
      </c>
      <c r="E79" s="19"/>
      <c r="F79" s="19" t="s">
        <v>237</v>
      </c>
      <c r="G79" s="19" t="s">
        <v>103</v>
      </c>
      <c r="H79" s="19">
        <v>8321.9</v>
      </c>
      <c r="I79" s="19">
        <v>8417.6</v>
      </c>
      <c r="J79" s="19">
        <f t="shared" ref="J79:J134" si="3">I79-H79</f>
        <v>95.7</v>
      </c>
      <c r="K79" s="19"/>
      <c r="L79" s="19"/>
    </row>
    <row r="80" ht="14.25" hidden="1" customHeight="1">
      <c r="B80" s="27">
        <v>45609.0</v>
      </c>
      <c r="C80" s="28">
        <v>45609.0</v>
      </c>
      <c r="D80" s="19" t="s">
        <v>51</v>
      </c>
      <c r="E80" s="19"/>
      <c r="F80" s="19" t="s">
        <v>114</v>
      </c>
      <c r="G80" s="19" t="s">
        <v>103</v>
      </c>
      <c r="H80" s="19">
        <v>8417.6</v>
      </c>
      <c r="I80" s="19">
        <v>8423.2</v>
      </c>
      <c r="J80" s="19">
        <f t="shared" si="3"/>
        <v>5.6</v>
      </c>
      <c r="K80" s="19"/>
      <c r="L80" s="19"/>
    </row>
    <row r="81" ht="14.25" hidden="1" customHeight="1">
      <c r="B81" s="27">
        <v>45640.0</v>
      </c>
      <c r="C81" s="28">
        <v>45615.0</v>
      </c>
      <c r="D81" s="19" t="s">
        <v>242</v>
      </c>
      <c r="E81" s="19"/>
      <c r="F81" s="19"/>
      <c r="G81" s="19"/>
      <c r="H81" s="19">
        <v>8423.2</v>
      </c>
      <c r="I81" s="19">
        <v>8488.8</v>
      </c>
      <c r="J81" s="19">
        <f t="shared" si="3"/>
        <v>65.6</v>
      </c>
      <c r="K81" s="19"/>
      <c r="L81" s="19"/>
    </row>
    <row r="82" ht="14.25" hidden="1" customHeight="1">
      <c r="B82" s="27">
        <v>45616.0</v>
      </c>
      <c r="C82" s="28">
        <v>45617.0</v>
      </c>
      <c r="D82" s="19" t="s">
        <v>51</v>
      </c>
      <c r="E82" s="19"/>
      <c r="F82" s="19" t="s">
        <v>114</v>
      </c>
      <c r="G82" s="19"/>
      <c r="H82" s="19">
        <v>8488.8</v>
      </c>
      <c r="I82" s="19">
        <v>8509.9</v>
      </c>
      <c r="J82" s="19">
        <f t="shared" si="3"/>
        <v>21.1</v>
      </c>
      <c r="K82" s="19">
        <v>410.0</v>
      </c>
      <c r="L82" s="19"/>
    </row>
    <row r="83" ht="14.25" hidden="1" customHeight="1">
      <c r="B83" s="27">
        <v>45623.0</v>
      </c>
      <c r="C83" s="28">
        <v>45638.0</v>
      </c>
      <c r="D83" s="19" t="s">
        <v>51</v>
      </c>
      <c r="E83" s="19"/>
      <c r="F83" s="19" t="s">
        <v>52</v>
      </c>
      <c r="G83" s="19"/>
      <c r="H83" s="19">
        <v>8519.2</v>
      </c>
      <c r="I83" s="19">
        <v>8591.5</v>
      </c>
      <c r="J83" s="19">
        <f t="shared" si="3"/>
        <v>72.3</v>
      </c>
      <c r="K83" s="19">
        <v>1300.0</v>
      </c>
      <c r="L83" s="19"/>
    </row>
    <row r="84" ht="14.25" hidden="1" customHeight="1">
      <c r="B84" s="27">
        <v>45639.0</v>
      </c>
      <c r="C84" s="28">
        <v>45661.0</v>
      </c>
      <c r="D84" s="19"/>
      <c r="E84" s="19"/>
      <c r="F84" s="19" t="s">
        <v>243</v>
      </c>
      <c r="G84" s="19"/>
      <c r="H84" s="19">
        <v>8591.6</v>
      </c>
      <c r="I84" s="19">
        <v>8738.8</v>
      </c>
      <c r="J84" s="19">
        <f t="shared" si="3"/>
        <v>147.2</v>
      </c>
      <c r="K84" s="19">
        <v>3420.0</v>
      </c>
      <c r="L84" s="19"/>
    </row>
    <row r="85" ht="14.25" hidden="1" customHeight="1">
      <c r="B85" s="27">
        <v>45662.0</v>
      </c>
      <c r="C85" s="28">
        <v>45666.0</v>
      </c>
      <c r="D85" s="19"/>
      <c r="E85" s="19"/>
      <c r="F85" s="19" t="s">
        <v>75</v>
      </c>
      <c r="G85" s="19"/>
      <c r="H85" s="19">
        <v>8738.8</v>
      </c>
      <c r="I85" s="19">
        <v>8783.9</v>
      </c>
      <c r="J85" s="19">
        <f t="shared" si="3"/>
        <v>45.1</v>
      </c>
      <c r="K85" s="19">
        <v>925.0</v>
      </c>
      <c r="L85" s="19"/>
    </row>
    <row r="86" ht="14.25" hidden="1" customHeight="1">
      <c r="B86" s="27">
        <v>45670.0</v>
      </c>
      <c r="C86" s="28">
        <v>45671.0</v>
      </c>
      <c r="D86" s="19"/>
      <c r="E86" s="19"/>
      <c r="F86" s="19" t="s">
        <v>220</v>
      </c>
      <c r="G86" s="19"/>
      <c r="H86" s="19">
        <v>8796.8</v>
      </c>
      <c r="I86" s="19">
        <v>8809.7</v>
      </c>
      <c r="J86" s="19">
        <f t="shared" si="3"/>
        <v>12.9</v>
      </c>
      <c r="K86" s="19"/>
      <c r="L86" s="19"/>
    </row>
    <row r="87" ht="14.25" hidden="1" customHeight="1">
      <c r="B87" s="27">
        <v>45671.0</v>
      </c>
      <c r="C87" s="28">
        <v>45675.0</v>
      </c>
      <c r="D87" s="19" t="s">
        <v>112</v>
      </c>
      <c r="E87" s="19"/>
      <c r="F87" s="19"/>
      <c r="G87" s="19"/>
      <c r="H87" s="19">
        <v>8809.8</v>
      </c>
      <c r="I87" s="19">
        <v>8846.6</v>
      </c>
      <c r="J87" s="19">
        <f t="shared" si="3"/>
        <v>36.8</v>
      </c>
      <c r="K87" s="19">
        <v>675.0</v>
      </c>
      <c r="L87" s="19"/>
    </row>
    <row r="88" ht="14.25" hidden="1" customHeight="1">
      <c r="B88" s="27">
        <v>45675.0</v>
      </c>
      <c r="C88" s="28">
        <v>45686.0</v>
      </c>
      <c r="D88" s="19" t="s">
        <v>244</v>
      </c>
      <c r="E88" s="19"/>
      <c r="F88" s="19"/>
      <c r="G88" s="19"/>
      <c r="H88" s="19">
        <v>8846.6</v>
      </c>
      <c r="I88" s="19">
        <v>8939.5</v>
      </c>
      <c r="J88" s="19">
        <f t="shared" si="3"/>
        <v>92.9</v>
      </c>
      <c r="K88" s="19">
        <v>1636.0</v>
      </c>
      <c r="L88" s="19"/>
    </row>
    <row r="89" ht="14.25" hidden="1" customHeight="1">
      <c r="B89" s="27">
        <v>45686.0</v>
      </c>
      <c r="C89" s="28">
        <v>45688.0</v>
      </c>
      <c r="D89" s="19" t="s">
        <v>112</v>
      </c>
      <c r="E89" s="19"/>
      <c r="F89" s="19"/>
      <c r="G89" s="19"/>
      <c r="H89" s="19">
        <v>8939.5</v>
      </c>
      <c r="I89" s="19">
        <v>8956.4</v>
      </c>
      <c r="J89" s="19">
        <f t="shared" si="3"/>
        <v>16.9</v>
      </c>
      <c r="K89" s="19">
        <v>660.0</v>
      </c>
      <c r="L89" s="19"/>
    </row>
    <row r="90" ht="14.25" hidden="1" customHeight="1">
      <c r="B90" s="27">
        <v>45692.0</v>
      </c>
      <c r="C90" s="28">
        <v>45706.0</v>
      </c>
      <c r="D90" s="19"/>
      <c r="E90" s="19"/>
      <c r="F90" s="19" t="s">
        <v>245</v>
      </c>
      <c r="G90" s="19" t="s">
        <v>103</v>
      </c>
      <c r="H90" s="19">
        <v>8958.2</v>
      </c>
      <c r="I90" s="19">
        <v>9070.0</v>
      </c>
      <c r="J90" s="19">
        <f t="shared" si="3"/>
        <v>111.8</v>
      </c>
      <c r="K90" s="19">
        <v>1559.0</v>
      </c>
      <c r="L90" s="19"/>
    </row>
    <row r="91" ht="14.25" hidden="1" customHeight="1">
      <c r="B91" s="27">
        <v>45706.0</v>
      </c>
      <c r="C91" s="28">
        <v>45706.0</v>
      </c>
      <c r="D91" s="19" t="s">
        <v>246</v>
      </c>
      <c r="E91" s="19"/>
      <c r="F91" s="19"/>
      <c r="G91" s="19" t="s">
        <v>103</v>
      </c>
      <c r="H91" s="19">
        <v>9070.0</v>
      </c>
      <c r="I91" s="19">
        <v>9082.9</v>
      </c>
      <c r="J91" s="19">
        <f t="shared" si="3"/>
        <v>12.9</v>
      </c>
      <c r="K91" s="19">
        <v>237.0</v>
      </c>
      <c r="L91" s="19"/>
    </row>
    <row r="92" ht="14.25" hidden="1" customHeight="1">
      <c r="B92" s="27">
        <v>45708.0</v>
      </c>
      <c r="C92" s="28">
        <v>45716.0</v>
      </c>
      <c r="D92" s="19"/>
      <c r="E92" s="19"/>
      <c r="F92" s="19" t="s">
        <v>247</v>
      </c>
      <c r="G92" s="19" t="s">
        <v>103</v>
      </c>
      <c r="H92" s="19">
        <v>9082.9</v>
      </c>
      <c r="I92" s="19">
        <v>9184.2</v>
      </c>
      <c r="J92" s="19">
        <f t="shared" si="3"/>
        <v>101.3</v>
      </c>
      <c r="K92" s="19">
        <v>1548.0</v>
      </c>
      <c r="L92" s="19"/>
    </row>
    <row r="93" ht="14.25" hidden="1" customHeight="1">
      <c r="B93" s="27">
        <v>45720.0</v>
      </c>
      <c r="C93" s="28">
        <v>45747.0</v>
      </c>
      <c r="D93" s="19"/>
      <c r="E93" s="19"/>
      <c r="F93" s="19" t="s">
        <v>247</v>
      </c>
      <c r="G93" s="19" t="s">
        <v>103</v>
      </c>
      <c r="H93" s="19">
        <v>9198.2</v>
      </c>
      <c r="I93" s="19">
        <v>9469.0</v>
      </c>
      <c r="J93" s="19">
        <f t="shared" si="3"/>
        <v>270.8</v>
      </c>
      <c r="K93" s="19">
        <v>4310.0</v>
      </c>
      <c r="L93" s="19"/>
    </row>
    <row r="94" ht="14.25" hidden="1" customHeight="1">
      <c r="B94" s="27">
        <v>45383.0</v>
      </c>
      <c r="C94" s="28">
        <v>45750.0</v>
      </c>
      <c r="D94" s="19" t="s">
        <v>187</v>
      </c>
      <c r="E94" s="19"/>
      <c r="F94" s="19" t="s">
        <v>248</v>
      </c>
      <c r="G94" s="19" t="s">
        <v>249</v>
      </c>
      <c r="H94" s="19">
        <v>9469.0</v>
      </c>
      <c r="I94" s="19">
        <v>9495.3</v>
      </c>
      <c r="J94" s="19">
        <f t="shared" si="3"/>
        <v>26.3</v>
      </c>
      <c r="K94" s="19">
        <v>400.0</v>
      </c>
      <c r="L94" s="19"/>
    </row>
    <row r="95" ht="14.25" hidden="1" customHeight="1">
      <c r="B95" s="27">
        <v>45750.0</v>
      </c>
      <c r="C95" s="28">
        <v>45752.0</v>
      </c>
      <c r="D95" s="19"/>
      <c r="E95" s="19"/>
      <c r="F95" s="19" t="s">
        <v>250</v>
      </c>
      <c r="G95" s="19" t="s">
        <v>103</v>
      </c>
      <c r="H95" s="19">
        <v>9495.3</v>
      </c>
      <c r="I95" s="19">
        <v>9511.9</v>
      </c>
      <c r="J95" s="19">
        <f t="shared" si="3"/>
        <v>16.6</v>
      </c>
      <c r="K95" s="19">
        <v>200.0</v>
      </c>
      <c r="L95" s="19"/>
    </row>
    <row r="96" ht="14.25" hidden="1" customHeight="1">
      <c r="B96" s="27">
        <v>45754.0</v>
      </c>
      <c r="C96" s="28">
        <v>45762.0</v>
      </c>
      <c r="D96" s="19" t="s">
        <v>251</v>
      </c>
      <c r="E96" s="19"/>
      <c r="F96" s="19" t="s">
        <v>252</v>
      </c>
      <c r="G96" s="19" t="s">
        <v>103</v>
      </c>
      <c r="H96" s="19">
        <v>9511.9</v>
      </c>
      <c r="I96" s="19">
        <v>9601.0</v>
      </c>
      <c r="J96" s="19">
        <f t="shared" si="3"/>
        <v>89.1</v>
      </c>
      <c r="K96" s="19">
        <v>1105.0</v>
      </c>
      <c r="L96" s="19"/>
    </row>
    <row r="97" ht="14.25" hidden="1" customHeight="1">
      <c r="B97" s="27">
        <v>45763.0</v>
      </c>
      <c r="C97" s="28">
        <v>45777.0</v>
      </c>
      <c r="D97" s="19" t="s">
        <v>253</v>
      </c>
      <c r="E97" s="19"/>
      <c r="F97" s="19"/>
      <c r="G97" s="19" t="s">
        <v>103</v>
      </c>
      <c r="H97" s="19">
        <v>9601.1</v>
      </c>
      <c r="I97" s="19">
        <v>9724.0</v>
      </c>
      <c r="J97" s="19">
        <f t="shared" si="3"/>
        <v>122.9</v>
      </c>
      <c r="K97" s="19">
        <v>2220.0</v>
      </c>
      <c r="L97" s="19"/>
    </row>
    <row r="98" ht="14.25" hidden="1" customHeight="1">
      <c r="B98" s="27" t="s">
        <v>254</v>
      </c>
      <c r="C98" s="28">
        <v>45782.0</v>
      </c>
      <c r="D98" s="19" t="s">
        <v>242</v>
      </c>
      <c r="E98" s="19"/>
      <c r="F98" s="19"/>
      <c r="G98" s="19" t="s">
        <v>103</v>
      </c>
      <c r="H98" s="19">
        <v>9724.0</v>
      </c>
      <c r="I98" s="19">
        <v>9753.0</v>
      </c>
      <c r="J98" s="19">
        <f t="shared" si="3"/>
        <v>29</v>
      </c>
      <c r="K98" s="19">
        <v>450.0</v>
      </c>
      <c r="L98" s="19"/>
    </row>
    <row r="99" ht="14.25" customHeight="1">
      <c r="B99" s="27">
        <v>45789.0</v>
      </c>
      <c r="C99" s="28">
        <v>45808.0</v>
      </c>
      <c r="D99" s="19" t="s">
        <v>219</v>
      </c>
      <c r="E99" s="19"/>
      <c r="F99" s="19" t="s">
        <v>255</v>
      </c>
      <c r="G99" s="19" t="s">
        <v>103</v>
      </c>
      <c r="H99" s="19">
        <v>9761.6</v>
      </c>
      <c r="I99" s="19">
        <v>9872.0</v>
      </c>
      <c r="J99" s="19">
        <f t="shared" si="3"/>
        <v>110.4</v>
      </c>
      <c r="K99" s="19">
        <v>2829.0</v>
      </c>
      <c r="L99" s="19"/>
    </row>
    <row r="100" ht="14.25" customHeight="1">
      <c r="B100" s="27">
        <v>45809.0</v>
      </c>
      <c r="C100" s="28">
        <v>45826.0</v>
      </c>
      <c r="D100" s="19" t="s">
        <v>219</v>
      </c>
      <c r="E100" s="19"/>
      <c r="F100" s="19" t="s">
        <v>255</v>
      </c>
      <c r="G100" s="19" t="s">
        <v>103</v>
      </c>
      <c r="H100" s="19">
        <v>9872.0</v>
      </c>
      <c r="I100" s="19">
        <v>10033.6</v>
      </c>
      <c r="J100" s="19">
        <f t="shared" si="3"/>
        <v>161.6</v>
      </c>
      <c r="K100" s="19">
        <v>2751.0</v>
      </c>
      <c r="L100" s="19"/>
    </row>
    <row r="101" ht="14.25" hidden="1" customHeight="1">
      <c r="B101" s="27">
        <v>45831.0</v>
      </c>
      <c r="C101" s="28">
        <v>45838.0</v>
      </c>
      <c r="D101" s="19" t="s">
        <v>187</v>
      </c>
      <c r="E101" s="19"/>
      <c r="F101" s="19"/>
      <c r="G101" s="19" t="s">
        <v>103</v>
      </c>
      <c r="H101" s="19">
        <v>10047.2</v>
      </c>
      <c r="I101" s="19">
        <v>10131.0</v>
      </c>
      <c r="J101" s="19">
        <f t="shared" si="3"/>
        <v>83.8</v>
      </c>
      <c r="K101" s="19">
        <v>1597.0</v>
      </c>
      <c r="L101" s="19"/>
    </row>
    <row r="102" ht="14.25" hidden="1" customHeight="1">
      <c r="B102" s="27">
        <v>45839.0</v>
      </c>
      <c r="C102" s="28">
        <v>45869.0</v>
      </c>
      <c r="D102" s="19" t="s">
        <v>187</v>
      </c>
      <c r="E102" s="19"/>
      <c r="F102" s="19"/>
      <c r="G102" s="19" t="s">
        <v>103</v>
      </c>
      <c r="H102" s="19">
        <v>10131.0</v>
      </c>
      <c r="I102" s="19">
        <v>10394.0</v>
      </c>
      <c r="J102" s="19">
        <f t="shared" si="3"/>
        <v>263</v>
      </c>
      <c r="K102" s="19">
        <v>5753.0</v>
      </c>
      <c r="L102" s="19"/>
    </row>
    <row r="103" ht="14.25" hidden="1" customHeight="1">
      <c r="B103" s="27">
        <v>45870.0</v>
      </c>
      <c r="C103" s="28">
        <v>45889.0</v>
      </c>
      <c r="D103" s="19" t="s">
        <v>187</v>
      </c>
      <c r="E103" s="19"/>
      <c r="F103" s="19" t="s">
        <v>256</v>
      </c>
      <c r="G103" s="19" t="s">
        <v>103</v>
      </c>
      <c r="H103" s="19">
        <v>10394.0</v>
      </c>
      <c r="I103" s="19">
        <v>10506.5</v>
      </c>
      <c r="J103" s="19">
        <f t="shared" si="3"/>
        <v>112.5</v>
      </c>
      <c r="K103" s="19"/>
      <c r="L103" s="19"/>
    </row>
    <row r="104" ht="14.25" hidden="1" customHeight="1">
      <c r="B104" s="27"/>
      <c r="C104" s="28"/>
      <c r="D104" s="19" t="s">
        <v>197</v>
      </c>
      <c r="E104" s="19"/>
      <c r="F104" s="19"/>
      <c r="G104" s="19"/>
      <c r="H104" s="19"/>
      <c r="I104" s="19"/>
      <c r="J104" s="19">
        <f t="shared" si="3"/>
        <v>0</v>
      </c>
      <c r="K104" s="19"/>
      <c r="L104" s="19"/>
    </row>
    <row r="105" ht="14.25" hidden="1" customHeight="1">
      <c r="B105" s="27">
        <v>45912.0</v>
      </c>
      <c r="C105" s="28">
        <v>45926.0</v>
      </c>
      <c r="D105" s="19" t="s">
        <v>28</v>
      </c>
      <c r="E105" s="19"/>
      <c r="F105" s="19" t="s">
        <v>257</v>
      </c>
      <c r="G105" s="19" t="s">
        <v>103</v>
      </c>
      <c r="H105" s="19">
        <v>10516.2</v>
      </c>
      <c r="I105" s="19">
        <v>10639.8</v>
      </c>
      <c r="J105" s="19">
        <f t="shared" si="3"/>
        <v>123.6</v>
      </c>
      <c r="K105" s="19"/>
      <c r="L105" s="19"/>
    </row>
    <row r="106" ht="14.25" hidden="1" customHeight="1">
      <c r="B106" s="27">
        <v>45927.0</v>
      </c>
      <c r="C106" s="28">
        <v>45930.0</v>
      </c>
      <c r="D106" s="19" t="s">
        <v>258</v>
      </c>
      <c r="E106" s="19"/>
      <c r="F106" s="19"/>
      <c r="G106" s="19" t="s">
        <v>103</v>
      </c>
      <c r="H106" s="19">
        <v>10639.8</v>
      </c>
      <c r="I106" s="19">
        <v>10691.5</v>
      </c>
      <c r="J106" s="19">
        <f t="shared" si="3"/>
        <v>51.7</v>
      </c>
      <c r="K106" s="19"/>
      <c r="L106" s="19"/>
    </row>
    <row r="107" ht="14.25" hidden="1" customHeight="1">
      <c r="B107" s="27">
        <v>45931.0</v>
      </c>
      <c r="C107" s="28">
        <v>45931.0</v>
      </c>
      <c r="D107" s="19" t="s">
        <v>259</v>
      </c>
      <c r="E107" s="19"/>
      <c r="F107" s="19" t="s">
        <v>260</v>
      </c>
      <c r="G107" s="19" t="s">
        <v>103</v>
      </c>
      <c r="H107" s="19">
        <v>10691.5</v>
      </c>
      <c r="I107" s="29">
        <v>10693.8</v>
      </c>
      <c r="J107" s="19">
        <f t="shared" si="3"/>
        <v>2.3</v>
      </c>
      <c r="K107" s="19"/>
      <c r="L107" s="19"/>
    </row>
    <row r="108" ht="14.25" hidden="1" customHeight="1">
      <c r="B108" s="27">
        <v>45931.0</v>
      </c>
      <c r="C108" s="28">
        <v>45943.0</v>
      </c>
      <c r="D108" s="19" t="s">
        <v>74</v>
      </c>
      <c r="E108" s="19"/>
      <c r="F108" s="19"/>
      <c r="G108" s="19"/>
      <c r="H108" s="19">
        <v>10693.8</v>
      </c>
      <c r="I108" s="19">
        <v>10751.1</v>
      </c>
      <c r="J108" s="19">
        <f t="shared" si="3"/>
        <v>57.3</v>
      </c>
      <c r="K108" s="19"/>
      <c r="L108" s="19"/>
    </row>
    <row r="109" ht="14.25" hidden="1" customHeight="1">
      <c r="B109" s="27">
        <v>45947.0</v>
      </c>
      <c r="C109" s="28">
        <v>45951.0</v>
      </c>
      <c r="D109" s="19" t="s">
        <v>261</v>
      </c>
      <c r="E109" s="19"/>
      <c r="F109" s="19"/>
      <c r="G109" s="19" t="s">
        <v>262</v>
      </c>
      <c r="H109" s="19">
        <v>10755.5</v>
      </c>
      <c r="I109" s="19">
        <v>10795.4</v>
      </c>
      <c r="J109" s="19">
        <f t="shared" si="3"/>
        <v>39.9</v>
      </c>
      <c r="K109" s="19"/>
      <c r="L109" s="19"/>
    </row>
    <row r="110" ht="14.25" hidden="1" customHeight="1">
      <c r="B110" s="27">
        <v>45951.0</v>
      </c>
      <c r="C110" s="28">
        <v>45958.0</v>
      </c>
      <c r="D110" s="19" t="s">
        <v>263</v>
      </c>
      <c r="E110" s="19"/>
      <c r="F110" s="19"/>
      <c r="G110" s="19"/>
      <c r="H110" s="19">
        <v>10796.8</v>
      </c>
      <c r="I110" s="19">
        <v>10836.8</v>
      </c>
      <c r="J110" s="19">
        <f t="shared" si="3"/>
        <v>40</v>
      </c>
      <c r="K110" s="19"/>
      <c r="L110" s="19"/>
    </row>
    <row r="111" ht="14.25" hidden="1" customHeight="1">
      <c r="B111" s="27">
        <v>45959.0</v>
      </c>
      <c r="C111" s="28">
        <v>45959.0</v>
      </c>
      <c r="D111" s="19" t="s">
        <v>264</v>
      </c>
      <c r="E111" s="19"/>
      <c r="F111" s="19"/>
      <c r="G111" s="19" t="s">
        <v>103</v>
      </c>
      <c r="H111" s="19">
        <v>10837.8</v>
      </c>
      <c r="I111" s="19">
        <v>10846.5</v>
      </c>
      <c r="J111" s="19">
        <f t="shared" si="3"/>
        <v>8.7</v>
      </c>
      <c r="K111" s="19"/>
      <c r="L111" s="19"/>
    </row>
    <row r="112" ht="14.25" hidden="1" customHeight="1">
      <c r="B112" s="27">
        <v>45960.0</v>
      </c>
      <c r="C112" s="28">
        <v>45961.0</v>
      </c>
      <c r="D112" s="19" t="s">
        <v>265</v>
      </c>
      <c r="E112" s="19"/>
      <c r="F112" s="19"/>
      <c r="G112" s="19" t="s">
        <v>103</v>
      </c>
      <c r="H112" s="19">
        <v>10848.2</v>
      </c>
      <c r="I112" s="19">
        <v>10861.5</v>
      </c>
      <c r="J112" s="19">
        <f t="shared" si="3"/>
        <v>13.3</v>
      </c>
      <c r="K112" s="19"/>
      <c r="L112" s="19"/>
    </row>
    <row r="113" ht="14.25" hidden="1" customHeight="1">
      <c r="B113" s="41">
        <v>45962.0</v>
      </c>
      <c r="C113" s="42">
        <v>45991.0</v>
      </c>
      <c r="D113" s="29" t="s">
        <v>265</v>
      </c>
      <c r="E113" s="19"/>
      <c r="F113" s="19"/>
      <c r="G113" s="29" t="s">
        <v>103</v>
      </c>
      <c r="H113" s="29">
        <v>10861.5</v>
      </c>
      <c r="I113" s="29">
        <v>11090.1</v>
      </c>
      <c r="J113" s="19">
        <f t="shared" si="3"/>
        <v>228.6</v>
      </c>
      <c r="K113" s="29">
        <v>4010.0</v>
      </c>
      <c r="L113" s="19"/>
    </row>
    <row r="114" ht="14.25" hidden="1" customHeight="1">
      <c r="B114" s="41">
        <v>45992.0</v>
      </c>
      <c r="C114" s="42">
        <v>45993.0</v>
      </c>
      <c r="D114" s="29" t="s">
        <v>265</v>
      </c>
      <c r="E114" s="19"/>
      <c r="F114" s="19"/>
      <c r="G114" s="29" t="s">
        <v>103</v>
      </c>
      <c r="H114" s="29">
        <v>11090.1</v>
      </c>
      <c r="I114" s="29">
        <v>11103.2</v>
      </c>
      <c r="J114" s="19">
        <f t="shared" si="3"/>
        <v>13.1</v>
      </c>
      <c r="K114" s="29">
        <v>50.0</v>
      </c>
      <c r="L114" s="19"/>
    </row>
    <row r="115" ht="14.25" hidden="1" customHeight="1">
      <c r="B115" s="41">
        <v>45994.0</v>
      </c>
      <c r="C115" s="42">
        <v>46021.0</v>
      </c>
      <c r="D115" s="29" t="s">
        <v>266</v>
      </c>
      <c r="E115" s="19"/>
      <c r="F115" s="29" t="s">
        <v>90</v>
      </c>
      <c r="G115" s="29" t="s">
        <v>103</v>
      </c>
      <c r="H115" s="29">
        <v>11107.7</v>
      </c>
      <c r="I115" s="29">
        <v>11280.0</v>
      </c>
      <c r="J115" s="19">
        <f t="shared" si="3"/>
        <v>172.3</v>
      </c>
      <c r="K115" s="29">
        <v>450.0</v>
      </c>
      <c r="L115" s="19"/>
    </row>
    <row r="116" ht="14.25" hidden="1" customHeight="1">
      <c r="B116" s="27"/>
      <c r="C116" s="28"/>
      <c r="D116" s="19"/>
      <c r="E116" s="19"/>
      <c r="F116" s="19"/>
      <c r="G116" s="19"/>
      <c r="H116" s="19"/>
      <c r="I116" s="19"/>
      <c r="J116" s="19">
        <f t="shared" si="3"/>
        <v>0</v>
      </c>
      <c r="K116" s="19"/>
      <c r="L116" s="19"/>
    </row>
    <row r="117" ht="14.25" hidden="1" customHeight="1">
      <c r="B117" s="27"/>
      <c r="C117" s="28"/>
      <c r="D117" s="19"/>
      <c r="E117" s="19"/>
      <c r="F117" s="19"/>
      <c r="G117" s="19"/>
      <c r="H117" s="19"/>
      <c r="I117" s="19"/>
      <c r="J117" s="19">
        <f t="shared" si="3"/>
        <v>0</v>
      </c>
      <c r="K117" s="19"/>
      <c r="L117" s="19"/>
    </row>
    <row r="118" ht="14.25" hidden="1" customHeight="1">
      <c r="B118" s="27"/>
      <c r="C118" s="28"/>
      <c r="D118" s="19"/>
      <c r="E118" s="19"/>
      <c r="F118" s="19"/>
      <c r="G118" s="19"/>
      <c r="H118" s="19"/>
      <c r="I118" s="19"/>
      <c r="J118" s="19">
        <f t="shared" si="3"/>
        <v>0</v>
      </c>
      <c r="K118" s="19"/>
      <c r="L118" s="19"/>
    </row>
    <row r="119" ht="14.25" hidden="1" customHeight="1">
      <c r="B119" s="27"/>
      <c r="C119" s="28"/>
      <c r="D119" s="19"/>
      <c r="E119" s="19"/>
      <c r="F119" s="19"/>
      <c r="G119" s="19"/>
      <c r="H119" s="19"/>
      <c r="I119" s="19"/>
      <c r="J119" s="19">
        <f t="shared" si="3"/>
        <v>0</v>
      </c>
      <c r="K119" s="19"/>
      <c r="L119" s="19"/>
    </row>
    <row r="120" ht="14.25" hidden="1" customHeight="1">
      <c r="B120" s="27"/>
      <c r="C120" s="28"/>
      <c r="D120" s="19"/>
      <c r="E120" s="19"/>
      <c r="F120" s="19"/>
      <c r="G120" s="19"/>
      <c r="H120" s="19"/>
      <c r="I120" s="19"/>
      <c r="J120" s="19">
        <f t="shared" si="3"/>
        <v>0</v>
      </c>
      <c r="K120" s="19"/>
      <c r="L120" s="19"/>
    </row>
    <row r="121" ht="14.25" hidden="1" customHeight="1">
      <c r="B121" s="27"/>
      <c r="C121" s="28"/>
      <c r="D121" s="19"/>
      <c r="E121" s="19"/>
      <c r="F121" s="19"/>
      <c r="G121" s="19"/>
      <c r="H121" s="19"/>
      <c r="I121" s="19"/>
      <c r="J121" s="19">
        <f t="shared" si="3"/>
        <v>0</v>
      </c>
      <c r="K121" s="19"/>
      <c r="L121" s="19"/>
    </row>
    <row r="122" ht="14.25" hidden="1" customHeight="1">
      <c r="B122" s="27"/>
      <c r="C122" s="28"/>
      <c r="D122" s="19"/>
      <c r="E122" s="19"/>
      <c r="F122" s="19"/>
      <c r="G122" s="19"/>
      <c r="H122" s="19"/>
      <c r="I122" s="19"/>
      <c r="J122" s="19">
        <f t="shared" si="3"/>
        <v>0</v>
      </c>
      <c r="K122" s="19"/>
      <c r="L122" s="19"/>
    </row>
    <row r="123" ht="14.25" hidden="1" customHeight="1">
      <c r="B123" s="27"/>
      <c r="C123" s="28"/>
      <c r="D123" s="19"/>
      <c r="E123" s="19"/>
      <c r="F123" s="19"/>
      <c r="G123" s="19"/>
      <c r="H123" s="19"/>
      <c r="I123" s="19"/>
      <c r="J123" s="19">
        <f t="shared" si="3"/>
        <v>0</v>
      </c>
      <c r="K123" s="19"/>
      <c r="L123" s="19"/>
    </row>
    <row r="124" ht="14.25" hidden="1" customHeight="1">
      <c r="B124" s="27"/>
      <c r="C124" s="28"/>
      <c r="D124" s="19"/>
      <c r="E124" s="19"/>
      <c r="F124" s="19"/>
      <c r="G124" s="19"/>
      <c r="H124" s="19"/>
      <c r="I124" s="19"/>
      <c r="J124" s="19">
        <f t="shared" si="3"/>
        <v>0</v>
      </c>
      <c r="K124" s="19"/>
      <c r="L124" s="19"/>
    </row>
    <row r="125" ht="14.25" hidden="1" customHeight="1">
      <c r="B125" s="27"/>
      <c r="C125" s="28"/>
      <c r="D125" s="19"/>
      <c r="E125" s="19"/>
      <c r="F125" s="19"/>
      <c r="G125" s="19"/>
      <c r="H125" s="19"/>
      <c r="I125" s="19"/>
      <c r="J125" s="19">
        <f t="shared" si="3"/>
        <v>0</v>
      </c>
      <c r="K125" s="19"/>
      <c r="L125" s="19"/>
    </row>
    <row r="126" ht="14.25" hidden="1" customHeight="1">
      <c r="B126" s="27"/>
      <c r="C126" s="28"/>
      <c r="D126" s="19"/>
      <c r="E126" s="19"/>
      <c r="F126" s="19"/>
      <c r="G126" s="19"/>
      <c r="H126" s="19"/>
      <c r="I126" s="19"/>
      <c r="J126" s="19">
        <f t="shared" si="3"/>
        <v>0</v>
      </c>
      <c r="K126" s="19"/>
      <c r="L126" s="19"/>
    </row>
    <row r="127" ht="14.25" hidden="1" customHeight="1">
      <c r="B127" s="27"/>
      <c r="C127" s="28"/>
      <c r="D127" s="19"/>
      <c r="E127" s="19"/>
      <c r="F127" s="19"/>
      <c r="G127" s="19"/>
      <c r="H127" s="19"/>
      <c r="I127" s="19"/>
      <c r="J127" s="19">
        <f t="shared" si="3"/>
        <v>0</v>
      </c>
      <c r="K127" s="19"/>
      <c r="L127" s="19"/>
    </row>
    <row r="128" ht="14.25" hidden="1" customHeight="1">
      <c r="B128" s="27"/>
      <c r="C128" s="28"/>
      <c r="D128" s="19"/>
      <c r="E128" s="19"/>
      <c r="F128" s="19"/>
      <c r="G128" s="19"/>
      <c r="H128" s="19"/>
      <c r="I128" s="19"/>
      <c r="J128" s="19">
        <f t="shared" si="3"/>
        <v>0</v>
      </c>
      <c r="K128" s="19"/>
      <c r="L128" s="19"/>
    </row>
    <row r="129" ht="14.25" hidden="1" customHeight="1">
      <c r="B129" s="27"/>
      <c r="C129" s="28"/>
      <c r="D129" s="19"/>
      <c r="E129" s="19"/>
      <c r="F129" s="19"/>
      <c r="G129" s="19"/>
      <c r="H129" s="19"/>
      <c r="I129" s="19"/>
      <c r="J129" s="19">
        <f t="shared" si="3"/>
        <v>0</v>
      </c>
      <c r="K129" s="19"/>
      <c r="L129" s="19"/>
    </row>
    <row r="130" ht="14.25" hidden="1" customHeight="1">
      <c r="B130" s="27"/>
      <c r="C130" s="28"/>
      <c r="D130" s="19"/>
      <c r="E130" s="19"/>
      <c r="F130" s="19"/>
      <c r="G130" s="19"/>
      <c r="H130" s="19"/>
      <c r="I130" s="19"/>
      <c r="J130" s="19">
        <f t="shared" si="3"/>
        <v>0</v>
      </c>
      <c r="K130" s="19"/>
      <c r="L130" s="19"/>
    </row>
    <row r="131" ht="14.25" hidden="1" customHeight="1">
      <c r="B131" s="27"/>
      <c r="C131" s="28"/>
      <c r="D131" s="19"/>
      <c r="E131" s="19"/>
      <c r="F131" s="19"/>
      <c r="G131" s="19"/>
      <c r="H131" s="19"/>
      <c r="I131" s="19"/>
      <c r="J131" s="19">
        <f t="shared" si="3"/>
        <v>0</v>
      </c>
      <c r="K131" s="19"/>
      <c r="L131" s="19"/>
    </row>
    <row r="132" ht="14.25" hidden="1" customHeight="1">
      <c r="B132" s="27"/>
      <c r="C132" s="28"/>
      <c r="D132" s="19"/>
      <c r="E132" s="19"/>
      <c r="F132" s="19"/>
      <c r="G132" s="19"/>
      <c r="H132" s="19"/>
      <c r="I132" s="19"/>
      <c r="J132" s="19">
        <f t="shared" si="3"/>
        <v>0</v>
      </c>
      <c r="K132" s="19"/>
      <c r="L132" s="19"/>
    </row>
    <row r="133" ht="14.25" hidden="1" customHeight="1">
      <c r="B133" s="27"/>
      <c r="C133" s="28"/>
      <c r="D133" s="19"/>
      <c r="E133" s="19"/>
      <c r="F133" s="19"/>
      <c r="G133" s="19"/>
      <c r="H133" s="19"/>
      <c r="I133" s="19"/>
      <c r="J133" s="19">
        <f t="shared" si="3"/>
        <v>0</v>
      </c>
      <c r="K133" s="19"/>
      <c r="L133" s="19"/>
    </row>
    <row r="134" ht="14.25" hidden="1" customHeight="1">
      <c r="B134" s="27"/>
      <c r="C134" s="28"/>
      <c r="D134" s="19"/>
      <c r="E134" s="19"/>
      <c r="F134" s="19"/>
      <c r="G134" s="19"/>
      <c r="H134" s="19"/>
      <c r="I134" s="19"/>
      <c r="J134" s="19">
        <f t="shared" si="3"/>
        <v>0</v>
      </c>
      <c r="K134" s="19"/>
      <c r="L134" s="19"/>
    </row>
    <row r="135" ht="14.25" customHeight="1">
      <c r="B135" s="27"/>
      <c r="C135" s="28"/>
      <c r="D135" s="19"/>
      <c r="E135" s="19"/>
      <c r="F135" s="19"/>
      <c r="G135" s="19"/>
      <c r="H135" s="19"/>
      <c r="I135" s="19"/>
      <c r="J135" s="19"/>
      <c r="K135" s="19"/>
      <c r="L135" s="19"/>
    </row>
    <row r="136" ht="14.25" customHeight="1">
      <c r="B136" s="27"/>
      <c r="C136" s="28"/>
      <c r="D136" s="19"/>
      <c r="E136" s="19"/>
      <c r="F136" s="19"/>
      <c r="G136" s="19"/>
      <c r="H136" s="19"/>
      <c r="I136" s="19"/>
      <c r="J136" s="19"/>
      <c r="K136" s="19"/>
      <c r="L136" s="19"/>
    </row>
    <row r="137" ht="14.25" customHeight="1">
      <c r="B137" s="27"/>
      <c r="C137" s="28"/>
      <c r="D137" s="19"/>
      <c r="E137" s="19"/>
      <c r="F137" s="19"/>
      <c r="G137" s="19"/>
      <c r="H137" s="19"/>
      <c r="I137" s="19"/>
      <c r="J137" s="19"/>
      <c r="K137" s="19"/>
      <c r="L137" s="19"/>
    </row>
    <row r="138" ht="14.25" customHeight="1">
      <c r="B138" s="27"/>
      <c r="C138" s="28"/>
      <c r="D138" s="19"/>
      <c r="E138" s="19"/>
      <c r="F138" s="19"/>
      <c r="G138" s="19"/>
      <c r="H138" s="19"/>
      <c r="I138" s="19"/>
      <c r="J138" s="19"/>
      <c r="K138" s="19"/>
      <c r="L138" s="19"/>
    </row>
    <row r="139" ht="14.25" customHeight="1">
      <c r="B139" s="27"/>
      <c r="C139" s="28"/>
      <c r="D139" s="19"/>
      <c r="E139" s="19"/>
      <c r="F139" s="19"/>
      <c r="G139" s="19"/>
      <c r="H139" s="19"/>
      <c r="I139" s="19"/>
      <c r="J139" s="19"/>
      <c r="K139" s="19"/>
      <c r="L139" s="19"/>
    </row>
    <row r="140" ht="14.25" customHeight="1">
      <c r="B140" s="27"/>
      <c r="C140" s="28"/>
      <c r="D140" s="19"/>
      <c r="E140" s="19"/>
      <c r="F140" s="19"/>
      <c r="G140" s="19"/>
      <c r="H140" s="19"/>
      <c r="I140" s="19"/>
      <c r="J140" s="19"/>
      <c r="K140" s="19"/>
      <c r="L140" s="19"/>
    </row>
    <row r="141" ht="14.25" customHeight="1">
      <c r="B141" s="27"/>
      <c r="C141" s="28"/>
      <c r="D141" s="19"/>
      <c r="E141" s="19"/>
      <c r="F141" s="19"/>
      <c r="G141" s="19"/>
      <c r="H141" s="19"/>
      <c r="I141" s="19"/>
      <c r="J141" s="19"/>
      <c r="K141" s="19"/>
      <c r="L141" s="19"/>
    </row>
    <row r="142" ht="14.25" customHeight="1">
      <c r="B142" s="27"/>
      <c r="C142" s="28"/>
      <c r="D142" s="19"/>
      <c r="E142" s="19"/>
      <c r="F142" s="19"/>
      <c r="G142" s="19"/>
      <c r="H142" s="19"/>
      <c r="I142" s="19"/>
      <c r="J142" s="19"/>
      <c r="K142" s="19"/>
      <c r="L142" s="19"/>
    </row>
    <row r="143" ht="14.25" customHeight="1">
      <c r="B143" s="27"/>
      <c r="C143" s="28"/>
      <c r="D143" s="19"/>
      <c r="E143" s="19"/>
      <c r="F143" s="19"/>
      <c r="G143" s="19"/>
      <c r="H143" s="19"/>
      <c r="I143" s="19"/>
      <c r="J143" s="19"/>
      <c r="K143" s="19"/>
      <c r="L143" s="19"/>
    </row>
    <row r="144" ht="14.25" customHeight="1">
      <c r="B144" s="27"/>
      <c r="C144" s="28"/>
      <c r="D144" s="19"/>
      <c r="E144" s="19"/>
      <c r="F144" s="19"/>
      <c r="G144" s="19"/>
      <c r="H144" s="19"/>
      <c r="I144" s="19"/>
      <c r="J144" s="19"/>
      <c r="K144" s="19"/>
      <c r="L144" s="19"/>
    </row>
    <row r="145" ht="14.25" customHeight="1">
      <c r="B145" s="27"/>
      <c r="C145" s="28"/>
      <c r="D145" s="19"/>
      <c r="E145" s="19"/>
      <c r="F145" s="19"/>
      <c r="G145" s="19"/>
      <c r="H145" s="19"/>
      <c r="I145" s="19"/>
      <c r="J145" s="19"/>
      <c r="K145" s="19"/>
      <c r="L145" s="19"/>
    </row>
    <row r="146" ht="14.25" customHeight="1">
      <c r="B146" s="27"/>
      <c r="C146" s="28"/>
      <c r="D146" s="19"/>
      <c r="E146" s="19"/>
      <c r="F146" s="19"/>
      <c r="G146" s="19"/>
      <c r="H146" s="19"/>
      <c r="I146" s="19"/>
      <c r="J146" s="19"/>
      <c r="K146" s="19"/>
      <c r="L146" s="19"/>
    </row>
    <row r="147" ht="14.25" customHeight="1">
      <c r="B147" s="27"/>
      <c r="C147" s="28"/>
      <c r="D147" s="19"/>
      <c r="E147" s="19"/>
      <c r="F147" s="19"/>
      <c r="G147" s="19"/>
      <c r="H147" s="19"/>
      <c r="I147" s="19"/>
      <c r="J147" s="19"/>
      <c r="K147" s="19"/>
      <c r="L147" s="19"/>
    </row>
    <row r="148" ht="14.25" customHeight="1">
      <c r="B148" s="27"/>
      <c r="C148" s="28"/>
      <c r="D148" s="19"/>
      <c r="E148" s="19"/>
      <c r="F148" s="19"/>
      <c r="G148" s="19"/>
      <c r="H148" s="19"/>
      <c r="I148" s="19"/>
      <c r="J148" s="19"/>
      <c r="K148" s="19"/>
      <c r="L148" s="19"/>
    </row>
    <row r="149" ht="14.25" customHeight="1">
      <c r="B149" s="27"/>
      <c r="C149" s="28"/>
      <c r="D149" s="19"/>
      <c r="E149" s="19"/>
      <c r="F149" s="19"/>
      <c r="G149" s="19"/>
      <c r="H149" s="19"/>
      <c r="I149" s="19"/>
      <c r="J149" s="19"/>
      <c r="K149" s="19"/>
      <c r="L149" s="19"/>
    </row>
    <row r="150" ht="14.25" customHeight="1">
      <c r="B150" s="27"/>
      <c r="C150" s="28"/>
      <c r="D150" s="19"/>
      <c r="E150" s="19"/>
      <c r="F150" s="19"/>
      <c r="G150" s="19"/>
      <c r="H150" s="19"/>
      <c r="I150" s="19"/>
      <c r="J150" s="19"/>
      <c r="K150" s="19"/>
      <c r="L150" s="19"/>
    </row>
    <row r="151" ht="14.25" customHeight="1">
      <c r="B151" s="27"/>
      <c r="C151" s="28"/>
      <c r="D151" s="19"/>
      <c r="E151" s="19"/>
      <c r="F151" s="19"/>
      <c r="G151" s="19"/>
      <c r="H151" s="19"/>
      <c r="I151" s="19"/>
      <c r="J151" s="19"/>
      <c r="K151" s="19"/>
      <c r="L151" s="19"/>
    </row>
    <row r="152" ht="14.25" customHeight="1">
      <c r="B152" s="27"/>
      <c r="C152" s="28"/>
      <c r="D152" s="19"/>
      <c r="E152" s="19"/>
      <c r="F152" s="19"/>
      <c r="G152" s="19"/>
      <c r="H152" s="19"/>
      <c r="I152" s="19"/>
      <c r="J152" s="19"/>
      <c r="K152" s="19"/>
      <c r="L152" s="19"/>
    </row>
    <row r="153" ht="14.25" customHeight="1">
      <c r="B153" s="27"/>
      <c r="C153" s="28"/>
      <c r="D153" s="19"/>
      <c r="E153" s="19"/>
      <c r="F153" s="19"/>
      <c r="G153" s="19"/>
      <c r="H153" s="19"/>
      <c r="I153" s="19"/>
      <c r="J153" s="19"/>
      <c r="K153" s="19"/>
      <c r="L153" s="19"/>
    </row>
    <row r="154" ht="14.25" customHeight="1">
      <c r="B154" s="27"/>
      <c r="C154" s="28"/>
      <c r="D154" s="19"/>
      <c r="E154" s="19"/>
      <c r="F154" s="19"/>
      <c r="G154" s="19"/>
      <c r="H154" s="19"/>
      <c r="I154" s="19"/>
      <c r="J154" s="19"/>
      <c r="K154" s="19"/>
      <c r="L154" s="19"/>
    </row>
    <row r="155" ht="14.25" customHeight="1">
      <c r="B155" s="27"/>
      <c r="C155" s="28"/>
      <c r="D155" s="19"/>
      <c r="E155" s="19"/>
      <c r="F155" s="19"/>
      <c r="G155" s="19"/>
      <c r="H155" s="19"/>
      <c r="I155" s="19"/>
      <c r="J155" s="19"/>
      <c r="K155" s="19"/>
      <c r="L155" s="19"/>
    </row>
    <row r="156" ht="14.25" customHeight="1">
      <c r="B156" s="27"/>
      <c r="C156" s="28"/>
      <c r="D156" s="19"/>
      <c r="E156" s="19"/>
      <c r="F156" s="19"/>
      <c r="G156" s="19"/>
      <c r="H156" s="19"/>
      <c r="I156" s="19"/>
      <c r="J156" s="19"/>
      <c r="K156" s="19"/>
      <c r="L156" s="19"/>
    </row>
    <row r="157" ht="14.25" customHeight="1">
      <c r="B157" s="27"/>
      <c r="C157" s="28"/>
      <c r="D157" s="19"/>
      <c r="E157" s="19"/>
      <c r="F157" s="19"/>
      <c r="G157" s="19"/>
      <c r="H157" s="19"/>
      <c r="I157" s="19"/>
      <c r="J157" s="19"/>
      <c r="K157" s="19"/>
      <c r="L157" s="19"/>
    </row>
    <row r="158" ht="14.25" customHeight="1">
      <c r="B158" s="27"/>
      <c r="C158" s="28"/>
      <c r="D158" s="19"/>
      <c r="E158" s="19"/>
      <c r="F158" s="19"/>
      <c r="G158" s="19"/>
      <c r="H158" s="19"/>
      <c r="I158" s="19"/>
      <c r="J158" s="19"/>
      <c r="K158" s="19"/>
      <c r="L158" s="19"/>
    </row>
    <row r="159" ht="14.25" customHeight="1">
      <c r="B159" s="27"/>
      <c r="C159" s="28"/>
      <c r="D159" s="19"/>
      <c r="E159" s="19"/>
      <c r="F159" s="19"/>
      <c r="G159" s="19"/>
      <c r="H159" s="19"/>
      <c r="I159" s="19"/>
      <c r="J159" s="19"/>
      <c r="K159" s="19"/>
      <c r="L159" s="19"/>
    </row>
    <row r="160" ht="14.25" customHeight="1">
      <c r="B160" s="27"/>
      <c r="C160" s="28"/>
      <c r="D160" s="19"/>
      <c r="E160" s="19"/>
      <c r="F160" s="19"/>
      <c r="G160" s="19"/>
      <c r="H160" s="19"/>
      <c r="I160" s="19"/>
      <c r="J160" s="19"/>
      <c r="K160" s="19"/>
      <c r="L160" s="19"/>
    </row>
    <row r="161" ht="14.25" customHeight="1">
      <c r="B161" s="27"/>
      <c r="C161" s="28"/>
      <c r="D161" s="19"/>
      <c r="E161" s="19"/>
      <c r="F161" s="19"/>
      <c r="G161" s="19"/>
      <c r="H161" s="19"/>
      <c r="I161" s="19"/>
      <c r="J161" s="19"/>
      <c r="K161" s="19"/>
      <c r="L161" s="19"/>
    </row>
    <row r="162" ht="14.25" customHeight="1">
      <c r="B162" s="27"/>
      <c r="C162" s="28"/>
      <c r="D162" s="19"/>
      <c r="E162" s="19"/>
      <c r="F162" s="19"/>
      <c r="G162" s="19"/>
      <c r="H162" s="19"/>
      <c r="I162" s="19"/>
      <c r="J162" s="19"/>
      <c r="K162" s="19"/>
      <c r="L162" s="19"/>
    </row>
    <row r="163" ht="14.25" customHeight="1">
      <c r="B163" s="27"/>
      <c r="C163" s="28"/>
      <c r="D163" s="19"/>
      <c r="E163" s="19"/>
      <c r="F163" s="19"/>
      <c r="G163" s="19"/>
      <c r="H163" s="19"/>
      <c r="I163" s="19"/>
      <c r="J163" s="19"/>
      <c r="K163" s="19"/>
      <c r="L163" s="19"/>
    </row>
    <row r="164" ht="14.25" customHeight="1">
      <c r="B164" s="27"/>
      <c r="C164" s="28"/>
      <c r="D164" s="19"/>
      <c r="E164" s="19"/>
      <c r="F164" s="19"/>
      <c r="G164" s="19"/>
      <c r="H164" s="19"/>
      <c r="I164" s="19"/>
      <c r="J164" s="19"/>
      <c r="K164" s="19"/>
      <c r="L164" s="19"/>
    </row>
    <row r="165" ht="14.25" customHeight="1">
      <c r="B165" s="27"/>
      <c r="C165" s="28"/>
      <c r="D165" s="19"/>
      <c r="E165" s="19"/>
      <c r="F165" s="19"/>
      <c r="G165" s="19"/>
      <c r="H165" s="19"/>
      <c r="I165" s="19"/>
      <c r="J165" s="19"/>
      <c r="K165" s="19"/>
      <c r="L165" s="19"/>
    </row>
    <row r="166" ht="14.25" customHeight="1">
      <c r="B166" s="27"/>
      <c r="C166" s="28"/>
      <c r="D166" s="19"/>
      <c r="E166" s="19"/>
      <c r="F166" s="19"/>
      <c r="G166" s="19"/>
      <c r="H166" s="19"/>
      <c r="I166" s="19"/>
      <c r="J166" s="19"/>
      <c r="K166" s="19"/>
      <c r="L166" s="19"/>
    </row>
    <row r="167" ht="14.25" customHeight="1">
      <c r="B167" s="27"/>
      <c r="C167" s="28"/>
      <c r="D167" s="19"/>
      <c r="E167" s="19"/>
      <c r="F167" s="19"/>
      <c r="G167" s="19"/>
      <c r="H167" s="19"/>
      <c r="I167" s="19"/>
      <c r="J167" s="19"/>
      <c r="K167" s="19"/>
      <c r="L167" s="19"/>
    </row>
    <row r="168" ht="14.25" customHeight="1">
      <c r="B168" s="27"/>
      <c r="C168" s="28"/>
      <c r="D168" s="19"/>
      <c r="E168" s="19"/>
      <c r="F168" s="19"/>
      <c r="G168" s="19"/>
      <c r="H168" s="19"/>
      <c r="I168" s="19"/>
      <c r="J168" s="19"/>
      <c r="K168" s="19"/>
      <c r="L168" s="19"/>
    </row>
    <row r="169" ht="14.25" customHeight="1">
      <c r="B169" s="27"/>
      <c r="C169" s="28"/>
      <c r="D169" s="19"/>
      <c r="E169" s="19"/>
      <c r="F169" s="19"/>
      <c r="G169" s="19"/>
      <c r="H169" s="19"/>
      <c r="I169" s="19"/>
      <c r="J169" s="19"/>
      <c r="K169" s="19"/>
      <c r="L169" s="19"/>
    </row>
    <row r="170" ht="14.25" customHeight="1">
      <c r="B170" s="27"/>
      <c r="C170" s="28"/>
      <c r="D170" s="19"/>
      <c r="E170" s="19"/>
      <c r="F170" s="19"/>
      <c r="G170" s="19"/>
      <c r="H170" s="19"/>
      <c r="I170" s="19"/>
      <c r="J170" s="19"/>
      <c r="K170" s="19"/>
      <c r="L170" s="19"/>
    </row>
    <row r="171" ht="14.25" customHeight="1">
      <c r="B171" s="27"/>
      <c r="C171" s="28"/>
      <c r="D171" s="19"/>
      <c r="E171" s="19"/>
      <c r="F171" s="19"/>
      <c r="G171" s="19"/>
      <c r="H171" s="19"/>
      <c r="I171" s="19"/>
      <c r="J171" s="19"/>
      <c r="K171" s="19"/>
      <c r="L171" s="19"/>
    </row>
    <row r="172" ht="14.25" customHeight="1">
      <c r="B172" s="27"/>
      <c r="C172" s="28"/>
      <c r="D172" s="19"/>
      <c r="E172" s="19"/>
      <c r="F172" s="19"/>
      <c r="G172" s="19"/>
      <c r="H172" s="19"/>
      <c r="I172" s="19"/>
      <c r="J172" s="19"/>
      <c r="K172" s="19"/>
      <c r="L172" s="19"/>
    </row>
    <row r="173" ht="14.25" customHeight="1">
      <c r="B173" s="27"/>
      <c r="C173" s="28"/>
      <c r="D173" s="19"/>
      <c r="E173" s="19"/>
      <c r="F173" s="19"/>
      <c r="G173" s="19"/>
      <c r="H173" s="19"/>
      <c r="I173" s="19"/>
      <c r="J173" s="19"/>
      <c r="K173" s="19"/>
      <c r="L173" s="19"/>
    </row>
    <row r="174" ht="14.25" customHeight="1">
      <c r="B174" s="27"/>
      <c r="C174" s="28"/>
      <c r="D174" s="19"/>
      <c r="E174" s="19"/>
      <c r="F174" s="19"/>
      <c r="G174" s="19"/>
      <c r="H174" s="19"/>
      <c r="I174" s="19"/>
      <c r="J174" s="19"/>
      <c r="K174" s="19"/>
      <c r="L174" s="19"/>
    </row>
    <row r="175" ht="14.25" customHeight="1">
      <c r="B175" s="27"/>
      <c r="C175" s="28"/>
      <c r="D175" s="19"/>
      <c r="E175" s="19"/>
      <c r="F175" s="19"/>
      <c r="G175" s="19"/>
      <c r="H175" s="19"/>
      <c r="I175" s="19"/>
      <c r="J175" s="19"/>
      <c r="K175" s="19"/>
      <c r="L175" s="19"/>
    </row>
    <row r="176" ht="14.25" customHeight="1">
      <c r="B176" s="27"/>
      <c r="C176" s="28"/>
      <c r="D176" s="19"/>
      <c r="E176" s="19"/>
      <c r="F176" s="19"/>
      <c r="G176" s="19"/>
      <c r="H176" s="19"/>
      <c r="I176" s="19"/>
      <c r="J176" s="19"/>
      <c r="K176" s="19"/>
      <c r="L176" s="19"/>
    </row>
    <row r="177" ht="14.25" customHeight="1">
      <c r="B177" s="27"/>
      <c r="C177" s="28"/>
      <c r="D177" s="19"/>
      <c r="E177" s="19"/>
      <c r="F177" s="19"/>
      <c r="G177" s="19"/>
      <c r="H177" s="19"/>
      <c r="I177" s="19"/>
      <c r="J177" s="19"/>
      <c r="K177" s="19"/>
      <c r="L177" s="19"/>
    </row>
    <row r="178" ht="14.25" customHeight="1">
      <c r="B178" s="27"/>
      <c r="C178" s="28"/>
      <c r="D178" s="19"/>
      <c r="E178" s="19"/>
      <c r="F178" s="19"/>
      <c r="G178" s="19"/>
      <c r="H178" s="19"/>
      <c r="I178" s="19"/>
      <c r="J178" s="19"/>
      <c r="K178" s="19"/>
      <c r="L178" s="19"/>
    </row>
    <row r="179" ht="14.25" customHeight="1">
      <c r="B179" s="27"/>
      <c r="C179" s="28"/>
      <c r="D179" s="19"/>
      <c r="E179" s="19"/>
      <c r="F179" s="19"/>
      <c r="G179" s="19"/>
      <c r="H179" s="19"/>
      <c r="I179" s="19"/>
      <c r="J179" s="19"/>
      <c r="K179" s="19"/>
      <c r="L179" s="19"/>
    </row>
    <row r="180" ht="14.25" customHeight="1">
      <c r="B180" s="27"/>
      <c r="C180" s="28"/>
      <c r="D180" s="19"/>
      <c r="E180" s="19"/>
      <c r="F180" s="19"/>
      <c r="G180" s="19"/>
      <c r="H180" s="19"/>
      <c r="I180" s="19"/>
      <c r="J180" s="19"/>
      <c r="K180" s="19"/>
      <c r="L180" s="19"/>
    </row>
    <row r="181" ht="14.25" customHeight="1">
      <c r="B181" s="27"/>
      <c r="C181" s="28"/>
      <c r="D181" s="19"/>
      <c r="E181" s="19"/>
      <c r="F181" s="19"/>
      <c r="G181" s="19"/>
      <c r="H181" s="19"/>
      <c r="I181" s="19"/>
      <c r="J181" s="19"/>
      <c r="K181" s="19"/>
      <c r="L181" s="19"/>
    </row>
    <row r="182" ht="14.25" customHeight="1">
      <c r="B182" s="27"/>
      <c r="C182" s="28"/>
      <c r="D182" s="19"/>
      <c r="E182" s="19"/>
      <c r="F182" s="19"/>
      <c r="G182" s="19"/>
      <c r="H182" s="19"/>
      <c r="I182" s="19"/>
      <c r="J182" s="19"/>
      <c r="K182" s="19"/>
      <c r="L182" s="19"/>
    </row>
    <row r="183" ht="14.25" customHeight="1">
      <c r="B183" s="27"/>
      <c r="C183" s="28"/>
      <c r="D183" s="19"/>
      <c r="E183" s="19"/>
      <c r="F183" s="19"/>
      <c r="G183" s="19"/>
      <c r="H183" s="19"/>
      <c r="I183" s="19"/>
      <c r="J183" s="19"/>
      <c r="K183" s="19"/>
      <c r="L183" s="19"/>
    </row>
    <row r="184" ht="14.25" customHeight="1">
      <c r="B184" s="27"/>
      <c r="C184" s="28"/>
      <c r="D184" s="19"/>
      <c r="E184" s="19"/>
      <c r="F184" s="19"/>
      <c r="G184" s="19"/>
      <c r="H184" s="19"/>
      <c r="I184" s="19"/>
      <c r="J184" s="19"/>
      <c r="K184" s="19"/>
      <c r="L184" s="19"/>
    </row>
    <row r="185" ht="14.25" customHeight="1">
      <c r="B185" s="27"/>
      <c r="C185" s="28"/>
      <c r="D185" s="19"/>
      <c r="E185" s="19"/>
      <c r="F185" s="19"/>
      <c r="G185" s="19"/>
      <c r="H185" s="19"/>
      <c r="I185" s="19"/>
      <c r="J185" s="19"/>
      <c r="K185" s="19"/>
      <c r="L185" s="19"/>
    </row>
    <row r="186" ht="14.25" customHeight="1">
      <c r="B186" s="27"/>
      <c r="C186" s="28"/>
      <c r="D186" s="19"/>
      <c r="E186" s="19"/>
      <c r="F186" s="19"/>
      <c r="G186" s="19"/>
      <c r="H186" s="19"/>
      <c r="I186" s="19"/>
      <c r="J186" s="19"/>
      <c r="K186" s="19"/>
      <c r="L186" s="19"/>
    </row>
    <row r="187" ht="14.25" customHeight="1">
      <c r="B187" s="27"/>
      <c r="C187" s="28"/>
      <c r="D187" s="19"/>
      <c r="E187" s="19"/>
      <c r="F187" s="19"/>
      <c r="G187" s="19"/>
      <c r="H187" s="19"/>
      <c r="I187" s="19"/>
      <c r="J187" s="19"/>
      <c r="K187" s="19"/>
      <c r="L187" s="19"/>
    </row>
    <row r="188" ht="14.25" customHeight="1">
      <c r="B188" s="27"/>
      <c r="C188" s="28"/>
      <c r="D188" s="19"/>
      <c r="E188" s="19"/>
      <c r="F188" s="19"/>
      <c r="G188" s="19"/>
      <c r="H188" s="19"/>
      <c r="I188" s="19"/>
      <c r="J188" s="19"/>
      <c r="K188" s="19"/>
      <c r="L188" s="19"/>
    </row>
    <row r="189" ht="14.25" customHeight="1">
      <c r="B189" s="27"/>
      <c r="C189" s="28"/>
      <c r="D189" s="19"/>
      <c r="E189" s="19"/>
      <c r="F189" s="19"/>
      <c r="G189" s="19"/>
      <c r="H189" s="19"/>
      <c r="I189" s="19"/>
      <c r="J189" s="19"/>
      <c r="K189" s="19"/>
      <c r="L189" s="19"/>
    </row>
    <row r="190" ht="14.25" customHeight="1">
      <c r="B190" s="27"/>
      <c r="C190" s="28"/>
      <c r="D190" s="19"/>
      <c r="E190" s="19"/>
      <c r="F190" s="19"/>
      <c r="G190" s="19"/>
      <c r="H190" s="19"/>
      <c r="I190" s="19"/>
      <c r="J190" s="19"/>
      <c r="K190" s="19"/>
      <c r="L190" s="19"/>
    </row>
    <row r="191" ht="14.25" customHeight="1">
      <c r="B191" s="27"/>
      <c r="C191" s="28"/>
      <c r="D191" s="19"/>
      <c r="E191" s="19"/>
      <c r="F191" s="19"/>
      <c r="G191" s="19"/>
      <c r="H191" s="19"/>
      <c r="I191" s="19"/>
      <c r="J191" s="19"/>
      <c r="K191" s="19"/>
      <c r="L191" s="19"/>
    </row>
    <row r="192" ht="14.25" customHeight="1">
      <c r="B192" s="27"/>
      <c r="C192" s="28"/>
      <c r="D192" s="19"/>
      <c r="E192" s="19"/>
      <c r="F192" s="19"/>
      <c r="G192" s="19"/>
      <c r="H192" s="19"/>
      <c r="I192" s="19"/>
      <c r="J192" s="19"/>
      <c r="K192" s="19"/>
      <c r="L192" s="19"/>
    </row>
    <row r="193" ht="14.25" customHeight="1">
      <c r="B193" s="27"/>
      <c r="C193" s="28"/>
      <c r="D193" s="19"/>
      <c r="E193" s="19"/>
      <c r="F193" s="19"/>
      <c r="G193" s="19"/>
      <c r="H193" s="19"/>
      <c r="I193" s="19"/>
      <c r="J193" s="19"/>
      <c r="K193" s="19"/>
      <c r="L193" s="19"/>
    </row>
    <row r="194" ht="14.25" customHeight="1">
      <c r="B194" s="27"/>
      <c r="C194" s="28"/>
      <c r="D194" s="19"/>
      <c r="E194" s="19"/>
      <c r="F194" s="19"/>
      <c r="G194" s="19"/>
      <c r="H194" s="19"/>
      <c r="I194" s="19"/>
      <c r="J194" s="19"/>
      <c r="K194" s="19"/>
      <c r="L194" s="19"/>
    </row>
    <row r="195" ht="14.25" customHeight="1">
      <c r="B195" s="27"/>
      <c r="C195" s="28"/>
      <c r="D195" s="19"/>
      <c r="E195" s="19"/>
      <c r="F195" s="19"/>
      <c r="G195" s="19"/>
      <c r="H195" s="19"/>
      <c r="I195" s="19"/>
      <c r="J195" s="19"/>
      <c r="K195" s="19"/>
      <c r="L195" s="19"/>
    </row>
    <row r="196" ht="14.25" customHeight="1">
      <c r="B196" s="27"/>
      <c r="C196" s="28"/>
      <c r="D196" s="19"/>
      <c r="E196" s="19"/>
      <c r="F196" s="19"/>
      <c r="G196" s="19"/>
      <c r="H196" s="19"/>
      <c r="I196" s="19"/>
      <c r="J196" s="19"/>
      <c r="K196" s="19"/>
      <c r="L196" s="19"/>
    </row>
    <row r="197" ht="14.25" customHeight="1">
      <c r="B197" s="27"/>
      <c r="C197" s="28"/>
      <c r="D197" s="19"/>
      <c r="E197" s="19"/>
      <c r="F197" s="19"/>
      <c r="G197" s="19"/>
      <c r="H197" s="19"/>
      <c r="I197" s="19"/>
      <c r="J197" s="19"/>
      <c r="K197" s="19"/>
      <c r="L197" s="19"/>
    </row>
    <row r="198" ht="14.25" customHeight="1">
      <c r="B198" s="27"/>
      <c r="C198" s="28"/>
      <c r="D198" s="19"/>
      <c r="E198" s="19"/>
      <c r="F198" s="19"/>
      <c r="G198" s="19"/>
      <c r="H198" s="19"/>
      <c r="I198" s="19"/>
      <c r="J198" s="19"/>
      <c r="K198" s="19"/>
      <c r="L198" s="19"/>
    </row>
    <row r="199" ht="14.25" customHeight="1">
      <c r="B199" s="27"/>
      <c r="C199" s="28"/>
      <c r="D199" s="19"/>
      <c r="E199" s="19"/>
      <c r="F199" s="19"/>
      <c r="G199" s="19"/>
      <c r="H199" s="19"/>
      <c r="I199" s="19"/>
      <c r="J199" s="19"/>
      <c r="K199" s="19"/>
      <c r="L199" s="19"/>
    </row>
    <row r="200" ht="14.25" customHeight="1">
      <c r="B200" s="27"/>
      <c r="C200" s="28"/>
      <c r="D200" s="19"/>
      <c r="E200" s="19"/>
      <c r="F200" s="19"/>
      <c r="G200" s="19"/>
      <c r="H200" s="19"/>
      <c r="I200" s="19"/>
      <c r="J200" s="19"/>
      <c r="K200" s="19"/>
      <c r="L200" s="19"/>
    </row>
    <row r="201" ht="14.25" customHeight="1">
      <c r="B201" s="27"/>
      <c r="C201" s="28"/>
      <c r="D201" s="19"/>
      <c r="E201" s="19"/>
      <c r="F201" s="19"/>
      <c r="G201" s="19"/>
      <c r="H201" s="19"/>
      <c r="I201" s="19"/>
      <c r="J201" s="19"/>
      <c r="K201" s="19"/>
      <c r="L201" s="19"/>
    </row>
    <row r="202" ht="14.25" customHeight="1">
      <c r="B202" s="27"/>
      <c r="C202" s="28"/>
      <c r="D202" s="19"/>
      <c r="E202" s="19"/>
      <c r="F202" s="19"/>
      <c r="G202" s="19"/>
      <c r="H202" s="19"/>
      <c r="I202" s="19"/>
      <c r="J202" s="19"/>
      <c r="K202" s="19"/>
      <c r="L202" s="19"/>
    </row>
    <row r="203" ht="14.25" customHeight="1">
      <c r="B203" s="2"/>
      <c r="C203" s="2"/>
    </row>
    <row r="204" ht="14.25" customHeight="1">
      <c r="B204" s="2"/>
      <c r="C204" s="2"/>
    </row>
    <row r="205" ht="14.25" customHeight="1">
      <c r="B205" s="2"/>
      <c r="C205" s="2"/>
    </row>
    <row r="206" ht="14.25" customHeight="1">
      <c r="B206" s="2"/>
      <c r="C206" s="2"/>
    </row>
    <row r="207" ht="14.25" customHeight="1">
      <c r="B207" s="2"/>
      <c r="C207" s="2"/>
    </row>
    <row r="208" ht="14.25" customHeight="1">
      <c r="B208" s="2"/>
      <c r="C208" s="2"/>
    </row>
    <row r="209" ht="14.25" customHeight="1">
      <c r="B209" s="2"/>
      <c r="C209" s="2"/>
    </row>
    <row r="210" ht="14.25" customHeight="1">
      <c r="B210" s="2"/>
      <c r="C210" s="2"/>
    </row>
    <row r="211" ht="14.25" customHeight="1">
      <c r="B211" s="2"/>
      <c r="C211" s="2"/>
    </row>
    <row r="212" ht="14.25" customHeight="1">
      <c r="B212" s="2"/>
      <c r="C212" s="2"/>
    </row>
    <row r="213" ht="14.25" customHeight="1">
      <c r="B213" s="2"/>
      <c r="C213" s="2"/>
    </row>
    <row r="214" ht="14.25" customHeight="1">
      <c r="B214" s="2"/>
      <c r="C214" s="2"/>
    </row>
    <row r="215" ht="14.25" customHeight="1">
      <c r="B215" s="2"/>
      <c r="C215" s="2"/>
    </row>
    <row r="216" ht="14.25" customHeight="1">
      <c r="B216" s="2"/>
      <c r="C216" s="2"/>
    </row>
    <row r="217" ht="14.25" customHeight="1">
      <c r="B217" s="2"/>
      <c r="C217" s="2"/>
    </row>
    <row r="218" ht="14.25" customHeight="1">
      <c r="B218" s="2"/>
      <c r="C218" s="2"/>
    </row>
    <row r="219" ht="14.25" customHeight="1">
      <c r="B219" s="2"/>
      <c r="C219" s="2"/>
    </row>
    <row r="220" ht="14.25" customHeight="1">
      <c r="B220" s="2"/>
      <c r="C220" s="2"/>
    </row>
    <row r="221" ht="14.25" customHeight="1">
      <c r="B221" s="2"/>
      <c r="C221" s="2"/>
    </row>
    <row r="222" ht="14.25" customHeight="1">
      <c r="B222" s="2"/>
      <c r="C222" s="2"/>
    </row>
    <row r="223" ht="14.25" customHeight="1">
      <c r="B223" s="2"/>
      <c r="C223" s="2"/>
    </row>
    <row r="224" ht="14.25" customHeight="1">
      <c r="B224" s="2"/>
      <c r="C224" s="2"/>
    </row>
    <row r="225" ht="14.25" customHeight="1">
      <c r="B225" s="2"/>
      <c r="C225" s="2"/>
    </row>
    <row r="226" ht="14.25" customHeight="1">
      <c r="B226" s="2"/>
      <c r="C226" s="2"/>
    </row>
    <row r="227" ht="14.25" customHeight="1">
      <c r="B227" s="2"/>
      <c r="C227" s="2"/>
    </row>
    <row r="228" ht="14.25" customHeight="1">
      <c r="B228" s="2"/>
      <c r="C228" s="2"/>
    </row>
    <row r="229" ht="14.25" customHeight="1">
      <c r="B229" s="2"/>
      <c r="C229" s="2"/>
    </row>
    <row r="230" ht="14.25" customHeight="1">
      <c r="B230" s="2"/>
      <c r="C230" s="2"/>
    </row>
    <row r="231" ht="14.25" customHeight="1">
      <c r="B231" s="2"/>
      <c r="C231" s="2"/>
    </row>
    <row r="232" ht="14.25" customHeight="1">
      <c r="B232" s="2"/>
      <c r="C232" s="2"/>
    </row>
    <row r="233" ht="14.25" customHeight="1">
      <c r="B233" s="2"/>
      <c r="C233" s="2"/>
    </row>
    <row r="234" ht="14.25" customHeight="1">
      <c r="B234" s="2"/>
      <c r="C234" s="2"/>
    </row>
    <row r="235" ht="14.25" customHeight="1">
      <c r="B235" s="2"/>
      <c r="C235" s="2"/>
    </row>
    <row r="236" ht="14.25" customHeight="1">
      <c r="B236" s="2"/>
      <c r="C236" s="2"/>
    </row>
    <row r="237" ht="14.25" customHeight="1">
      <c r="B237" s="2"/>
      <c r="C237" s="2"/>
    </row>
    <row r="238" ht="14.25" customHeight="1">
      <c r="B238" s="2"/>
      <c r="C238" s="2"/>
    </row>
    <row r="239" ht="14.25" customHeight="1">
      <c r="B239" s="2"/>
      <c r="C239" s="2"/>
    </row>
    <row r="240" ht="14.25" customHeight="1">
      <c r="B240" s="2"/>
      <c r="C240" s="2"/>
    </row>
    <row r="241" ht="14.25" customHeight="1">
      <c r="B241" s="2"/>
      <c r="C241" s="2"/>
    </row>
    <row r="242" ht="14.25" customHeight="1">
      <c r="B242" s="2"/>
      <c r="C242" s="2"/>
    </row>
    <row r="243" ht="14.25" customHeight="1">
      <c r="B243" s="2"/>
      <c r="C243" s="2"/>
    </row>
    <row r="244" ht="14.25" customHeight="1">
      <c r="B244" s="2"/>
      <c r="C244" s="2"/>
    </row>
    <row r="245" ht="14.25" customHeight="1">
      <c r="B245" s="2"/>
      <c r="C245" s="2"/>
    </row>
    <row r="246" ht="14.25" customHeight="1">
      <c r="B246" s="2"/>
      <c r="C246" s="2"/>
    </row>
    <row r="247" ht="14.25" customHeight="1">
      <c r="B247" s="2"/>
      <c r="C247" s="2"/>
    </row>
    <row r="248" ht="14.25" customHeight="1">
      <c r="B248" s="2"/>
      <c r="C248" s="2"/>
    </row>
    <row r="249" ht="14.25" customHeight="1">
      <c r="B249" s="2"/>
      <c r="C249" s="2"/>
    </row>
    <row r="250" ht="14.25" customHeight="1">
      <c r="B250" s="2"/>
      <c r="C250" s="2"/>
    </row>
    <row r="251" ht="14.25" customHeight="1">
      <c r="B251" s="2"/>
      <c r="C251" s="2"/>
    </row>
    <row r="252" ht="14.25" customHeight="1">
      <c r="B252" s="2"/>
      <c r="C252" s="2"/>
    </row>
    <row r="253" ht="14.25" customHeight="1">
      <c r="B253" s="2"/>
      <c r="C253" s="2"/>
    </row>
    <row r="254" ht="14.25" customHeight="1">
      <c r="B254" s="2"/>
      <c r="C254" s="2"/>
    </row>
    <row r="255" ht="14.25" customHeight="1">
      <c r="B255" s="2"/>
      <c r="C255" s="2"/>
    </row>
    <row r="256" ht="14.25" customHeight="1">
      <c r="B256" s="2"/>
      <c r="C256" s="2"/>
    </row>
    <row r="257" ht="14.25" customHeight="1">
      <c r="B257" s="2"/>
      <c r="C257" s="2"/>
    </row>
    <row r="258" ht="14.25" customHeight="1">
      <c r="B258" s="2"/>
      <c r="C258" s="2"/>
    </row>
    <row r="259" ht="14.25" customHeight="1">
      <c r="B259" s="2"/>
      <c r="C259" s="2"/>
    </row>
    <row r="260" ht="14.25" customHeight="1">
      <c r="B260" s="2"/>
      <c r="C260" s="2"/>
    </row>
    <row r="261" ht="14.25" customHeight="1">
      <c r="B261" s="2"/>
      <c r="C261" s="2"/>
    </row>
    <row r="262" ht="14.25" customHeight="1">
      <c r="B262" s="2"/>
      <c r="C262" s="2"/>
    </row>
    <row r="263" ht="14.25" customHeight="1">
      <c r="B263" s="2"/>
      <c r="C263" s="2"/>
    </row>
    <row r="264" ht="14.25" customHeight="1">
      <c r="B264" s="2"/>
      <c r="C264" s="2"/>
    </row>
    <row r="265" ht="14.25" customHeight="1">
      <c r="B265" s="2"/>
      <c r="C265" s="2"/>
    </row>
    <row r="266" ht="14.25" customHeight="1">
      <c r="B266" s="2"/>
      <c r="C266" s="2"/>
    </row>
    <row r="267" ht="14.25" customHeight="1">
      <c r="B267" s="2"/>
      <c r="C267" s="2"/>
    </row>
    <row r="268" ht="14.25" customHeight="1">
      <c r="B268" s="2"/>
      <c r="C268" s="2"/>
    </row>
    <row r="269" ht="14.25" customHeight="1">
      <c r="B269" s="2"/>
      <c r="C269" s="2"/>
    </row>
    <row r="270" ht="14.25" customHeight="1">
      <c r="B270" s="2"/>
      <c r="C270" s="2"/>
    </row>
    <row r="271" ht="14.25" customHeight="1">
      <c r="B271" s="2"/>
      <c r="C271" s="2"/>
    </row>
    <row r="272" ht="14.25" customHeight="1">
      <c r="B272" s="2"/>
      <c r="C272" s="2"/>
    </row>
    <row r="273" ht="14.25" customHeight="1">
      <c r="B273" s="2"/>
      <c r="C273" s="2"/>
    </row>
    <row r="274" ht="14.25" customHeight="1">
      <c r="B274" s="2"/>
      <c r="C274" s="2"/>
    </row>
    <row r="275" ht="14.25" customHeight="1">
      <c r="B275" s="2"/>
      <c r="C275" s="2"/>
    </row>
    <row r="276" ht="14.25" customHeight="1">
      <c r="B276" s="2"/>
      <c r="C276" s="2"/>
    </row>
    <row r="277" ht="14.25" customHeight="1">
      <c r="B277" s="2"/>
      <c r="C277" s="2"/>
    </row>
    <row r="278" ht="14.25" customHeight="1">
      <c r="B278" s="2"/>
      <c r="C278" s="2"/>
    </row>
    <row r="279" ht="14.25" customHeight="1">
      <c r="B279" s="2"/>
      <c r="C279" s="2"/>
    </row>
    <row r="280" ht="14.25" customHeight="1">
      <c r="B280" s="2"/>
      <c r="C280" s="2"/>
    </row>
    <row r="281" ht="14.25" customHeight="1">
      <c r="B281" s="2"/>
      <c r="C281" s="2"/>
    </row>
    <row r="282" ht="14.25" customHeight="1">
      <c r="B282" s="2"/>
      <c r="C282" s="2"/>
    </row>
    <row r="283" ht="14.25" customHeight="1">
      <c r="B283" s="2"/>
      <c r="C283" s="2"/>
    </row>
    <row r="284" ht="14.25" customHeight="1">
      <c r="B284" s="2"/>
      <c r="C284" s="2"/>
    </row>
    <row r="285" ht="14.25" customHeight="1">
      <c r="B285" s="2"/>
      <c r="C285" s="2"/>
    </row>
    <row r="286" ht="14.25" customHeight="1">
      <c r="B286" s="2"/>
      <c r="C286" s="2"/>
    </row>
    <row r="287" ht="14.25" customHeight="1">
      <c r="B287" s="2"/>
      <c r="C287" s="2"/>
    </row>
    <row r="288" ht="14.25" customHeight="1">
      <c r="B288" s="2"/>
      <c r="C288" s="2"/>
    </row>
    <row r="289" ht="14.25" customHeight="1">
      <c r="B289" s="2"/>
      <c r="C289" s="2"/>
    </row>
    <row r="290" ht="14.25" customHeight="1">
      <c r="B290" s="2"/>
      <c r="C290" s="2"/>
    </row>
    <row r="291" ht="14.25" customHeight="1">
      <c r="B291" s="2"/>
      <c r="C291" s="2"/>
    </row>
    <row r="292" ht="14.25" customHeight="1">
      <c r="B292" s="2"/>
      <c r="C292" s="2"/>
    </row>
    <row r="293" ht="14.25" customHeight="1">
      <c r="B293" s="2"/>
      <c r="C293" s="2"/>
    </row>
    <row r="294" ht="14.25" customHeight="1">
      <c r="B294" s="2"/>
      <c r="C294" s="2"/>
    </row>
    <row r="295" ht="14.25" customHeight="1">
      <c r="B295" s="2"/>
      <c r="C295" s="2"/>
    </row>
    <row r="296" ht="14.25" customHeight="1">
      <c r="B296" s="2"/>
      <c r="C296" s="2"/>
    </row>
    <row r="297" ht="14.25" customHeight="1">
      <c r="B297" s="2"/>
      <c r="C297" s="2"/>
    </row>
    <row r="298" ht="14.25" customHeight="1">
      <c r="B298" s="2"/>
      <c r="C298" s="2"/>
    </row>
    <row r="299" ht="14.25" customHeight="1">
      <c r="B299" s="2"/>
      <c r="C299" s="2"/>
    </row>
    <row r="300" ht="14.25" customHeight="1">
      <c r="B300" s="2"/>
      <c r="C300" s="2"/>
    </row>
    <row r="301" ht="14.25" customHeight="1">
      <c r="B301" s="2"/>
      <c r="C301" s="2"/>
    </row>
    <row r="302" ht="14.25" customHeight="1">
      <c r="B302" s="2"/>
      <c r="C302" s="2"/>
    </row>
    <row r="303" ht="14.25" customHeight="1">
      <c r="B303" s="2"/>
      <c r="C303" s="2"/>
    </row>
    <row r="304" ht="14.25" customHeight="1">
      <c r="B304" s="2"/>
      <c r="C304" s="2"/>
    </row>
    <row r="305" ht="14.25" customHeight="1">
      <c r="B305" s="2"/>
      <c r="C305" s="2"/>
    </row>
    <row r="306" ht="14.25" customHeight="1">
      <c r="B306" s="2"/>
      <c r="C306" s="2"/>
    </row>
    <row r="307" ht="14.25" customHeight="1">
      <c r="B307" s="2"/>
      <c r="C307" s="2"/>
    </row>
    <row r="308" ht="14.25" customHeight="1">
      <c r="B308" s="2"/>
      <c r="C308" s="2"/>
    </row>
    <row r="309" ht="14.25" customHeight="1">
      <c r="B309" s="2"/>
      <c r="C309" s="2"/>
    </row>
    <row r="310" ht="14.25" customHeight="1">
      <c r="B310" s="2"/>
      <c r="C310" s="2"/>
    </row>
    <row r="311" ht="14.25" customHeight="1">
      <c r="B311" s="2"/>
      <c r="C311" s="2"/>
    </row>
    <row r="312" ht="14.25" customHeight="1">
      <c r="B312" s="2"/>
      <c r="C312" s="2"/>
    </row>
    <row r="313" ht="14.25" customHeight="1">
      <c r="B313" s="2"/>
      <c r="C313" s="2"/>
    </row>
    <row r="314" ht="14.25" customHeight="1">
      <c r="B314" s="2"/>
      <c r="C314" s="2"/>
    </row>
    <row r="315" ht="14.25" customHeight="1">
      <c r="B315" s="2"/>
      <c r="C315" s="2"/>
    </row>
    <row r="316" ht="14.25" customHeight="1">
      <c r="B316" s="2"/>
      <c r="C316" s="2"/>
    </row>
    <row r="317" ht="14.25" customHeight="1">
      <c r="B317" s="2"/>
      <c r="C317" s="2"/>
    </row>
    <row r="318" ht="14.25" customHeight="1">
      <c r="B318" s="2"/>
      <c r="C318" s="2"/>
    </row>
    <row r="319" ht="14.25" customHeight="1">
      <c r="B319" s="2"/>
      <c r="C319" s="2"/>
    </row>
    <row r="320" ht="14.25" customHeight="1">
      <c r="B320" s="2"/>
      <c r="C320" s="2"/>
    </row>
    <row r="321" ht="14.25" customHeight="1">
      <c r="B321" s="2"/>
      <c r="C321" s="2"/>
    </row>
    <row r="322" ht="14.25" customHeight="1">
      <c r="B322" s="2"/>
      <c r="C322" s="2"/>
    </row>
    <row r="323" ht="14.25" customHeight="1">
      <c r="B323" s="2"/>
      <c r="C323" s="2"/>
    </row>
    <row r="324" ht="14.25" customHeight="1">
      <c r="B324" s="2"/>
      <c r="C324" s="2"/>
    </row>
    <row r="325" ht="14.25" customHeight="1">
      <c r="B325" s="2"/>
      <c r="C325" s="2"/>
    </row>
    <row r="326" ht="14.25" customHeight="1">
      <c r="B326" s="2"/>
      <c r="C326" s="2"/>
    </row>
    <row r="327" ht="14.25" customHeight="1">
      <c r="B327" s="2"/>
      <c r="C327" s="2"/>
    </row>
    <row r="328" ht="14.25" customHeight="1">
      <c r="B328" s="2"/>
      <c r="C328" s="2"/>
    </row>
    <row r="329" ht="14.25" customHeight="1">
      <c r="B329" s="2"/>
      <c r="C329" s="2"/>
    </row>
    <row r="330" ht="14.25" customHeight="1">
      <c r="B330" s="2"/>
      <c r="C330" s="2"/>
    </row>
    <row r="331" ht="14.25" customHeight="1">
      <c r="B331" s="2"/>
      <c r="C331" s="2"/>
    </row>
    <row r="332" ht="14.25" customHeight="1">
      <c r="B332" s="2"/>
      <c r="C332" s="2"/>
    </row>
    <row r="333" ht="14.25" customHeight="1">
      <c r="B333" s="2"/>
      <c r="C333" s="2"/>
    </row>
    <row r="334" ht="14.2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autoFilter ref="$A$6:$Z$134">
    <filterColumn colId="3">
      <filters>
        <filter val="Marcal"/>
        <filter val="Zé bastos"/>
      </filters>
    </filterColumn>
  </autoFilter>
  <mergeCells count="1">
    <mergeCell ref="B2:L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15.71"/>
    <col customWidth="1" min="4" max="4" width="19.57"/>
    <col customWidth="1" min="5" max="5" width="6.0"/>
    <col customWidth="1" min="6" max="6" width="17.86"/>
    <col customWidth="1" min="7" max="7" width="15.43"/>
    <col customWidth="1" min="8" max="8" width="15.71"/>
    <col customWidth="1" min="9" max="9" width="15.29"/>
    <col customWidth="1" min="10" max="10" width="16.14"/>
    <col customWidth="1" min="11" max="11" width="9.43"/>
    <col customWidth="1" min="12" max="12" width="45.29"/>
    <col customWidth="1" min="13" max="14" width="8.86"/>
  </cols>
  <sheetData>
    <row r="1" ht="14.25" customHeight="1">
      <c r="A1" s="1" t="s">
        <v>267</v>
      </c>
      <c r="B1" s="43"/>
      <c r="C1" s="43"/>
      <c r="D1" s="44"/>
      <c r="E1" s="44"/>
      <c r="F1" s="44"/>
      <c r="G1" s="44"/>
      <c r="H1" s="44"/>
      <c r="I1" s="44"/>
      <c r="J1" s="44"/>
      <c r="K1" s="44"/>
      <c r="L1" s="44"/>
    </row>
    <row r="2" ht="14.25" customHeight="1">
      <c r="B2" s="3" t="s">
        <v>268</v>
      </c>
      <c r="C2" s="4"/>
      <c r="D2" s="4"/>
      <c r="E2" s="4"/>
      <c r="F2" s="4"/>
      <c r="G2" s="4"/>
      <c r="H2" s="4"/>
      <c r="I2" s="4"/>
      <c r="J2" s="4"/>
      <c r="K2" s="4"/>
      <c r="L2" s="5"/>
    </row>
    <row r="3" ht="14.25" customHeight="1">
      <c r="B3" s="7"/>
      <c r="L3" s="8"/>
    </row>
    <row r="4" ht="14.25" customHeight="1">
      <c r="B4" s="7"/>
      <c r="L4" s="8"/>
    </row>
    <row r="5" ht="53.25" customHeight="1">
      <c r="B5" s="45"/>
      <c r="C5" s="46"/>
      <c r="D5" s="46"/>
      <c r="E5" s="46"/>
      <c r="F5" s="46"/>
      <c r="G5" s="46"/>
      <c r="H5" s="46"/>
      <c r="I5" s="46"/>
      <c r="J5" s="46"/>
      <c r="K5" s="46"/>
      <c r="L5" s="47"/>
    </row>
    <row r="6" ht="14.25" customHeight="1">
      <c r="B6" s="48" t="s">
        <v>1</v>
      </c>
      <c r="C6" s="49" t="s">
        <v>269</v>
      </c>
      <c r="D6" s="50" t="s">
        <v>3</v>
      </c>
      <c r="E6" s="50"/>
      <c r="F6" s="50" t="s">
        <v>4</v>
      </c>
      <c r="G6" s="50" t="s">
        <v>5</v>
      </c>
      <c r="H6" s="50" t="s">
        <v>270</v>
      </c>
      <c r="I6" s="50" t="s">
        <v>271</v>
      </c>
      <c r="J6" s="50" t="s">
        <v>272</v>
      </c>
      <c r="K6" s="50" t="s">
        <v>155</v>
      </c>
      <c r="L6" s="51" t="s">
        <v>10</v>
      </c>
    </row>
    <row r="7" ht="14.25" customHeight="1">
      <c r="A7" s="52"/>
      <c r="B7" s="53">
        <v>44998.0</v>
      </c>
      <c r="C7" s="54"/>
      <c r="D7" s="55" t="s">
        <v>273</v>
      </c>
      <c r="E7" s="55"/>
      <c r="F7" s="56"/>
      <c r="G7" s="56" t="s">
        <v>274</v>
      </c>
      <c r="H7" s="56">
        <v>676.7</v>
      </c>
      <c r="I7" s="56">
        <v>723.3</v>
      </c>
      <c r="J7" s="56">
        <f>I7-H7</f>
        <v>46.6</v>
      </c>
      <c r="K7" s="56">
        <v>400.0</v>
      </c>
      <c r="L7" s="57" t="s">
        <v>275</v>
      </c>
    </row>
    <row r="8" ht="14.25" customHeight="1">
      <c r="A8" s="52"/>
      <c r="B8" s="53">
        <v>45016.0</v>
      </c>
      <c r="C8" s="54"/>
      <c r="D8" s="55"/>
      <c r="E8" s="55"/>
      <c r="F8" s="56"/>
      <c r="G8" s="56" t="s">
        <v>276</v>
      </c>
      <c r="H8" s="56"/>
      <c r="I8" s="56"/>
      <c r="J8" s="56">
        <v>17.5</v>
      </c>
      <c r="K8" s="56"/>
      <c r="L8" s="57" t="s">
        <v>277</v>
      </c>
    </row>
    <row r="9" ht="14.25" customHeight="1">
      <c r="A9" s="52"/>
      <c r="B9" s="53">
        <v>45016.0</v>
      </c>
      <c r="C9" s="54"/>
      <c r="D9" s="55" t="s">
        <v>278</v>
      </c>
      <c r="E9" s="55"/>
      <c r="F9" s="56"/>
      <c r="G9" s="56" t="s">
        <v>279</v>
      </c>
      <c r="H9" s="56">
        <v>724.9</v>
      </c>
      <c r="I9" s="56">
        <v>744.5</v>
      </c>
      <c r="J9" s="56">
        <f t="shared" ref="J9:J61" si="1">I9-H9</f>
        <v>19.6</v>
      </c>
      <c r="K9" s="56"/>
      <c r="L9" s="57" t="s">
        <v>158</v>
      </c>
    </row>
    <row r="10" ht="14.25" customHeight="1">
      <c r="A10" s="58"/>
      <c r="B10" s="53"/>
      <c r="C10" s="54"/>
      <c r="D10" s="55" t="s">
        <v>280</v>
      </c>
      <c r="E10" s="55"/>
      <c r="F10" s="56"/>
      <c r="G10" s="56"/>
      <c r="H10" s="56"/>
      <c r="I10" s="56"/>
      <c r="J10" s="56">
        <f t="shared" si="1"/>
        <v>0</v>
      </c>
      <c r="K10" s="56"/>
      <c r="L10" s="57"/>
    </row>
    <row r="11" ht="14.25" customHeight="1">
      <c r="A11" s="59"/>
      <c r="B11" s="53">
        <v>45001.0</v>
      </c>
      <c r="C11" s="54">
        <v>45016.0</v>
      </c>
      <c r="D11" s="56" t="s">
        <v>187</v>
      </c>
      <c r="E11" s="56"/>
      <c r="F11" s="56" t="s">
        <v>227</v>
      </c>
      <c r="G11" s="56" t="s">
        <v>205</v>
      </c>
      <c r="H11" s="56">
        <v>745.0</v>
      </c>
      <c r="I11" s="56">
        <v>875.1</v>
      </c>
      <c r="J11" s="60">
        <f t="shared" si="1"/>
        <v>130.1</v>
      </c>
      <c r="K11" s="56">
        <v>1646.0</v>
      </c>
      <c r="L11" s="57"/>
    </row>
    <row r="12" ht="14.25" customHeight="1">
      <c r="A12" s="61"/>
      <c r="B12" s="62">
        <v>45031.0</v>
      </c>
      <c r="C12" s="63">
        <v>45033.0</v>
      </c>
      <c r="D12" s="56" t="s">
        <v>187</v>
      </c>
      <c r="E12" s="56"/>
      <c r="F12" s="60"/>
      <c r="G12" s="60" t="s">
        <v>276</v>
      </c>
      <c r="H12" s="60">
        <v>1180.0</v>
      </c>
      <c r="I12" s="60">
        <v>1196.6</v>
      </c>
      <c r="J12" s="60">
        <f t="shared" si="1"/>
        <v>16.6</v>
      </c>
      <c r="K12" s="60"/>
      <c r="L12" s="64" t="s">
        <v>281</v>
      </c>
    </row>
    <row r="13" ht="14.25" customHeight="1">
      <c r="A13" s="65"/>
      <c r="B13" s="62">
        <v>45049.0</v>
      </c>
      <c r="C13" s="63">
        <v>45077.0</v>
      </c>
      <c r="D13" s="56" t="s">
        <v>187</v>
      </c>
      <c r="E13" s="56"/>
      <c r="F13" s="60" t="s">
        <v>227</v>
      </c>
      <c r="G13" s="60" t="s">
        <v>205</v>
      </c>
      <c r="H13" s="60">
        <v>1083.4</v>
      </c>
      <c r="I13" s="60">
        <v>1293.8</v>
      </c>
      <c r="J13" s="60">
        <f t="shared" si="1"/>
        <v>210.4</v>
      </c>
      <c r="K13" s="60">
        <v>2700.0</v>
      </c>
      <c r="L13" s="64" t="s">
        <v>282</v>
      </c>
    </row>
    <row r="14" ht="14.25" customHeight="1">
      <c r="A14" s="66"/>
      <c r="B14" s="62">
        <v>45078.0</v>
      </c>
      <c r="C14" s="63">
        <v>45107.0</v>
      </c>
      <c r="D14" s="56" t="s">
        <v>187</v>
      </c>
      <c r="E14" s="56"/>
      <c r="F14" s="60" t="s">
        <v>227</v>
      </c>
      <c r="G14" s="60" t="s">
        <v>205</v>
      </c>
      <c r="H14" s="60">
        <v>1293.8</v>
      </c>
      <c r="I14" s="60">
        <v>1496.1</v>
      </c>
      <c r="J14" s="60">
        <f t="shared" si="1"/>
        <v>202.3</v>
      </c>
      <c r="K14" s="60">
        <v>3050.0</v>
      </c>
      <c r="L14" s="64" t="s">
        <v>282</v>
      </c>
    </row>
    <row r="15" ht="14.25" customHeight="1">
      <c r="A15" s="61"/>
      <c r="B15" s="62">
        <v>45108.0</v>
      </c>
      <c r="C15" s="63">
        <v>45138.0</v>
      </c>
      <c r="D15" s="56" t="s">
        <v>187</v>
      </c>
      <c r="E15" s="56"/>
      <c r="F15" s="60" t="s">
        <v>227</v>
      </c>
      <c r="G15" s="60" t="s">
        <v>205</v>
      </c>
      <c r="H15" s="60">
        <v>1496.1</v>
      </c>
      <c r="I15" s="60">
        <v>1716.4</v>
      </c>
      <c r="J15" s="60">
        <f t="shared" si="1"/>
        <v>220.3</v>
      </c>
      <c r="K15" s="60">
        <v>3250.0</v>
      </c>
      <c r="L15" s="64" t="s">
        <v>282</v>
      </c>
    </row>
    <row r="16" ht="14.25" customHeight="1">
      <c r="A16" s="65"/>
      <c r="B16" s="62">
        <v>45139.0</v>
      </c>
      <c r="C16" s="63">
        <v>45169.0</v>
      </c>
      <c r="D16" s="56" t="s">
        <v>187</v>
      </c>
      <c r="E16" s="56"/>
      <c r="F16" s="60" t="s">
        <v>227</v>
      </c>
      <c r="G16" s="60" t="s">
        <v>205</v>
      </c>
      <c r="H16" s="60">
        <v>1716.4</v>
      </c>
      <c r="I16" s="60">
        <v>1908.2</v>
      </c>
      <c r="J16" s="60">
        <f t="shared" si="1"/>
        <v>191.8</v>
      </c>
      <c r="K16" s="60">
        <v>2510.0</v>
      </c>
      <c r="L16" s="64" t="s">
        <v>282</v>
      </c>
    </row>
    <row r="17" ht="14.25" customHeight="1">
      <c r="A17" s="58"/>
      <c r="B17" s="53">
        <v>45170.0</v>
      </c>
      <c r="C17" s="54">
        <v>45183.0</v>
      </c>
      <c r="D17" s="56" t="s">
        <v>187</v>
      </c>
      <c r="E17" s="56"/>
      <c r="F17" s="60" t="s">
        <v>227</v>
      </c>
      <c r="G17" s="56" t="s">
        <v>205</v>
      </c>
      <c r="H17" s="60">
        <v>1908.2</v>
      </c>
      <c r="I17" s="56">
        <v>2038.4</v>
      </c>
      <c r="J17" s="56">
        <f t="shared" si="1"/>
        <v>130.2</v>
      </c>
      <c r="K17" s="56">
        <v>1630.0</v>
      </c>
      <c r="L17" s="64" t="s">
        <v>282</v>
      </c>
    </row>
    <row r="18" ht="14.25" customHeight="1">
      <c r="A18" s="67"/>
      <c r="B18" s="53">
        <v>45184.0</v>
      </c>
      <c r="C18" s="54">
        <v>45230.0</v>
      </c>
      <c r="D18" s="56" t="s">
        <v>197</v>
      </c>
      <c r="E18" s="56"/>
      <c r="F18" s="56"/>
      <c r="G18" s="56" t="s">
        <v>283</v>
      </c>
      <c r="H18" s="56"/>
      <c r="I18" s="56"/>
      <c r="J18" s="56">
        <f t="shared" si="1"/>
        <v>0</v>
      </c>
      <c r="K18" s="56"/>
      <c r="L18" s="57"/>
      <c r="N18" s="68"/>
    </row>
    <row r="19" ht="14.25" customHeight="1">
      <c r="A19" s="52"/>
      <c r="B19" s="53"/>
      <c r="C19" s="54"/>
      <c r="D19" s="56" t="s">
        <v>197</v>
      </c>
      <c r="E19" s="56"/>
      <c r="F19" s="56"/>
      <c r="G19" s="56" t="s">
        <v>283</v>
      </c>
      <c r="H19" s="56"/>
      <c r="I19" s="56"/>
      <c r="J19" s="56">
        <f t="shared" si="1"/>
        <v>0</v>
      </c>
      <c r="K19" s="56"/>
      <c r="L19" s="57"/>
    </row>
    <row r="20" ht="14.25" customHeight="1">
      <c r="A20" s="52"/>
      <c r="B20" s="53">
        <v>45233.0</v>
      </c>
      <c r="C20" s="54">
        <v>45234.0</v>
      </c>
      <c r="D20" s="56" t="s">
        <v>187</v>
      </c>
      <c r="E20" s="56"/>
      <c r="F20" s="56" t="s">
        <v>284</v>
      </c>
      <c r="G20" s="56" t="s">
        <v>285</v>
      </c>
      <c r="H20" s="56">
        <v>2065.9</v>
      </c>
      <c r="I20" s="56">
        <v>2084.1</v>
      </c>
      <c r="J20" s="56">
        <f t="shared" si="1"/>
        <v>18.2</v>
      </c>
      <c r="K20" s="56">
        <v>400.0</v>
      </c>
      <c r="L20" s="57"/>
    </row>
    <row r="21" ht="14.25" customHeight="1">
      <c r="A21" s="52"/>
      <c r="B21" s="53">
        <v>45235.0</v>
      </c>
      <c r="C21" s="54">
        <v>45235.0</v>
      </c>
      <c r="D21" s="56" t="s">
        <v>187</v>
      </c>
      <c r="E21" s="56"/>
      <c r="F21" s="56" t="s">
        <v>284</v>
      </c>
      <c r="G21" s="56" t="s">
        <v>205</v>
      </c>
      <c r="H21" s="56">
        <v>2084.1</v>
      </c>
      <c r="I21" s="56">
        <v>2091.3</v>
      </c>
      <c r="J21" s="56">
        <f t="shared" si="1"/>
        <v>7.2</v>
      </c>
      <c r="K21" s="56">
        <v>100.0</v>
      </c>
      <c r="L21" s="57" t="s">
        <v>286</v>
      </c>
    </row>
    <row r="22" ht="14.25" customHeight="1">
      <c r="A22" s="52"/>
      <c r="B22" s="53">
        <v>45236.0</v>
      </c>
      <c r="C22" s="54">
        <v>45244.0</v>
      </c>
      <c r="D22" s="56" t="s">
        <v>187</v>
      </c>
      <c r="E22" s="56"/>
      <c r="F22" s="56" t="s">
        <v>284</v>
      </c>
      <c r="G22" s="56" t="s">
        <v>287</v>
      </c>
      <c r="H22" s="56">
        <v>2091.3</v>
      </c>
      <c r="I22" s="56">
        <v>2136.4</v>
      </c>
      <c r="J22" s="56">
        <f t="shared" si="1"/>
        <v>45.1</v>
      </c>
      <c r="K22" s="56">
        <v>720.0</v>
      </c>
      <c r="L22" s="57" t="s">
        <v>286</v>
      </c>
    </row>
    <row r="23" ht="14.25" customHeight="1">
      <c r="A23" s="52"/>
      <c r="B23" s="53">
        <v>45245.0</v>
      </c>
      <c r="C23" s="43">
        <v>45260.0</v>
      </c>
      <c r="D23" s="56" t="s">
        <v>187</v>
      </c>
      <c r="E23" s="56"/>
      <c r="F23" s="56" t="s">
        <v>288</v>
      </c>
      <c r="G23" s="56"/>
      <c r="H23" s="56">
        <v>2136.4</v>
      </c>
      <c r="I23" s="56">
        <v>2226.3</v>
      </c>
      <c r="J23" s="56">
        <f t="shared" si="1"/>
        <v>89.9</v>
      </c>
      <c r="K23" s="56">
        <v>1165.0</v>
      </c>
      <c r="L23" s="57" t="s">
        <v>286</v>
      </c>
    </row>
    <row r="24" ht="14.25" customHeight="1">
      <c r="A24" s="52"/>
      <c r="B24" s="53">
        <v>45264.0</v>
      </c>
      <c r="C24" s="54">
        <v>45286.0</v>
      </c>
      <c r="D24" s="56" t="s">
        <v>187</v>
      </c>
      <c r="E24" s="56"/>
      <c r="F24" s="56" t="s">
        <v>288</v>
      </c>
      <c r="G24" s="56" t="s">
        <v>289</v>
      </c>
      <c r="H24" s="56">
        <v>2226.3</v>
      </c>
      <c r="I24" s="56">
        <v>2334.8</v>
      </c>
      <c r="J24" s="56">
        <f t="shared" si="1"/>
        <v>108.5</v>
      </c>
      <c r="K24" s="56">
        <v>735.0</v>
      </c>
      <c r="L24" s="57"/>
    </row>
    <row r="25" ht="14.25" customHeight="1">
      <c r="A25" s="52"/>
      <c r="B25" s="53">
        <v>45287.0</v>
      </c>
      <c r="C25" s="54">
        <v>45288.0</v>
      </c>
      <c r="D25" s="56" t="s">
        <v>28</v>
      </c>
      <c r="E25" s="56"/>
      <c r="F25" s="56" t="s">
        <v>290</v>
      </c>
      <c r="G25" s="56" t="s">
        <v>289</v>
      </c>
      <c r="H25" s="56">
        <v>2334.8</v>
      </c>
      <c r="I25" s="56">
        <v>2375.2</v>
      </c>
      <c r="J25" s="56">
        <f t="shared" si="1"/>
        <v>40.4</v>
      </c>
      <c r="K25" s="56">
        <v>150.0</v>
      </c>
      <c r="L25" s="57"/>
    </row>
    <row r="26" ht="14.25" customHeight="1">
      <c r="A26" s="52"/>
      <c r="B26" s="53">
        <v>45295.0</v>
      </c>
      <c r="C26" s="54">
        <v>45316.0</v>
      </c>
      <c r="D26" s="56" t="s">
        <v>104</v>
      </c>
      <c r="E26" s="56"/>
      <c r="F26" s="56" t="s">
        <v>257</v>
      </c>
      <c r="G26" s="56" t="s">
        <v>289</v>
      </c>
      <c r="H26" s="56">
        <v>2353.4</v>
      </c>
      <c r="I26" s="56">
        <v>2477.6</v>
      </c>
      <c r="J26" s="56">
        <f t="shared" si="1"/>
        <v>124.2</v>
      </c>
      <c r="K26" s="56">
        <v>1670.0</v>
      </c>
      <c r="L26" s="57"/>
    </row>
    <row r="27" ht="14.25" customHeight="1">
      <c r="A27" s="52"/>
      <c r="B27" s="53"/>
      <c r="C27" s="54"/>
      <c r="D27" s="56" t="s">
        <v>291</v>
      </c>
      <c r="E27" s="56"/>
      <c r="F27" s="56"/>
      <c r="G27" s="56"/>
      <c r="H27" s="56"/>
      <c r="I27" s="56"/>
      <c r="J27" s="56">
        <f t="shared" si="1"/>
        <v>0</v>
      </c>
      <c r="K27" s="56"/>
      <c r="L27" s="57"/>
    </row>
    <row r="28" ht="14.25" customHeight="1">
      <c r="A28" s="52"/>
      <c r="B28" s="53">
        <v>45357.0</v>
      </c>
      <c r="C28" s="54">
        <v>45378.0</v>
      </c>
      <c r="D28" s="56" t="s">
        <v>187</v>
      </c>
      <c r="E28" s="56"/>
      <c r="F28" s="56" t="s">
        <v>227</v>
      </c>
      <c r="G28" s="56" t="s">
        <v>292</v>
      </c>
      <c r="H28" s="56">
        <v>2498.6</v>
      </c>
      <c r="I28" s="56">
        <v>2607.0</v>
      </c>
      <c r="J28" s="56">
        <f t="shared" si="1"/>
        <v>108.4</v>
      </c>
      <c r="K28" s="56">
        <v>875.0</v>
      </c>
      <c r="L28" s="57"/>
    </row>
    <row r="29" ht="14.25" customHeight="1">
      <c r="A29" s="52"/>
      <c r="B29" s="53">
        <v>45383.0</v>
      </c>
      <c r="C29" s="54">
        <v>45406.0</v>
      </c>
      <c r="D29" s="56" t="s">
        <v>187</v>
      </c>
      <c r="E29" s="56"/>
      <c r="F29" s="56" t="s">
        <v>237</v>
      </c>
      <c r="G29" s="56" t="s">
        <v>289</v>
      </c>
      <c r="H29" s="56">
        <v>2607.0</v>
      </c>
      <c r="I29" s="56">
        <v>2773.2</v>
      </c>
      <c r="J29" s="56">
        <f t="shared" si="1"/>
        <v>166.2</v>
      </c>
      <c r="K29" s="56">
        <v>477.0</v>
      </c>
      <c r="L29" s="57"/>
    </row>
    <row r="30" ht="14.25" customHeight="1">
      <c r="A30" s="52"/>
      <c r="B30" s="53">
        <v>45407.0</v>
      </c>
      <c r="C30" s="54">
        <v>45412.0</v>
      </c>
      <c r="D30" s="56" t="s">
        <v>228</v>
      </c>
      <c r="E30" s="56" t="s">
        <v>293</v>
      </c>
      <c r="F30" s="56" t="s">
        <v>100</v>
      </c>
      <c r="G30" s="56" t="s">
        <v>289</v>
      </c>
      <c r="H30" s="56">
        <v>2773.2</v>
      </c>
      <c r="I30" s="56">
        <v>2800.8</v>
      </c>
      <c r="J30" s="56">
        <f t="shared" si="1"/>
        <v>27.6</v>
      </c>
      <c r="K30" s="56"/>
      <c r="L30" s="57"/>
    </row>
    <row r="31" ht="14.25" customHeight="1">
      <c r="A31" s="52"/>
      <c r="B31" s="53">
        <v>45413.0</v>
      </c>
      <c r="C31" s="54">
        <v>45426.0</v>
      </c>
      <c r="D31" s="56" t="s">
        <v>294</v>
      </c>
      <c r="E31" s="56" t="s">
        <v>293</v>
      </c>
      <c r="F31" s="56" t="s">
        <v>295</v>
      </c>
      <c r="G31" s="56" t="s">
        <v>292</v>
      </c>
      <c r="H31" s="56">
        <v>2800.8</v>
      </c>
      <c r="I31" s="56">
        <v>2889.6</v>
      </c>
      <c r="J31" s="56">
        <f t="shared" si="1"/>
        <v>88.8</v>
      </c>
      <c r="K31" s="56">
        <v>1231.0</v>
      </c>
      <c r="L31" s="57"/>
    </row>
    <row r="32" ht="14.25" customHeight="1">
      <c r="A32" s="52"/>
      <c r="B32" s="53">
        <v>45428.0</v>
      </c>
      <c r="C32" s="54">
        <v>45428.0</v>
      </c>
      <c r="D32" s="56" t="s">
        <v>26</v>
      </c>
      <c r="E32" s="56" t="s">
        <v>293</v>
      </c>
      <c r="F32" s="56" t="s">
        <v>296</v>
      </c>
      <c r="G32" s="56" t="s">
        <v>289</v>
      </c>
      <c r="H32" s="56"/>
      <c r="I32" s="56"/>
      <c r="J32" s="56">
        <f t="shared" si="1"/>
        <v>0</v>
      </c>
      <c r="K32" s="56"/>
      <c r="L32" s="57"/>
    </row>
    <row r="33" ht="14.25" customHeight="1">
      <c r="A33" s="69"/>
      <c r="B33" s="70">
        <v>45437.0</v>
      </c>
      <c r="C33" s="54">
        <v>45437.0</v>
      </c>
      <c r="D33" s="56" t="s">
        <v>187</v>
      </c>
      <c r="E33" s="56"/>
      <c r="F33" s="56" t="s">
        <v>237</v>
      </c>
      <c r="G33" s="56" t="s">
        <v>289</v>
      </c>
      <c r="H33" s="56">
        <v>7053.8</v>
      </c>
      <c r="I33" s="56">
        <v>7062.5</v>
      </c>
      <c r="J33" s="56">
        <f t="shared" si="1"/>
        <v>8.7</v>
      </c>
      <c r="K33" s="56">
        <v>180.0</v>
      </c>
      <c r="L33" s="57"/>
    </row>
    <row r="34" ht="14.25" customHeight="1">
      <c r="A34" s="69"/>
      <c r="B34" s="70">
        <v>45443.0</v>
      </c>
      <c r="C34" s="54">
        <v>45443.0</v>
      </c>
      <c r="D34" s="56" t="s">
        <v>294</v>
      </c>
      <c r="E34" s="56" t="s">
        <v>297</v>
      </c>
      <c r="F34" s="56" t="s">
        <v>295</v>
      </c>
      <c r="G34" s="56" t="s">
        <v>289</v>
      </c>
      <c r="H34" s="56">
        <v>2889.6</v>
      </c>
      <c r="I34" s="56">
        <v>2898.4</v>
      </c>
      <c r="J34" s="56">
        <f t="shared" si="1"/>
        <v>8.8</v>
      </c>
      <c r="K34" s="56">
        <v>212.0</v>
      </c>
      <c r="L34" s="57"/>
    </row>
    <row r="35" ht="14.25" customHeight="1">
      <c r="A35" s="69"/>
      <c r="B35" s="71">
        <v>45444.0</v>
      </c>
      <c r="C35" s="72">
        <v>45453.0</v>
      </c>
      <c r="D35" s="73" t="s">
        <v>294</v>
      </c>
      <c r="E35" s="73" t="s">
        <v>293</v>
      </c>
      <c r="F35" s="73" t="s">
        <v>295</v>
      </c>
      <c r="G35" s="73" t="s">
        <v>289</v>
      </c>
      <c r="H35" s="56">
        <v>2898.4</v>
      </c>
      <c r="I35" s="56">
        <v>2935.0</v>
      </c>
      <c r="J35" s="56">
        <f t="shared" si="1"/>
        <v>36.6</v>
      </c>
      <c r="K35" s="56"/>
      <c r="L35" s="57"/>
    </row>
    <row r="36" ht="14.25" customHeight="1">
      <c r="A36" s="69"/>
      <c r="B36" s="74">
        <v>45454.0</v>
      </c>
      <c r="C36" s="75">
        <v>45472.0</v>
      </c>
      <c r="D36" s="76" t="s">
        <v>298</v>
      </c>
      <c r="E36" s="76"/>
      <c r="F36" s="76" t="s">
        <v>74</v>
      </c>
      <c r="G36" s="76" t="s">
        <v>292</v>
      </c>
      <c r="H36" s="56">
        <v>2935.0</v>
      </c>
      <c r="I36" s="56">
        <v>3072.0</v>
      </c>
      <c r="J36" s="56">
        <f t="shared" si="1"/>
        <v>137</v>
      </c>
      <c r="K36" s="56">
        <v>1899.0</v>
      </c>
      <c r="L36" s="57"/>
    </row>
    <row r="37" ht="14.25" customHeight="1">
      <c r="A37" s="69"/>
      <c r="B37" s="39">
        <v>45474.0</v>
      </c>
      <c r="C37" s="39">
        <v>45489.0</v>
      </c>
      <c r="D37" s="40" t="s">
        <v>298</v>
      </c>
      <c r="E37" s="40"/>
      <c r="F37" s="40" t="s">
        <v>299</v>
      </c>
      <c r="G37" s="40" t="s">
        <v>292</v>
      </c>
      <c r="H37" s="56">
        <v>3072.0</v>
      </c>
      <c r="I37" s="56">
        <v>3143.0</v>
      </c>
      <c r="J37" s="56">
        <f t="shared" si="1"/>
        <v>71</v>
      </c>
      <c r="K37" s="56">
        <v>610.0</v>
      </c>
      <c r="L37" s="57"/>
    </row>
    <row r="38" ht="14.25" customHeight="1">
      <c r="A38" s="69"/>
      <c r="B38" s="70">
        <v>45490.0</v>
      </c>
      <c r="C38" s="54">
        <v>45504.0</v>
      </c>
      <c r="D38" s="56" t="s">
        <v>298</v>
      </c>
      <c r="E38" s="56"/>
      <c r="F38" s="56" t="s">
        <v>299</v>
      </c>
      <c r="G38" s="56" t="s">
        <v>289</v>
      </c>
      <c r="H38" s="56">
        <v>3143.0</v>
      </c>
      <c r="I38" s="56">
        <v>3245.7</v>
      </c>
      <c r="J38" s="56">
        <f t="shared" si="1"/>
        <v>102.7</v>
      </c>
      <c r="K38" s="56">
        <v>1345.0</v>
      </c>
      <c r="L38" s="57"/>
    </row>
    <row r="39" ht="14.25" customHeight="1">
      <c r="A39" s="52"/>
      <c r="B39" s="53">
        <v>45505.0</v>
      </c>
      <c r="C39" s="54">
        <v>45512.0</v>
      </c>
      <c r="D39" s="56" t="s">
        <v>298</v>
      </c>
      <c r="E39" s="56"/>
      <c r="F39" s="56" t="s">
        <v>299</v>
      </c>
      <c r="G39" s="56" t="s">
        <v>289</v>
      </c>
      <c r="H39" s="56">
        <v>3245.7</v>
      </c>
      <c r="I39" s="56">
        <v>3296.6</v>
      </c>
      <c r="J39" s="56">
        <f t="shared" si="1"/>
        <v>50.9</v>
      </c>
      <c r="K39" s="56">
        <v>401.0</v>
      </c>
      <c r="L39" s="57"/>
    </row>
    <row r="40" ht="14.25" customHeight="1">
      <c r="A40" s="52"/>
      <c r="B40" s="53"/>
      <c r="C40" s="77" t="s">
        <v>300</v>
      </c>
      <c r="D40" s="78"/>
      <c r="E40" s="78"/>
      <c r="F40" s="78"/>
      <c r="G40" s="79"/>
      <c r="H40" s="56"/>
      <c r="I40" s="56"/>
      <c r="J40" s="56">
        <f t="shared" si="1"/>
        <v>0</v>
      </c>
      <c r="K40" s="56"/>
      <c r="L40" s="57"/>
    </row>
    <row r="41" ht="14.25" customHeight="1">
      <c r="A41" s="52"/>
      <c r="B41" s="53">
        <v>45523.0</v>
      </c>
      <c r="C41" s="54">
        <v>45526.0</v>
      </c>
      <c r="D41" s="56" t="s">
        <v>298</v>
      </c>
      <c r="E41" s="56"/>
      <c r="F41" s="56" t="s">
        <v>299</v>
      </c>
      <c r="G41" s="56" t="s">
        <v>301</v>
      </c>
      <c r="H41" s="56">
        <v>3308.0</v>
      </c>
      <c r="I41" s="56">
        <v>3346.2</v>
      </c>
      <c r="J41" s="56">
        <f t="shared" si="1"/>
        <v>38.2</v>
      </c>
      <c r="K41" s="56">
        <v>600.0</v>
      </c>
      <c r="L41" s="57"/>
    </row>
    <row r="42" ht="14.25" customHeight="1">
      <c r="A42" s="52"/>
      <c r="B42" s="53">
        <v>45531.0</v>
      </c>
      <c r="C42" s="54">
        <v>45534.0</v>
      </c>
      <c r="D42" s="56" t="s">
        <v>28</v>
      </c>
      <c r="E42" s="56" t="s">
        <v>293</v>
      </c>
      <c r="F42" s="56"/>
      <c r="G42" s="56" t="s">
        <v>82</v>
      </c>
      <c r="H42" s="56">
        <v>3348.5</v>
      </c>
      <c r="I42" s="56">
        <v>3380.0</v>
      </c>
      <c r="J42" s="56">
        <f t="shared" si="1"/>
        <v>31.5</v>
      </c>
      <c r="K42" s="56">
        <v>528.0</v>
      </c>
      <c r="L42" s="57"/>
    </row>
    <row r="43" ht="14.25" customHeight="1">
      <c r="A43" s="52"/>
      <c r="B43" s="53">
        <v>45536.0</v>
      </c>
      <c r="C43" s="54">
        <v>45554.0</v>
      </c>
      <c r="D43" s="56" t="s">
        <v>28</v>
      </c>
      <c r="E43" s="56" t="s">
        <v>293</v>
      </c>
      <c r="F43" s="56" t="s">
        <v>302</v>
      </c>
      <c r="G43" s="56" t="s">
        <v>289</v>
      </c>
      <c r="H43" s="56">
        <v>3380.0</v>
      </c>
      <c r="I43" s="56">
        <v>3489.9</v>
      </c>
      <c r="J43" s="56">
        <f t="shared" si="1"/>
        <v>109.9</v>
      </c>
      <c r="K43" s="56">
        <v>1175.0</v>
      </c>
      <c r="L43" s="57"/>
    </row>
    <row r="44" ht="14.25" customHeight="1">
      <c r="A44" s="52"/>
      <c r="B44" s="53">
        <v>45554.0</v>
      </c>
      <c r="C44" s="54">
        <v>45565.0</v>
      </c>
      <c r="D44" s="56" t="s">
        <v>303</v>
      </c>
      <c r="E44" s="56" t="s">
        <v>293</v>
      </c>
      <c r="F44" s="56" t="s">
        <v>304</v>
      </c>
      <c r="G44" s="56" t="s">
        <v>289</v>
      </c>
      <c r="H44" s="56">
        <v>3489.9</v>
      </c>
      <c r="I44" s="56">
        <v>3567.0</v>
      </c>
      <c r="J44" s="56">
        <f t="shared" si="1"/>
        <v>77.1</v>
      </c>
      <c r="K44" s="56">
        <v>633.0</v>
      </c>
      <c r="L44" s="57"/>
    </row>
    <row r="45" ht="14.25" customHeight="1">
      <c r="A45" s="52"/>
      <c r="B45" s="53">
        <v>45566.0</v>
      </c>
      <c r="C45" s="54">
        <v>45567.0</v>
      </c>
      <c r="D45" s="56" t="s">
        <v>26</v>
      </c>
      <c r="E45" s="56"/>
      <c r="F45" s="56" t="s">
        <v>305</v>
      </c>
      <c r="G45" s="56" t="s">
        <v>292</v>
      </c>
      <c r="H45" s="56">
        <v>3568.0</v>
      </c>
      <c r="I45" s="56">
        <v>3585.0</v>
      </c>
      <c r="J45" s="56">
        <f t="shared" si="1"/>
        <v>17</v>
      </c>
      <c r="K45" s="56"/>
      <c r="L45" s="57"/>
    </row>
    <row r="46" ht="14.25" customHeight="1">
      <c r="A46" s="52"/>
      <c r="B46" s="53">
        <v>45581.0</v>
      </c>
      <c r="C46" s="54">
        <v>45583.0</v>
      </c>
      <c r="D46" s="56" t="s">
        <v>306</v>
      </c>
      <c r="E46" s="56"/>
      <c r="F46" s="56"/>
      <c r="G46" s="56"/>
      <c r="H46" s="56">
        <v>3521.0</v>
      </c>
      <c r="I46" s="56">
        <v>3619.9</v>
      </c>
      <c r="J46" s="56">
        <f t="shared" si="1"/>
        <v>98.9</v>
      </c>
      <c r="K46" s="56">
        <v>510.0</v>
      </c>
      <c r="L46" s="57"/>
    </row>
    <row r="47" ht="14.25" customHeight="1">
      <c r="A47" s="52"/>
      <c r="B47" s="53">
        <v>45584.0</v>
      </c>
      <c r="C47" s="54">
        <v>45594.0</v>
      </c>
      <c r="D47" s="56" t="s">
        <v>86</v>
      </c>
      <c r="E47" s="56"/>
      <c r="F47" s="56" t="s">
        <v>36</v>
      </c>
      <c r="G47" s="56" t="s">
        <v>289</v>
      </c>
      <c r="H47" s="56">
        <v>3619.9</v>
      </c>
      <c r="I47" s="56">
        <v>3676.6</v>
      </c>
      <c r="J47" s="56">
        <f t="shared" si="1"/>
        <v>56.7</v>
      </c>
      <c r="K47" s="56"/>
      <c r="L47" s="57"/>
    </row>
    <row r="48" ht="14.25" customHeight="1">
      <c r="A48" s="52"/>
      <c r="B48" s="53">
        <v>45595.0</v>
      </c>
      <c r="C48" s="54">
        <v>45595.0</v>
      </c>
      <c r="D48" s="56" t="s">
        <v>67</v>
      </c>
      <c r="E48" s="56"/>
      <c r="F48" s="56" t="s">
        <v>36</v>
      </c>
      <c r="G48" s="56" t="s">
        <v>289</v>
      </c>
      <c r="H48" s="56">
        <v>3696.0</v>
      </c>
      <c r="I48" s="56">
        <v>3683.0</v>
      </c>
      <c r="J48" s="56">
        <f t="shared" si="1"/>
        <v>-13</v>
      </c>
      <c r="K48" s="56">
        <v>230.0</v>
      </c>
      <c r="L48" s="57"/>
    </row>
    <row r="49" ht="14.25" customHeight="1">
      <c r="A49" s="52"/>
      <c r="B49" s="53">
        <v>45596.0</v>
      </c>
      <c r="C49" s="54">
        <v>45600.0</v>
      </c>
      <c r="D49" s="56" t="s">
        <v>28</v>
      </c>
      <c r="E49" s="56"/>
      <c r="F49" s="56" t="s">
        <v>257</v>
      </c>
      <c r="G49" s="56" t="s">
        <v>289</v>
      </c>
      <c r="H49" s="56">
        <v>3683.0</v>
      </c>
      <c r="I49" s="56">
        <v>3708.0</v>
      </c>
      <c r="J49" s="56">
        <f t="shared" si="1"/>
        <v>25</v>
      </c>
      <c r="K49" s="56">
        <v>600.0</v>
      </c>
      <c r="L49" s="57"/>
    </row>
    <row r="50" ht="14.25" customHeight="1">
      <c r="A50" s="52"/>
      <c r="B50" s="53">
        <v>45602.0</v>
      </c>
      <c r="C50" s="54">
        <v>45608.0</v>
      </c>
      <c r="D50" s="56" t="s">
        <v>307</v>
      </c>
      <c r="E50" s="56"/>
      <c r="F50" s="56" t="s">
        <v>308</v>
      </c>
      <c r="G50" s="56" t="s">
        <v>289</v>
      </c>
      <c r="H50" s="56">
        <v>1948.3</v>
      </c>
      <c r="I50" s="56">
        <v>1976.8</v>
      </c>
      <c r="J50" s="56">
        <f t="shared" si="1"/>
        <v>28.5</v>
      </c>
      <c r="K50" s="56">
        <v>422.0</v>
      </c>
      <c r="L50" s="57"/>
    </row>
    <row r="51" ht="15.0" customHeight="1">
      <c r="A51" s="52"/>
      <c r="B51" s="53">
        <v>45610.0</v>
      </c>
      <c r="C51" s="54">
        <v>45615.0</v>
      </c>
      <c r="D51" s="56" t="s">
        <v>298</v>
      </c>
      <c r="E51" s="56"/>
      <c r="F51" s="56" t="s">
        <v>309</v>
      </c>
      <c r="G51" s="56" t="s">
        <v>289</v>
      </c>
      <c r="H51" s="56">
        <v>1976.8</v>
      </c>
      <c r="I51" s="56">
        <v>2004.2</v>
      </c>
      <c r="J51" s="56">
        <f t="shared" si="1"/>
        <v>27.4</v>
      </c>
      <c r="K51" s="56">
        <v>400.0</v>
      </c>
      <c r="L51" s="57"/>
    </row>
    <row r="52" ht="14.25" customHeight="1">
      <c r="A52" s="52"/>
      <c r="B52" s="53">
        <v>45616.0</v>
      </c>
      <c r="C52" s="54">
        <v>45626.0</v>
      </c>
      <c r="D52" s="56" t="s">
        <v>310</v>
      </c>
      <c r="E52" s="56"/>
      <c r="F52" s="56" t="s">
        <v>71</v>
      </c>
      <c r="G52" s="56" t="s">
        <v>289</v>
      </c>
      <c r="H52" s="56">
        <v>2004.2</v>
      </c>
      <c r="I52" s="56">
        <v>2086.0</v>
      </c>
      <c r="J52" s="56">
        <f t="shared" si="1"/>
        <v>81.8</v>
      </c>
      <c r="K52" s="56">
        <v>460.0</v>
      </c>
      <c r="L52" s="57"/>
    </row>
    <row r="53" ht="14.25" customHeight="1">
      <c r="A53" s="52"/>
      <c r="B53" s="53">
        <v>45627.0</v>
      </c>
      <c r="C53" s="54">
        <v>45656.0</v>
      </c>
      <c r="D53" s="56" t="s">
        <v>310</v>
      </c>
      <c r="E53" s="56"/>
      <c r="F53" s="56" t="s">
        <v>71</v>
      </c>
      <c r="G53" s="56" t="s">
        <v>289</v>
      </c>
      <c r="H53" s="56">
        <v>2086.0</v>
      </c>
      <c r="I53" s="56">
        <v>2176.0</v>
      </c>
      <c r="J53" s="56">
        <f t="shared" si="1"/>
        <v>90</v>
      </c>
      <c r="K53" s="56">
        <v>630.0</v>
      </c>
      <c r="L53" s="57"/>
    </row>
    <row r="54" ht="14.25" customHeight="1">
      <c r="A54" s="52"/>
      <c r="B54" s="53">
        <v>45664.0</v>
      </c>
      <c r="C54" s="54">
        <v>45666.0</v>
      </c>
      <c r="D54" s="56" t="s">
        <v>187</v>
      </c>
      <c r="E54" s="56"/>
      <c r="F54" s="56" t="s">
        <v>311</v>
      </c>
      <c r="G54" s="56" t="s">
        <v>312</v>
      </c>
      <c r="H54" s="56">
        <v>4040.2</v>
      </c>
      <c r="I54" s="56">
        <v>4066.6</v>
      </c>
      <c r="J54" s="56">
        <f t="shared" si="1"/>
        <v>26.4</v>
      </c>
      <c r="K54" s="56">
        <v>370.0</v>
      </c>
      <c r="L54" s="57"/>
    </row>
    <row r="55" ht="14.25" customHeight="1">
      <c r="A55" s="52"/>
      <c r="B55" s="53">
        <v>45667.0</v>
      </c>
      <c r="C55" s="54">
        <v>45668.0</v>
      </c>
      <c r="D55" s="56" t="s">
        <v>313</v>
      </c>
      <c r="E55" s="56"/>
      <c r="F55" s="56"/>
      <c r="G55" s="56" t="s">
        <v>312</v>
      </c>
      <c r="H55" s="56">
        <v>4066.6</v>
      </c>
      <c r="I55" s="56">
        <v>4086.5</v>
      </c>
      <c r="J55" s="56">
        <f t="shared" si="1"/>
        <v>19.9</v>
      </c>
      <c r="K55" s="56">
        <v>400.0</v>
      </c>
      <c r="L55" s="57"/>
    </row>
    <row r="56" ht="14.25" customHeight="1">
      <c r="A56" s="52"/>
      <c r="B56" s="53">
        <v>45670.0</v>
      </c>
      <c r="C56" s="54">
        <v>45672.0</v>
      </c>
      <c r="D56" s="56" t="s">
        <v>314</v>
      </c>
      <c r="E56" s="56"/>
      <c r="F56" s="56" t="s">
        <v>315</v>
      </c>
      <c r="G56" s="56" t="s">
        <v>312</v>
      </c>
      <c r="H56" s="56">
        <v>4086.5</v>
      </c>
      <c r="I56" s="56">
        <v>4107.0</v>
      </c>
      <c r="J56" s="56">
        <f t="shared" si="1"/>
        <v>20.5</v>
      </c>
      <c r="K56" s="56">
        <v>542.0</v>
      </c>
      <c r="L56" s="57"/>
    </row>
    <row r="57" ht="14.25" customHeight="1">
      <c r="A57" s="52"/>
      <c r="B57" s="53">
        <v>45686.0</v>
      </c>
      <c r="C57" s="54">
        <v>45688.0</v>
      </c>
      <c r="D57" s="56" t="s">
        <v>187</v>
      </c>
      <c r="E57" s="56"/>
      <c r="F57" s="56" t="s">
        <v>67</v>
      </c>
      <c r="G57" s="56" t="s">
        <v>312</v>
      </c>
      <c r="H57" s="56">
        <v>4115.0</v>
      </c>
      <c r="I57" s="56">
        <v>4140.3</v>
      </c>
      <c r="J57" s="56">
        <f t="shared" si="1"/>
        <v>25.3</v>
      </c>
      <c r="K57" s="56">
        <v>490.0</v>
      </c>
      <c r="L57" s="57"/>
    </row>
    <row r="58" ht="14.25" customHeight="1">
      <c r="A58" s="52"/>
      <c r="B58" s="53">
        <v>45691.0</v>
      </c>
      <c r="C58" s="54">
        <v>45716.0</v>
      </c>
      <c r="D58" s="56" t="s">
        <v>316</v>
      </c>
      <c r="E58" s="56"/>
      <c r="F58" s="56" t="s">
        <v>317</v>
      </c>
      <c r="G58" s="56" t="s">
        <v>312</v>
      </c>
      <c r="H58" s="56">
        <v>4140.3</v>
      </c>
      <c r="I58" s="56">
        <v>4312.8</v>
      </c>
      <c r="J58" s="56">
        <f t="shared" si="1"/>
        <v>172.5</v>
      </c>
      <c r="K58" s="56">
        <v>2621.0</v>
      </c>
      <c r="L58" s="57"/>
    </row>
    <row r="59" ht="14.25" customHeight="1">
      <c r="A59" s="52"/>
      <c r="B59" s="53">
        <v>45719.0</v>
      </c>
      <c r="C59" s="54">
        <v>45723.0</v>
      </c>
      <c r="D59" s="56" t="s">
        <v>187</v>
      </c>
      <c r="E59" s="56"/>
      <c r="F59" s="56" t="s">
        <v>317</v>
      </c>
      <c r="G59" s="56" t="s">
        <v>312</v>
      </c>
      <c r="H59" s="56">
        <v>4318.8</v>
      </c>
      <c r="I59" s="56">
        <v>4368.5</v>
      </c>
      <c r="J59" s="56">
        <f t="shared" si="1"/>
        <v>49.7</v>
      </c>
      <c r="K59" s="56">
        <v>620.0</v>
      </c>
      <c r="L59" s="57"/>
    </row>
    <row r="60" ht="14.25" customHeight="1">
      <c r="A60" s="52"/>
      <c r="B60" s="53">
        <v>45730.0</v>
      </c>
      <c r="C60" s="54">
        <v>45731.0</v>
      </c>
      <c r="D60" s="56" t="s">
        <v>134</v>
      </c>
      <c r="E60" s="56"/>
      <c r="F60" s="56" t="s">
        <v>318</v>
      </c>
      <c r="G60" s="56" t="s">
        <v>312</v>
      </c>
      <c r="H60" s="56">
        <v>9308.0</v>
      </c>
      <c r="I60" s="56">
        <v>9325.9</v>
      </c>
      <c r="J60" s="56">
        <f t="shared" si="1"/>
        <v>17.9</v>
      </c>
      <c r="K60" s="56">
        <v>450.0</v>
      </c>
      <c r="L60" s="57"/>
    </row>
    <row r="61" ht="14.25" customHeight="1">
      <c r="A61" s="52"/>
      <c r="B61" s="80">
        <v>45741.0</v>
      </c>
      <c r="C61" s="81">
        <v>45747.0</v>
      </c>
      <c r="D61" s="82" t="s">
        <v>187</v>
      </c>
      <c r="E61" s="82"/>
      <c r="F61" s="82" t="s">
        <v>317</v>
      </c>
      <c r="G61" s="82" t="s">
        <v>312</v>
      </c>
      <c r="H61" s="82">
        <v>4378.2</v>
      </c>
      <c r="I61" s="82">
        <v>4425.6</v>
      </c>
      <c r="J61" s="82">
        <f t="shared" si="1"/>
        <v>47.4</v>
      </c>
      <c r="K61" s="82">
        <v>660.0</v>
      </c>
      <c r="L61" s="83"/>
    </row>
    <row r="62" ht="14.25" customHeight="1">
      <c r="A62" s="52"/>
      <c r="B62" s="84" t="s">
        <v>319</v>
      </c>
      <c r="C62" s="85"/>
      <c r="D62" s="86"/>
      <c r="E62" s="86"/>
      <c r="F62" s="86"/>
      <c r="G62" s="86"/>
      <c r="H62" s="86"/>
      <c r="I62" s="86"/>
      <c r="J62" s="86"/>
      <c r="K62" s="86"/>
      <c r="L62" s="87"/>
    </row>
    <row r="63" ht="14.25" customHeight="1">
      <c r="A63" s="52"/>
      <c r="B63" s="88"/>
      <c r="C63" s="43"/>
      <c r="D63" s="44"/>
      <c r="E63" s="44"/>
      <c r="F63" s="44"/>
      <c r="G63" s="44"/>
      <c r="H63" s="44"/>
      <c r="I63" s="44"/>
      <c r="J63" s="44"/>
      <c r="K63" s="44"/>
      <c r="L63" s="89"/>
    </row>
    <row r="64" ht="14.25" customHeight="1">
      <c r="A64" s="52"/>
      <c r="B64" s="90"/>
      <c r="C64" s="91"/>
      <c r="D64" s="92"/>
      <c r="E64" s="92"/>
      <c r="F64" s="92"/>
      <c r="G64" s="92"/>
      <c r="H64" s="92"/>
      <c r="I64" s="92"/>
      <c r="J64" s="92"/>
      <c r="K64" s="92"/>
      <c r="L64" s="93"/>
    </row>
    <row r="65" ht="14.25" customHeight="1">
      <c r="A65" s="52"/>
      <c r="B65" s="94">
        <v>45748.0</v>
      </c>
      <c r="C65" s="95">
        <v>45751.0</v>
      </c>
      <c r="D65" s="96" t="s">
        <v>187</v>
      </c>
      <c r="E65" s="96"/>
      <c r="F65" s="96" t="s">
        <v>317</v>
      </c>
      <c r="G65" s="96" t="s">
        <v>312</v>
      </c>
      <c r="H65" s="96">
        <v>4425.6</v>
      </c>
      <c r="I65" s="96">
        <v>4463.2</v>
      </c>
      <c r="J65" s="96">
        <f t="shared" ref="J65:J367" si="2">I65-H65</f>
        <v>37.6</v>
      </c>
      <c r="K65" s="96">
        <v>560.0</v>
      </c>
      <c r="L65" s="97"/>
    </row>
    <row r="66" ht="14.25" customHeight="1">
      <c r="A66" s="52"/>
      <c r="B66" s="53">
        <v>45755.0</v>
      </c>
      <c r="C66" s="54">
        <v>45777.0</v>
      </c>
      <c r="D66" s="56" t="s">
        <v>187</v>
      </c>
      <c r="E66" s="56"/>
      <c r="F66" s="56" t="s">
        <v>317</v>
      </c>
      <c r="G66" s="56" t="s">
        <v>312</v>
      </c>
      <c r="H66" s="56">
        <v>3.58</v>
      </c>
      <c r="I66" s="56">
        <v>165.6</v>
      </c>
      <c r="J66" s="56">
        <f t="shared" si="2"/>
        <v>162.02</v>
      </c>
      <c r="K66" s="56">
        <v>1975.0</v>
      </c>
      <c r="L66" s="57"/>
    </row>
    <row r="67" ht="14.25" customHeight="1">
      <c r="A67" s="52"/>
      <c r="B67" s="53">
        <v>45778.0</v>
      </c>
      <c r="C67" s="54">
        <v>45808.0</v>
      </c>
      <c r="D67" s="56" t="s">
        <v>187</v>
      </c>
      <c r="E67" s="56"/>
      <c r="F67" s="56" t="s">
        <v>317</v>
      </c>
      <c r="G67" s="56" t="s">
        <v>312</v>
      </c>
      <c r="H67" s="56">
        <v>165.6</v>
      </c>
      <c r="I67" s="56">
        <v>404.14</v>
      </c>
      <c r="J67" s="56">
        <f t="shared" si="2"/>
        <v>238.54</v>
      </c>
      <c r="K67" s="56">
        <v>2568.0</v>
      </c>
      <c r="L67" s="57"/>
    </row>
    <row r="68" ht="14.25" customHeight="1">
      <c r="A68" s="52"/>
      <c r="B68" s="53">
        <v>45810.0</v>
      </c>
      <c r="C68" s="54">
        <v>45827.0</v>
      </c>
      <c r="D68" s="56" t="s">
        <v>187</v>
      </c>
      <c r="E68" s="56"/>
      <c r="F68" s="56" t="s">
        <v>317</v>
      </c>
      <c r="G68" s="56" t="s">
        <v>320</v>
      </c>
      <c r="H68" s="56">
        <v>404.14</v>
      </c>
      <c r="I68" s="56">
        <v>547.27</v>
      </c>
      <c r="J68" s="56">
        <f t="shared" si="2"/>
        <v>143.13</v>
      </c>
      <c r="K68" s="56">
        <v>1626.0</v>
      </c>
      <c r="L68" s="57"/>
    </row>
    <row r="69" ht="14.25" customHeight="1">
      <c r="A69" s="52"/>
      <c r="B69" s="53">
        <v>45827.0</v>
      </c>
      <c r="C69" s="54">
        <v>45473.0</v>
      </c>
      <c r="D69" s="56" t="s">
        <v>187</v>
      </c>
      <c r="E69" s="56"/>
      <c r="F69" s="56" t="s">
        <v>256</v>
      </c>
      <c r="G69" s="56" t="s">
        <v>312</v>
      </c>
      <c r="H69" s="56">
        <v>547.27</v>
      </c>
      <c r="I69" s="56">
        <v>626.07</v>
      </c>
      <c r="J69" s="56">
        <f t="shared" si="2"/>
        <v>78.8</v>
      </c>
      <c r="K69" s="56">
        <v>1129.0</v>
      </c>
      <c r="L69" s="57"/>
    </row>
    <row r="70" ht="14.25" customHeight="1">
      <c r="A70" s="52"/>
      <c r="B70" s="53">
        <v>45839.0</v>
      </c>
      <c r="C70" s="54">
        <v>45867.0</v>
      </c>
      <c r="D70" s="56" t="s">
        <v>187</v>
      </c>
      <c r="E70" s="56"/>
      <c r="F70" s="56" t="s">
        <v>256</v>
      </c>
      <c r="G70" s="56" t="s">
        <v>312</v>
      </c>
      <c r="H70" s="56">
        <v>626.07</v>
      </c>
      <c r="I70" s="56">
        <v>849.0</v>
      </c>
      <c r="J70" s="56">
        <f t="shared" si="2"/>
        <v>222.93</v>
      </c>
      <c r="K70" s="56">
        <v>3382.0</v>
      </c>
      <c r="L70" s="57"/>
    </row>
    <row r="71" ht="14.25" customHeight="1">
      <c r="A71" s="52"/>
      <c r="B71" s="53">
        <v>45881.0</v>
      </c>
      <c r="C71" s="54">
        <v>45899.0</v>
      </c>
      <c r="D71" s="56" t="s">
        <v>187</v>
      </c>
      <c r="E71" s="56"/>
      <c r="F71" s="56" t="s">
        <v>256</v>
      </c>
      <c r="G71" s="56" t="s">
        <v>312</v>
      </c>
      <c r="H71" s="56">
        <v>930.5</v>
      </c>
      <c r="I71" s="56">
        <v>1212.51</v>
      </c>
      <c r="J71" s="56">
        <f t="shared" si="2"/>
        <v>282.01</v>
      </c>
      <c r="K71" s="56"/>
      <c r="L71" s="57"/>
    </row>
    <row r="72" ht="14.25" customHeight="1">
      <c r="A72" s="52"/>
      <c r="B72" s="53">
        <v>45901.0</v>
      </c>
      <c r="C72" s="54">
        <v>45915.0</v>
      </c>
      <c r="D72" s="56" t="s">
        <v>187</v>
      </c>
      <c r="E72" s="56"/>
      <c r="F72" s="56" t="s">
        <v>256</v>
      </c>
      <c r="G72" s="56" t="s">
        <v>312</v>
      </c>
      <c r="H72" s="56">
        <v>1218.36</v>
      </c>
      <c r="I72" s="56">
        <v>1346.89</v>
      </c>
      <c r="J72" s="56">
        <f t="shared" si="2"/>
        <v>128.53</v>
      </c>
      <c r="K72" s="56"/>
      <c r="L72" s="57"/>
    </row>
    <row r="73" ht="14.25" customHeight="1">
      <c r="A73" s="52"/>
      <c r="B73" s="53">
        <v>45916.0</v>
      </c>
      <c r="C73" s="54">
        <v>45923.0</v>
      </c>
      <c r="D73" s="56" t="s">
        <v>58</v>
      </c>
      <c r="E73" s="56"/>
      <c r="F73" s="56" t="s">
        <v>114</v>
      </c>
      <c r="G73" s="56" t="s">
        <v>312</v>
      </c>
      <c r="H73" s="56">
        <v>1346.89</v>
      </c>
      <c r="I73" s="56">
        <v>1403.27</v>
      </c>
      <c r="J73" s="56">
        <f t="shared" si="2"/>
        <v>56.38</v>
      </c>
      <c r="K73" s="56"/>
      <c r="L73" s="57"/>
    </row>
    <row r="74" ht="14.25" customHeight="1">
      <c r="A74" s="52"/>
      <c r="B74" s="53">
        <v>45926.0</v>
      </c>
      <c r="C74" s="54">
        <v>45930.0</v>
      </c>
      <c r="D74" s="56" t="s">
        <v>187</v>
      </c>
      <c r="E74" s="56"/>
      <c r="F74" s="56" t="s">
        <v>237</v>
      </c>
      <c r="G74" s="56" t="s">
        <v>312</v>
      </c>
      <c r="H74" s="56">
        <v>1403.27</v>
      </c>
      <c r="I74" s="56">
        <v>1433.98</v>
      </c>
      <c r="J74" s="56">
        <f t="shared" si="2"/>
        <v>30.71</v>
      </c>
      <c r="K74" s="56"/>
      <c r="L74" s="57"/>
    </row>
    <row r="75" ht="14.25" customHeight="1">
      <c r="A75" s="52"/>
      <c r="B75" s="98">
        <v>45931.0</v>
      </c>
      <c r="C75" s="99">
        <v>45961.0</v>
      </c>
      <c r="D75" s="100" t="s">
        <v>187</v>
      </c>
      <c r="E75" s="56"/>
      <c r="F75" s="100" t="s">
        <v>237</v>
      </c>
      <c r="G75" s="100" t="s">
        <v>312</v>
      </c>
      <c r="H75" s="100">
        <v>1433.98</v>
      </c>
      <c r="I75" s="100">
        <v>1668.95</v>
      </c>
      <c r="J75" s="56">
        <f t="shared" si="2"/>
        <v>234.97</v>
      </c>
      <c r="K75" s="56"/>
      <c r="L75" s="57"/>
    </row>
    <row r="76" ht="14.25" customHeight="1">
      <c r="A76" s="52"/>
      <c r="B76" s="98">
        <v>45992.0</v>
      </c>
      <c r="C76" s="99">
        <v>46022.0</v>
      </c>
      <c r="D76" s="100" t="s">
        <v>187</v>
      </c>
      <c r="E76" s="56"/>
      <c r="F76" s="100" t="s">
        <v>256</v>
      </c>
      <c r="G76" s="100" t="s">
        <v>312</v>
      </c>
      <c r="H76" s="100">
        <v>1910.35</v>
      </c>
      <c r="I76" s="100">
        <v>2120.05</v>
      </c>
      <c r="J76" s="56">
        <f t="shared" si="2"/>
        <v>209.7</v>
      </c>
      <c r="K76" s="100">
        <v>2918.0</v>
      </c>
      <c r="L76" s="57"/>
    </row>
    <row r="77" ht="14.25" customHeight="1">
      <c r="A77" s="52"/>
      <c r="B77" s="53"/>
      <c r="C77" s="54"/>
      <c r="D77" s="56"/>
      <c r="E77" s="56"/>
      <c r="F77" s="56"/>
      <c r="G77" s="56"/>
      <c r="H77" s="56"/>
      <c r="I77" s="56"/>
      <c r="J77" s="56">
        <f t="shared" si="2"/>
        <v>0</v>
      </c>
      <c r="K77" s="56"/>
      <c r="L77" s="57"/>
    </row>
    <row r="78" ht="14.25" customHeight="1">
      <c r="A78" s="52"/>
      <c r="B78" s="53"/>
      <c r="C78" s="54"/>
      <c r="D78" s="56"/>
      <c r="E78" s="56"/>
      <c r="F78" s="56"/>
      <c r="G78" s="56"/>
      <c r="H78" s="56"/>
      <c r="I78" s="56"/>
      <c r="J78" s="56">
        <f t="shared" si="2"/>
        <v>0</v>
      </c>
      <c r="K78" s="56"/>
      <c r="L78" s="57"/>
    </row>
    <row r="79" ht="14.25" customHeight="1">
      <c r="A79" s="52"/>
      <c r="B79" s="53"/>
      <c r="C79" s="54"/>
      <c r="D79" s="56"/>
      <c r="E79" s="56"/>
      <c r="F79" s="56"/>
      <c r="G79" s="56"/>
      <c r="H79" s="56"/>
      <c r="I79" s="56"/>
      <c r="J79" s="56">
        <f t="shared" si="2"/>
        <v>0</v>
      </c>
      <c r="K79" s="56"/>
      <c r="L79" s="57"/>
    </row>
    <row r="80" ht="14.25" customHeight="1">
      <c r="A80" s="52"/>
      <c r="B80" s="53"/>
      <c r="C80" s="54"/>
      <c r="D80" s="56"/>
      <c r="E80" s="56"/>
      <c r="F80" s="56"/>
      <c r="G80" s="56"/>
      <c r="H80" s="56"/>
      <c r="I80" s="56"/>
      <c r="J80" s="56">
        <f t="shared" si="2"/>
        <v>0</v>
      </c>
      <c r="K80" s="56"/>
      <c r="L80" s="57"/>
    </row>
    <row r="81" ht="14.25" customHeight="1">
      <c r="A81" s="52"/>
      <c r="B81" s="53"/>
      <c r="C81" s="54"/>
      <c r="D81" s="56"/>
      <c r="E81" s="56"/>
      <c r="F81" s="56"/>
      <c r="G81" s="56"/>
      <c r="H81" s="56"/>
      <c r="I81" s="56"/>
      <c r="J81" s="56">
        <f t="shared" si="2"/>
        <v>0</v>
      </c>
      <c r="K81" s="56"/>
      <c r="L81" s="57"/>
    </row>
    <row r="82" ht="14.25" customHeight="1">
      <c r="A82" s="52"/>
      <c r="B82" s="53"/>
      <c r="C82" s="54"/>
      <c r="D82" s="56"/>
      <c r="E82" s="56"/>
      <c r="F82" s="56"/>
      <c r="G82" s="56"/>
      <c r="H82" s="56"/>
      <c r="I82" s="56"/>
      <c r="J82" s="56">
        <f t="shared" si="2"/>
        <v>0</v>
      </c>
      <c r="K82" s="56"/>
      <c r="L82" s="57"/>
    </row>
    <row r="83" ht="14.25" customHeight="1">
      <c r="A83" s="52"/>
      <c r="B83" s="53"/>
      <c r="C83" s="54"/>
      <c r="D83" s="56"/>
      <c r="E83" s="56"/>
      <c r="F83" s="56"/>
      <c r="G83" s="56"/>
      <c r="H83" s="56"/>
      <c r="I83" s="56"/>
      <c r="J83" s="56">
        <f t="shared" si="2"/>
        <v>0</v>
      </c>
      <c r="K83" s="56"/>
      <c r="L83" s="57"/>
    </row>
    <row r="84" ht="14.25" customHeight="1">
      <c r="A84" s="52"/>
      <c r="B84" s="53"/>
      <c r="C84" s="54"/>
      <c r="D84" s="56"/>
      <c r="E84" s="56"/>
      <c r="F84" s="56"/>
      <c r="G84" s="56"/>
      <c r="H84" s="56"/>
      <c r="I84" s="56"/>
      <c r="J84" s="56">
        <f t="shared" si="2"/>
        <v>0</v>
      </c>
      <c r="K84" s="56"/>
      <c r="L84" s="57"/>
    </row>
    <row r="85" ht="14.25" customHeight="1">
      <c r="A85" s="52"/>
      <c r="B85" s="53"/>
      <c r="C85" s="54"/>
      <c r="D85" s="56"/>
      <c r="E85" s="56"/>
      <c r="F85" s="56"/>
      <c r="G85" s="56"/>
      <c r="H85" s="56"/>
      <c r="I85" s="56"/>
      <c r="J85" s="56">
        <f t="shared" si="2"/>
        <v>0</v>
      </c>
      <c r="K85" s="56"/>
      <c r="L85" s="57"/>
    </row>
    <row r="86" ht="14.25" customHeight="1">
      <c r="A86" s="52"/>
      <c r="B86" s="53"/>
      <c r="C86" s="54"/>
      <c r="D86" s="56"/>
      <c r="E86" s="56"/>
      <c r="F86" s="56"/>
      <c r="G86" s="56"/>
      <c r="H86" s="56"/>
      <c r="I86" s="56"/>
      <c r="J86" s="56">
        <f t="shared" si="2"/>
        <v>0</v>
      </c>
      <c r="K86" s="56"/>
      <c r="L86" s="57"/>
    </row>
    <row r="87" ht="14.25" customHeight="1">
      <c r="A87" s="52"/>
      <c r="B87" s="53"/>
      <c r="C87" s="54"/>
      <c r="D87" s="56"/>
      <c r="E87" s="56"/>
      <c r="F87" s="56"/>
      <c r="G87" s="56"/>
      <c r="H87" s="56"/>
      <c r="I87" s="56"/>
      <c r="J87" s="56">
        <f t="shared" si="2"/>
        <v>0</v>
      </c>
      <c r="K87" s="56"/>
      <c r="L87" s="57"/>
    </row>
    <row r="88" ht="14.25" customHeight="1">
      <c r="A88" s="52"/>
      <c r="B88" s="53"/>
      <c r="C88" s="54"/>
      <c r="D88" s="56"/>
      <c r="E88" s="56"/>
      <c r="F88" s="56"/>
      <c r="G88" s="56"/>
      <c r="H88" s="56"/>
      <c r="I88" s="56"/>
      <c r="J88" s="56">
        <f t="shared" si="2"/>
        <v>0</v>
      </c>
      <c r="K88" s="56"/>
      <c r="L88" s="57"/>
    </row>
    <row r="89" ht="14.25" customHeight="1">
      <c r="A89" s="52"/>
      <c r="B89" s="53"/>
      <c r="C89" s="54"/>
      <c r="D89" s="56"/>
      <c r="E89" s="56"/>
      <c r="F89" s="56"/>
      <c r="G89" s="56"/>
      <c r="H89" s="56"/>
      <c r="I89" s="56"/>
      <c r="J89" s="56">
        <f t="shared" si="2"/>
        <v>0</v>
      </c>
      <c r="K89" s="56"/>
      <c r="L89" s="57"/>
    </row>
    <row r="90" ht="14.25" customHeight="1">
      <c r="A90" s="52"/>
      <c r="B90" s="53"/>
      <c r="C90" s="54"/>
      <c r="D90" s="56"/>
      <c r="E90" s="56"/>
      <c r="F90" s="56"/>
      <c r="G90" s="56"/>
      <c r="H90" s="56"/>
      <c r="I90" s="56"/>
      <c r="J90" s="56">
        <f t="shared" si="2"/>
        <v>0</v>
      </c>
      <c r="K90" s="56"/>
      <c r="L90" s="57"/>
    </row>
    <row r="91" ht="14.25" customHeight="1">
      <c r="A91" s="52"/>
      <c r="B91" s="53"/>
      <c r="C91" s="54"/>
      <c r="D91" s="56"/>
      <c r="E91" s="56"/>
      <c r="F91" s="56"/>
      <c r="G91" s="56"/>
      <c r="H91" s="56"/>
      <c r="I91" s="56"/>
      <c r="J91" s="56">
        <f t="shared" si="2"/>
        <v>0</v>
      </c>
      <c r="K91" s="56"/>
      <c r="L91" s="57"/>
    </row>
    <row r="92" ht="14.25" customHeight="1">
      <c r="A92" s="52"/>
      <c r="B92" s="53"/>
      <c r="C92" s="54"/>
      <c r="D92" s="56"/>
      <c r="E92" s="56"/>
      <c r="F92" s="56"/>
      <c r="G92" s="56"/>
      <c r="H92" s="56"/>
      <c r="I92" s="56"/>
      <c r="J92" s="56">
        <f t="shared" si="2"/>
        <v>0</v>
      </c>
      <c r="K92" s="56"/>
      <c r="L92" s="57"/>
    </row>
    <row r="93" ht="14.25" customHeight="1">
      <c r="A93" s="52"/>
      <c r="B93" s="53"/>
      <c r="C93" s="54"/>
      <c r="D93" s="56"/>
      <c r="E93" s="56"/>
      <c r="F93" s="56"/>
      <c r="G93" s="56"/>
      <c r="H93" s="56"/>
      <c r="I93" s="56"/>
      <c r="J93" s="56">
        <f t="shared" si="2"/>
        <v>0</v>
      </c>
      <c r="K93" s="56"/>
      <c r="L93" s="57"/>
    </row>
    <row r="94" ht="14.25" customHeight="1">
      <c r="A94" s="52"/>
      <c r="B94" s="53"/>
      <c r="C94" s="54"/>
      <c r="D94" s="56"/>
      <c r="E94" s="56"/>
      <c r="F94" s="56"/>
      <c r="G94" s="56"/>
      <c r="H94" s="56"/>
      <c r="I94" s="56"/>
      <c r="J94" s="56">
        <f t="shared" si="2"/>
        <v>0</v>
      </c>
      <c r="K94" s="56"/>
      <c r="L94" s="57"/>
    </row>
    <row r="95" ht="14.25" customHeight="1">
      <c r="A95" s="52"/>
      <c r="B95" s="53"/>
      <c r="C95" s="54"/>
      <c r="D95" s="56"/>
      <c r="E95" s="56"/>
      <c r="F95" s="56"/>
      <c r="G95" s="56"/>
      <c r="H95" s="56"/>
      <c r="I95" s="56"/>
      <c r="J95" s="56">
        <f t="shared" si="2"/>
        <v>0</v>
      </c>
      <c r="K95" s="56"/>
      <c r="L95" s="57"/>
    </row>
    <row r="96" ht="14.25" customHeight="1">
      <c r="A96" s="52"/>
      <c r="B96" s="53"/>
      <c r="C96" s="54"/>
      <c r="D96" s="56"/>
      <c r="E96" s="56"/>
      <c r="F96" s="56"/>
      <c r="G96" s="56"/>
      <c r="H96" s="56"/>
      <c r="I96" s="56"/>
      <c r="J96" s="56">
        <f t="shared" si="2"/>
        <v>0</v>
      </c>
      <c r="K96" s="56"/>
      <c r="L96" s="57"/>
    </row>
    <row r="97" ht="14.25" customHeight="1">
      <c r="A97" s="52"/>
      <c r="B97" s="53"/>
      <c r="C97" s="54"/>
      <c r="D97" s="56"/>
      <c r="E97" s="56"/>
      <c r="F97" s="56"/>
      <c r="G97" s="56"/>
      <c r="H97" s="56"/>
      <c r="I97" s="56"/>
      <c r="J97" s="56">
        <f t="shared" si="2"/>
        <v>0</v>
      </c>
      <c r="K97" s="56"/>
      <c r="L97" s="57"/>
    </row>
    <row r="98" ht="14.25" customHeight="1">
      <c r="A98" s="52"/>
      <c r="B98" s="53"/>
      <c r="C98" s="54"/>
      <c r="D98" s="56"/>
      <c r="E98" s="56"/>
      <c r="F98" s="56"/>
      <c r="G98" s="56"/>
      <c r="H98" s="56"/>
      <c r="I98" s="56"/>
      <c r="J98" s="56">
        <f t="shared" si="2"/>
        <v>0</v>
      </c>
      <c r="K98" s="56"/>
      <c r="L98" s="57"/>
    </row>
    <row r="99" ht="14.25" customHeight="1">
      <c r="A99" s="52"/>
      <c r="B99" s="53"/>
      <c r="C99" s="54"/>
      <c r="D99" s="56"/>
      <c r="E99" s="56"/>
      <c r="F99" s="56"/>
      <c r="G99" s="56"/>
      <c r="H99" s="56"/>
      <c r="I99" s="56"/>
      <c r="J99" s="56">
        <f t="shared" si="2"/>
        <v>0</v>
      </c>
      <c r="K99" s="56"/>
      <c r="L99" s="57"/>
    </row>
    <row r="100" ht="14.25" customHeight="1">
      <c r="A100" s="52"/>
      <c r="B100" s="53"/>
      <c r="C100" s="54"/>
      <c r="D100" s="56"/>
      <c r="E100" s="56"/>
      <c r="F100" s="56"/>
      <c r="G100" s="56"/>
      <c r="H100" s="56"/>
      <c r="I100" s="56"/>
      <c r="J100" s="56">
        <f t="shared" si="2"/>
        <v>0</v>
      </c>
      <c r="K100" s="56"/>
      <c r="L100" s="57"/>
    </row>
    <row r="101" ht="14.25" customHeight="1">
      <c r="A101" s="52"/>
      <c r="B101" s="53"/>
      <c r="C101" s="54"/>
      <c r="D101" s="56"/>
      <c r="E101" s="56"/>
      <c r="F101" s="56"/>
      <c r="G101" s="56"/>
      <c r="H101" s="56"/>
      <c r="I101" s="56"/>
      <c r="J101" s="56">
        <f t="shared" si="2"/>
        <v>0</v>
      </c>
      <c r="K101" s="56"/>
      <c r="L101" s="57"/>
    </row>
    <row r="102" ht="14.25" customHeight="1">
      <c r="A102" s="52"/>
      <c r="B102" s="53"/>
      <c r="C102" s="54"/>
      <c r="D102" s="56"/>
      <c r="E102" s="56"/>
      <c r="F102" s="56"/>
      <c r="G102" s="56"/>
      <c r="H102" s="56"/>
      <c r="I102" s="56"/>
      <c r="J102" s="56">
        <f t="shared" si="2"/>
        <v>0</v>
      </c>
      <c r="K102" s="56"/>
      <c r="L102" s="57"/>
    </row>
    <row r="103" ht="14.25" customHeight="1">
      <c r="A103" s="52"/>
      <c r="B103" s="53"/>
      <c r="C103" s="54"/>
      <c r="D103" s="56"/>
      <c r="E103" s="56"/>
      <c r="F103" s="56"/>
      <c r="G103" s="56"/>
      <c r="H103" s="56"/>
      <c r="I103" s="56"/>
      <c r="J103" s="56">
        <f t="shared" si="2"/>
        <v>0</v>
      </c>
      <c r="K103" s="56"/>
      <c r="L103" s="57"/>
    </row>
    <row r="104" ht="14.25" customHeight="1">
      <c r="A104" s="52"/>
      <c r="B104" s="53"/>
      <c r="C104" s="54"/>
      <c r="D104" s="56"/>
      <c r="E104" s="56"/>
      <c r="F104" s="56"/>
      <c r="G104" s="56"/>
      <c r="H104" s="56"/>
      <c r="I104" s="56"/>
      <c r="J104" s="56">
        <f t="shared" si="2"/>
        <v>0</v>
      </c>
      <c r="K104" s="56"/>
      <c r="L104" s="57"/>
    </row>
    <row r="105" ht="14.25" customHeight="1">
      <c r="A105" s="52"/>
      <c r="B105" s="53"/>
      <c r="C105" s="54"/>
      <c r="D105" s="56"/>
      <c r="E105" s="56"/>
      <c r="F105" s="56"/>
      <c r="G105" s="56"/>
      <c r="H105" s="56"/>
      <c r="I105" s="56"/>
      <c r="J105" s="56">
        <f t="shared" si="2"/>
        <v>0</v>
      </c>
      <c r="K105" s="56"/>
      <c r="L105" s="57"/>
    </row>
    <row r="106" ht="14.25" customHeight="1">
      <c r="A106" s="52"/>
      <c r="B106" s="53"/>
      <c r="C106" s="54"/>
      <c r="D106" s="56"/>
      <c r="E106" s="56"/>
      <c r="F106" s="56"/>
      <c r="G106" s="56"/>
      <c r="H106" s="56"/>
      <c r="I106" s="56"/>
      <c r="J106" s="56">
        <f t="shared" si="2"/>
        <v>0</v>
      </c>
      <c r="K106" s="56"/>
      <c r="L106" s="57"/>
    </row>
    <row r="107" ht="14.25" customHeight="1">
      <c r="A107" s="52"/>
      <c r="B107" s="53"/>
      <c r="C107" s="54"/>
      <c r="D107" s="56"/>
      <c r="E107" s="56"/>
      <c r="F107" s="56"/>
      <c r="G107" s="56"/>
      <c r="H107" s="56"/>
      <c r="I107" s="56"/>
      <c r="J107" s="56">
        <f t="shared" si="2"/>
        <v>0</v>
      </c>
      <c r="K107" s="56"/>
      <c r="L107" s="57"/>
    </row>
    <row r="108" ht="14.25" customHeight="1">
      <c r="A108" s="52"/>
      <c r="B108" s="53"/>
      <c r="C108" s="54"/>
      <c r="D108" s="56"/>
      <c r="E108" s="56"/>
      <c r="F108" s="56"/>
      <c r="G108" s="56"/>
      <c r="H108" s="56"/>
      <c r="I108" s="56"/>
      <c r="J108" s="56">
        <f t="shared" si="2"/>
        <v>0</v>
      </c>
      <c r="K108" s="56"/>
      <c r="L108" s="57"/>
    </row>
    <row r="109" ht="14.25" customHeight="1">
      <c r="A109" s="52"/>
      <c r="B109" s="53"/>
      <c r="C109" s="54"/>
      <c r="D109" s="56"/>
      <c r="E109" s="56"/>
      <c r="F109" s="56"/>
      <c r="G109" s="56"/>
      <c r="H109" s="56"/>
      <c r="I109" s="56"/>
      <c r="J109" s="56">
        <f t="shared" si="2"/>
        <v>0</v>
      </c>
      <c r="K109" s="56"/>
      <c r="L109" s="57"/>
    </row>
    <row r="110" ht="14.25" customHeight="1">
      <c r="A110" s="52"/>
      <c r="B110" s="53"/>
      <c r="C110" s="54"/>
      <c r="D110" s="56"/>
      <c r="E110" s="56"/>
      <c r="F110" s="56"/>
      <c r="G110" s="56"/>
      <c r="H110" s="56"/>
      <c r="I110" s="56"/>
      <c r="J110" s="56">
        <f t="shared" si="2"/>
        <v>0</v>
      </c>
      <c r="K110" s="56"/>
      <c r="L110" s="57"/>
    </row>
    <row r="111" ht="14.25" customHeight="1">
      <c r="A111" s="52"/>
      <c r="B111" s="53"/>
      <c r="C111" s="54"/>
      <c r="D111" s="56"/>
      <c r="E111" s="56"/>
      <c r="F111" s="56"/>
      <c r="G111" s="56"/>
      <c r="H111" s="56"/>
      <c r="I111" s="56"/>
      <c r="J111" s="56">
        <f t="shared" si="2"/>
        <v>0</v>
      </c>
      <c r="K111" s="56"/>
      <c r="L111" s="57"/>
    </row>
    <row r="112" ht="14.25" customHeight="1">
      <c r="A112" s="52"/>
      <c r="B112" s="53"/>
      <c r="C112" s="54"/>
      <c r="D112" s="56"/>
      <c r="E112" s="56"/>
      <c r="F112" s="56"/>
      <c r="G112" s="56"/>
      <c r="H112" s="56"/>
      <c r="I112" s="56"/>
      <c r="J112" s="56">
        <f t="shared" si="2"/>
        <v>0</v>
      </c>
      <c r="K112" s="56"/>
      <c r="L112" s="57"/>
    </row>
    <row r="113" ht="14.25" customHeight="1">
      <c r="A113" s="52"/>
      <c r="B113" s="53"/>
      <c r="C113" s="54"/>
      <c r="D113" s="56"/>
      <c r="E113" s="56"/>
      <c r="F113" s="56"/>
      <c r="G113" s="56"/>
      <c r="H113" s="56"/>
      <c r="I113" s="56"/>
      <c r="J113" s="56">
        <f t="shared" si="2"/>
        <v>0</v>
      </c>
      <c r="K113" s="56"/>
      <c r="L113" s="57"/>
    </row>
    <row r="114" ht="14.25" customHeight="1">
      <c r="A114" s="52"/>
      <c r="B114" s="53"/>
      <c r="C114" s="54"/>
      <c r="D114" s="56"/>
      <c r="E114" s="56"/>
      <c r="F114" s="56"/>
      <c r="G114" s="56"/>
      <c r="H114" s="56"/>
      <c r="I114" s="56"/>
      <c r="J114" s="56">
        <f t="shared" si="2"/>
        <v>0</v>
      </c>
      <c r="K114" s="56"/>
      <c r="L114" s="57"/>
    </row>
    <row r="115" ht="14.25" customHeight="1">
      <c r="A115" s="52"/>
      <c r="B115" s="53"/>
      <c r="C115" s="54"/>
      <c r="D115" s="56"/>
      <c r="E115" s="56"/>
      <c r="F115" s="56"/>
      <c r="G115" s="56"/>
      <c r="H115" s="56"/>
      <c r="I115" s="56"/>
      <c r="J115" s="56">
        <f t="shared" si="2"/>
        <v>0</v>
      </c>
      <c r="K115" s="56"/>
      <c r="L115" s="57"/>
    </row>
    <row r="116" ht="14.25" customHeight="1">
      <c r="A116" s="52"/>
      <c r="B116" s="53"/>
      <c r="C116" s="54"/>
      <c r="D116" s="56"/>
      <c r="E116" s="56"/>
      <c r="F116" s="56"/>
      <c r="G116" s="56"/>
      <c r="H116" s="56"/>
      <c r="I116" s="56"/>
      <c r="J116" s="56">
        <f t="shared" si="2"/>
        <v>0</v>
      </c>
      <c r="K116" s="56"/>
      <c r="L116" s="57"/>
    </row>
    <row r="117" ht="14.25" customHeight="1">
      <c r="A117" s="52"/>
      <c r="B117" s="53"/>
      <c r="C117" s="54"/>
      <c r="D117" s="56"/>
      <c r="E117" s="56"/>
      <c r="F117" s="56"/>
      <c r="G117" s="56"/>
      <c r="H117" s="56"/>
      <c r="I117" s="56"/>
      <c r="J117" s="56">
        <f t="shared" si="2"/>
        <v>0</v>
      </c>
      <c r="K117" s="56"/>
      <c r="L117" s="57"/>
    </row>
    <row r="118" ht="14.25" customHeight="1">
      <c r="A118" s="52"/>
      <c r="B118" s="53"/>
      <c r="C118" s="54"/>
      <c r="D118" s="56"/>
      <c r="E118" s="56"/>
      <c r="F118" s="56"/>
      <c r="G118" s="56"/>
      <c r="H118" s="56"/>
      <c r="I118" s="56"/>
      <c r="J118" s="56">
        <f t="shared" si="2"/>
        <v>0</v>
      </c>
      <c r="K118" s="56"/>
      <c r="L118" s="57"/>
    </row>
    <row r="119" ht="14.25" customHeight="1">
      <c r="A119" s="52"/>
      <c r="B119" s="53"/>
      <c r="C119" s="54"/>
      <c r="D119" s="56"/>
      <c r="E119" s="56"/>
      <c r="F119" s="56"/>
      <c r="G119" s="56"/>
      <c r="H119" s="56"/>
      <c r="I119" s="56"/>
      <c r="J119" s="56">
        <f t="shared" si="2"/>
        <v>0</v>
      </c>
      <c r="K119" s="56"/>
      <c r="L119" s="57"/>
    </row>
    <row r="120" ht="14.25" customHeight="1">
      <c r="A120" s="52"/>
      <c r="B120" s="53"/>
      <c r="C120" s="54"/>
      <c r="D120" s="56"/>
      <c r="E120" s="56"/>
      <c r="F120" s="56"/>
      <c r="G120" s="56"/>
      <c r="H120" s="56"/>
      <c r="I120" s="56"/>
      <c r="J120" s="56">
        <f t="shared" si="2"/>
        <v>0</v>
      </c>
      <c r="K120" s="56"/>
      <c r="L120" s="57"/>
    </row>
    <row r="121" ht="14.25" customHeight="1">
      <c r="A121" s="52"/>
      <c r="B121" s="53"/>
      <c r="C121" s="54"/>
      <c r="D121" s="56"/>
      <c r="E121" s="56"/>
      <c r="F121" s="56"/>
      <c r="G121" s="56"/>
      <c r="H121" s="56"/>
      <c r="I121" s="56"/>
      <c r="J121" s="56">
        <f t="shared" si="2"/>
        <v>0</v>
      </c>
      <c r="K121" s="56"/>
      <c r="L121" s="57"/>
    </row>
    <row r="122" ht="14.25" customHeight="1">
      <c r="A122" s="52"/>
      <c r="B122" s="53"/>
      <c r="C122" s="54"/>
      <c r="D122" s="56"/>
      <c r="E122" s="56"/>
      <c r="F122" s="56"/>
      <c r="G122" s="56"/>
      <c r="H122" s="56"/>
      <c r="I122" s="56"/>
      <c r="J122" s="56">
        <f t="shared" si="2"/>
        <v>0</v>
      </c>
      <c r="K122" s="56"/>
      <c r="L122" s="57"/>
    </row>
    <row r="123" ht="14.25" customHeight="1">
      <c r="A123" s="52"/>
      <c r="B123" s="53"/>
      <c r="C123" s="54"/>
      <c r="D123" s="56"/>
      <c r="E123" s="56"/>
      <c r="F123" s="56"/>
      <c r="G123" s="56"/>
      <c r="H123" s="56"/>
      <c r="I123" s="56"/>
      <c r="J123" s="56">
        <f t="shared" si="2"/>
        <v>0</v>
      </c>
      <c r="K123" s="56"/>
      <c r="L123" s="57"/>
    </row>
    <row r="124" ht="14.25" customHeight="1">
      <c r="A124" s="52"/>
      <c r="B124" s="53"/>
      <c r="C124" s="54"/>
      <c r="D124" s="56"/>
      <c r="E124" s="56"/>
      <c r="F124" s="56"/>
      <c r="G124" s="56"/>
      <c r="H124" s="56"/>
      <c r="I124" s="56"/>
      <c r="J124" s="56">
        <f t="shared" si="2"/>
        <v>0</v>
      </c>
      <c r="K124" s="56"/>
      <c r="L124" s="57"/>
    </row>
    <row r="125" ht="14.25" customHeight="1">
      <c r="A125" s="52"/>
      <c r="B125" s="53"/>
      <c r="C125" s="54"/>
      <c r="D125" s="56"/>
      <c r="E125" s="56"/>
      <c r="F125" s="56"/>
      <c r="G125" s="56"/>
      <c r="H125" s="56"/>
      <c r="I125" s="56"/>
      <c r="J125" s="56">
        <f t="shared" si="2"/>
        <v>0</v>
      </c>
      <c r="K125" s="56"/>
      <c r="L125" s="57"/>
    </row>
    <row r="126" ht="14.25" customHeight="1">
      <c r="A126" s="52"/>
      <c r="B126" s="53"/>
      <c r="C126" s="54"/>
      <c r="D126" s="56"/>
      <c r="E126" s="56"/>
      <c r="F126" s="56"/>
      <c r="G126" s="56"/>
      <c r="H126" s="56"/>
      <c r="I126" s="56"/>
      <c r="J126" s="56">
        <f t="shared" si="2"/>
        <v>0</v>
      </c>
      <c r="K126" s="56"/>
      <c r="L126" s="57"/>
    </row>
    <row r="127" ht="14.25" customHeight="1">
      <c r="A127" s="52"/>
      <c r="B127" s="53"/>
      <c r="C127" s="54"/>
      <c r="D127" s="56"/>
      <c r="E127" s="56"/>
      <c r="F127" s="56"/>
      <c r="G127" s="56"/>
      <c r="H127" s="56"/>
      <c r="I127" s="56"/>
      <c r="J127" s="56">
        <f t="shared" si="2"/>
        <v>0</v>
      </c>
      <c r="K127" s="56"/>
      <c r="L127" s="57"/>
    </row>
    <row r="128" ht="14.25" customHeight="1">
      <c r="A128" s="52"/>
      <c r="B128" s="53"/>
      <c r="C128" s="54"/>
      <c r="D128" s="56"/>
      <c r="E128" s="56"/>
      <c r="F128" s="56"/>
      <c r="G128" s="56"/>
      <c r="H128" s="56"/>
      <c r="I128" s="56"/>
      <c r="J128" s="56">
        <f t="shared" si="2"/>
        <v>0</v>
      </c>
      <c r="K128" s="56"/>
      <c r="L128" s="57"/>
    </row>
    <row r="129" ht="14.25" customHeight="1">
      <c r="A129" s="52"/>
      <c r="B129" s="53"/>
      <c r="C129" s="54"/>
      <c r="D129" s="56"/>
      <c r="E129" s="56"/>
      <c r="F129" s="56"/>
      <c r="G129" s="56"/>
      <c r="H129" s="56"/>
      <c r="I129" s="56"/>
      <c r="J129" s="56">
        <f t="shared" si="2"/>
        <v>0</v>
      </c>
      <c r="K129" s="56"/>
      <c r="L129" s="57"/>
    </row>
    <row r="130" ht="14.25" customHeight="1">
      <c r="A130" s="52"/>
      <c r="B130" s="53"/>
      <c r="C130" s="54"/>
      <c r="D130" s="56"/>
      <c r="E130" s="56"/>
      <c r="F130" s="56"/>
      <c r="G130" s="56"/>
      <c r="H130" s="56"/>
      <c r="I130" s="56"/>
      <c r="J130" s="56">
        <f t="shared" si="2"/>
        <v>0</v>
      </c>
      <c r="K130" s="56"/>
      <c r="L130" s="57"/>
    </row>
    <row r="131" ht="14.25" customHeight="1">
      <c r="A131" s="52"/>
      <c r="B131" s="53"/>
      <c r="C131" s="54"/>
      <c r="D131" s="56"/>
      <c r="E131" s="56"/>
      <c r="F131" s="56"/>
      <c r="G131" s="56"/>
      <c r="H131" s="56"/>
      <c r="I131" s="56"/>
      <c r="J131" s="56">
        <f t="shared" si="2"/>
        <v>0</v>
      </c>
      <c r="K131" s="56"/>
      <c r="L131" s="57"/>
    </row>
    <row r="132" ht="14.25" customHeight="1">
      <c r="A132" s="52"/>
      <c r="B132" s="53"/>
      <c r="C132" s="54"/>
      <c r="D132" s="56"/>
      <c r="E132" s="56"/>
      <c r="F132" s="56"/>
      <c r="G132" s="56"/>
      <c r="H132" s="56"/>
      <c r="I132" s="56"/>
      <c r="J132" s="56">
        <f t="shared" si="2"/>
        <v>0</v>
      </c>
      <c r="K132" s="56"/>
      <c r="L132" s="57"/>
    </row>
    <row r="133" ht="14.25" customHeight="1">
      <c r="A133" s="52"/>
      <c r="B133" s="53"/>
      <c r="C133" s="54"/>
      <c r="D133" s="56"/>
      <c r="E133" s="56"/>
      <c r="F133" s="56"/>
      <c r="G133" s="56"/>
      <c r="H133" s="56"/>
      <c r="I133" s="56"/>
      <c r="J133" s="56">
        <f t="shared" si="2"/>
        <v>0</v>
      </c>
      <c r="K133" s="56"/>
      <c r="L133" s="57"/>
    </row>
    <row r="134" ht="14.25" customHeight="1">
      <c r="A134" s="52"/>
      <c r="B134" s="53"/>
      <c r="C134" s="54"/>
      <c r="D134" s="56"/>
      <c r="E134" s="56"/>
      <c r="F134" s="56"/>
      <c r="G134" s="56"/>
      <c r="H134" s="56"/>
      <c r="I134" s="56"/>
      <c r="J134" s="56">
        <f t="shared" si="2"/>
        <v>0</v>
      </c>
      <c r="K134" s="56"/>
      <c r="L134" s="57"/>
    </row>
    <row r="135" ht="14.25" customHeight="1">
      <c r="A135" s="52"/>
      <c r="B135" s="53"/>
      <c r="C135" s="54"/>
      <c r="D135" s="56"/>
      <c r="E135" s="56"/>
      <c r="F135" s="56"/>
      <c r="G135" s="56"/>
      <c r="H135" s="56"/>
      <c r="I135" s="56"/>
      <c r="J135" s="56">
        <f t="shared" si="2"/>
        <v>0</v>
      </c>
      <c r="K135" s="56"/>
      <c r="L135" s="57"/>
    </row>
    <row r="136" ht="14.25" customHeight="1">
      <c r="A136" s="52"/>
      <c r="B136" s="53"/>
      <c r="C136" s="54"/>
      <c r="D136" s="56"/>
      <c r="E136" s="56"/>
      <c r="F136" s="56"/>
      <c r="G136" s="56"/>
      <c r="H136" s="56"/>
      <c r="I136" s="56"/>
      <c r="J136" s="56">
        <f t="shared" si="2"/>
        <v>0</v>
      </c>
      <c r="K136" s="56"/>
      <c r="L136" s="57"/>
    </row>
    <row r="137" ht="14.25" customHeight="1">
      <c r="A137" s="52"/>
      <c r="B137" s="53"/>
      <c r="C137" s="54"/>
      <c r="D137" s="56"/>
      <c r="E137" s="56"/>
      <c r="F137" s="56"/>
      <c r="G137" s="56"/>
      <c r="H137" s="56"/>
      <c r="I137" s="56"/>
      <c r="J137" s="56">
        <f t="shared" si="2"/>
        <v>0</v>
      </c>
      <c r="K137" s="56"/>
      <c r="L137" s="57"/>
    </row>
    <row r="138" ht="14.25" customHeight="1">
      <c r="A138" s="52"/>
      <c r="B138" s="53"/>
      <c r="C138" s="54"/>
      <c r="D138" s="56"/>
      <c r="E138" s="56"/>
      <c r="F138" s="56"/>
      <c r="G138" s="56"/>
      <c r="H138" s="56"/>
      <c r="I138" s="56"/>
      <c r="J138" s="56">
        <f t="shared" si="2"/>
        <v>0</v>
      </c>
      <c r="K138" s="56"/>
      <c r="L138" s="57"/>
    </row>
    <row r="139" ht="14.25" customHeight="1">
      <c r="A139" s="52"/>
      <c r="B139" s="53"/>
      <c r="C139" s="54"/>
      <c r="D139" s="56"/>
      <c r="E139" s="56"/>
      <c r="F139" s="56"/>
      <c r="G139" s="56"/>
      <c r="H139" s="56"/>
      <c r="I139" s="56"/>
      <c r="J139" s="56">
        <f t="shared" si="2"/>
        <v>0</v>
      </c>
      <c r="K139" s="56"/>
      <c r="L139" s="57"/>
    </row>
    <row r="140" ht="14.25" customHeight="1">
      <c r="A140" s="52"/>
      <c r="B140" s="53"/>
      <c r="C140" s="54"/>
      <c r="D140" s="56"/>
      <c r="E140" s="56"/>
      <c r="F140" s="56"/>
      <c r="G140" s="56"/>
      <c r="H140" s="56"/>
      <c r="I140" s="56"/>
      <c r="J140" s="56">
        <f t="shared" si="2"/>
        <v>0</v>
      </c>
      <c r="K140" s="56"/>
      <c r="L140" s="57"/>
    </row>
    <row r="141" ht="14.25" customHeight="1">
      <c r="A141" s="52"/>
      <c r="B141" s="53"/>
      <c r="C141" s="54"/>
      <c r="D141" s="56"/>
      <c r="E141" s="56"/>
      <c r="F141" s="56"/>
      <c r="G141" s="56"/>
      <c r="H141" s="56"/>
      <c r="I141" s="56"/>
      <c r="J141" s="56">
        <f t="shared" si="2"/>
        <v>0</v>
      </c>
      <c r="K141" s="56"/>
      <c r="L141" s="57"/>
    </row>
    <row r="142" ht="14.25" customHeight="1">
      <c r="A142" s="52"/>
      <c r="B142" s="53"/>
      <c r="C142" s="54"/>
      <c r="D142" s="56"/>
      <c r="E142" s="56"/>
      <c r="F142" s="56"/>
      <c r="G142" s="56"/>
      <c r="H142" s="56"/>
      <c r="I142" s="56"/>
      <c r="J142" s="56">
        <f t="shared" si="2"/>
        <v>0</v>
      </c>
      <c r="K142" s="56"/>
      <c r="L142" s="57"/>
    </row>
    <row r="143" ht="14.25" customHeight="1">
      <c r="A143" s="52"/>
      <c r="B143" s="53"/>
      <c r="C143" s="54"/>
      <c r="D143" s="56"/>
      <c r="E143" s="56"/>
      <c r="F143" s="56"/>
      <c r="G143" s="56"/>
      <c r="H143" s="56"/>
      <c r="I143" s="56"/>
      <c r="J143" s="56">
        <f t="shared" si="2"/>
        <v>0</v>
      </c>
      <c r="K143" s="56"/>
      <c r="L143" s="57"/>
    </row>
    <row r="144" ht="14.25" customHeight="1">
      <c r="A144" s="52"/>
      <c r="B144" s="53"/>
      <c r="C144" s="54"/>
      <c r="D144" s="56"/>
      <c r="E144" s="56"/>
      <c r="F144" s="56"/>
      <c r="G144" s="56"/>
      <c r="H144" s="56"/>
      <c r="I144" s="56"/>
      <c r="J144" s="56">
        <f t="shared" si="2"/>
        <v>0</v>
      </c>
      <c r="K144" s="56"/>
      <c r="L144" s="57"/>
    </row>
    <row r="145" ht="14.25" customHeight="1">
      <c r="A145" s="52"/>
      <c r="B145" s="53"/>
      <c r="C145" s="54"/>
      <c r="D145" s="56"/>
      <c r="E145" s="56"/>
      <c r="F145" s="56"/>
      <c r="G145" s="56"/>
      <c r="H145" s="56"/>
      <c r="I145" s="56"/>
      <c r="J145" s="56">
        <f t="shared" si="2"/>
        <v>0</v>
      </c>
      <c r="K145" s="56"/>
      <c r="L145" s="57"/>
    </row>
    <row r="146" ht="14.25" customHeight="1">
      <c r="A146" s="52"/>
      <c r="B146" s="53"/>
      <c r="C146" s="54"/>
      <c r="D146" s="56"/>
      <c r="E146" s="56"/>
      <c r="F146" s="56"/>
      <c r="G146" s="56"/>
      <c r="H146" s="56"/>
      <c r="I146" s="56"/>
      <c r="J146" s="56">
        <f t="shared" si="2"/>
        <v>0</v>
      </c>
      <c r="K146" s="56"/>
      <c r="L146" s="57"/>
    </row>
    <row r="147" ht="14.25" customHeight="1">
      <c r="A147" s="52"/>
      <c r="B147" s="53"/>
      <c r="C147" s="54"/>
      <c r="D147" s="56"/>
      <c r="E147" s="56"/>
      <c r="F147" s="56"/>
      <c r="G147" s="56"/>
      <c r="H147" s="56"/>
      <c r="I147" s="56"/>
      <c r="J147" s="56">
        <f t="shared" si="2"/>
        <v>0</v>
      </c>
      <c r="K147" s="56"/>
      <c r="L147" s="57"/>
    </row>
    <row r="148" ht="14.25" customHeight="1">
      <c r="A148" s="52"/>
      <c r="B148" s="53"/>
      <c r="C148" s="54"/>
      <c r="D148" s="56"/>
      <c r="E148" s="56"/>
      <c r="F148" s="56"/>
      <c r="G148" s="56"/>
      <c r="H148" s="56"/>
      <c r="I148" s="56"/>
      <c r="J148" s="56">
        <f t="shared" si="2"/>
        <v>0</v>
      </c>
      <c r="K148" s="56"/>
      <c r="L148" s="57"/>
    </row>
    <row r="149" ht="14.25" customHeight="1">
      <c r="A149" s="52"/>
      <c r="B149" s="53"/>
      <c r="C149" s="54"/>
      <c r="D149" s="56"/>
      <c r="E149" s="56"/>
      <c r="F149" s="56"/>
      <c r="G149" s="56"/>
      <c r="H149" s="56"/>
      <c r="I149" s="56"/>
      <c r="J149" s="56">
        <f t="shared" si="2"/>
        <v>0</v>
      </c>
      <c r="K149" s="56"/>
      <c r="L149" s="57"/>
    </row>
    <row r="150" ht="14.25" customHeight="1">
      <c r="A150" s="52"/>
      <c r="B150" s="53"/>
      <c r="C150" s="54"/>
      <c r="D150" s="56"/>
      <c r="E150" s="56"/>
      <c r="F150" s="56"/>
      <c r="G150" s="56"/>
      <c r="H150" s="56"/>
      <c r="I150" s="56"/>
      <c r="J150" s="56">
        <f t="shared" si="2"/>
        <v>0</v>
      </c>
      <c r="K150" s="56"/>
      <c r="L150" s="57"/>
    </row>
    <row r="151" ht="14.25" customHeight="1">
      <c r="A151" s="52"/>
      <c r="B151" s="53"/>
      <c r="C151" s="54"/>
      <c r="D151" s="56"/>
      <c r="E151" s="56"/>
      <c r="F151" s="56"/>
      <c r="G151" s="56"/>
      <c r="H151" s="56"/>
      <c r="I151" s="56"/>
      <c r="J151" s="56">
        <f t="shared" si="2"/>
        <v>0</v>
      </c>
      <c r="K151" s="56"/>
      <c r="L151" s="57"/>
    </row>
    <row r="152" ht="14.25" customHeight="1">
      <c r="A152" s="52"/>
      <c r="B152" s="53"/>
      <c r="C152" s="54"/>
      <c r="D152" s="56"/>
      <c r="E152" s="56"/>
      <c r="F152" s="56"/>
      <c r="G152" s="56"/>
      <c r="H152" s="56"/>
      <c r="I152" s="56"/>
      <c r="J152" s="56">
        <f t="shared" si="2"/>
        <v>0</v>
      </c>
      <c r="K152" s="56"/>
      <c r="L152" s="57"/>
    </row>
    <row r="153" ht="14.25" customHeight="1">
      <c r="A153" s="52"/>
      <c r="B153" s="53"/>
      <c r="C153" s="54"/>
      <c r="D153" s="56"/>
      <c r="E153" s="56"/>
      <c r="F153" s="56"/>
      <c r="G153" s="56"/>
      <c r="H153" s="56"/>
      <c r="I153" s="56"/>
      <c r="J153" s="56">
        <f t="shared" si="2"/>
        <v>0</v>
      </c>
      <c r="K153" s="56"/>
      <c r="L153" s="57"/>
    </row>
    <row r="154" ht="14.25" customHeight="1">
      <c r="A154" s="52"/>
      <c r="B154" s="53"/>
      <c r="C154" s="54"/>
      <c r="D154" s="56"/>
      <c r="E154" s="56"/>
      <c r="F154" s="56"/>
      <c r="G154" s="56"/>
      <c r="H154" s="56"/>
      <c r="I154" s="56"/>
      <c r="J154" s="56">
        <f t="shared" si="2"/>
        <v>0</v>
      </c>
      <c r="K154" s="56"/>
      <c r="L154" s="57"/>
    </row>
    <row r="155" ht="14.25" customHeight="1">
      <c r="A155" s="52"/>
      <c r="B155" s="53"/>
      <c r="C155" s="54"/>
      <c r="D155" s="56"/>
      <c r="E155" s="56"/>
      <c r="F155" s="56"/>
      <c r="G155" s="56"/>
      <c r="H155" s="56"/>
      <c r="I155" s="56"/>
      <c r="J155" s="56">
        <f t="shared" si="2"/>
        <v>0</v>
      </c>
      <c r="K155" s="56"/>
      <c r="L155" s="57"/>
    </row>
    <row r="156" ht="14.25" customHeight="1">
      <c r="A156" s="52"/>
      <c r="B156" s="53"/>
      <c r="C156" s="54"/>
      <c r="D156" s="56"/>
      <c r="E156" s="56"/>
      <c r="F156" s="56"/>
      <c r="G156" s="56"/>
      <c r="H156" s="56"/>
      <c r="I156" s="56"/>
      <c r="J156" s="56">
        <f t="shared" si="2"/>
        <v>0</v>
      </c>
      <c r="K156" s="56"/>
      <c r="L156" s="57"/>
    </row>
    <row r="157" ht="14.25" customHeight="1">
      <c r="A157" s="52"/>
      <c r="B157" s="53"/>
      <c r="C157" s="54"/>
      <c r="D157" s="56"/>
      <c r="E157" s="56"/>
      <c r="F157" s="56"/>
      <c r="G157" s="56"/>
      <c r="H157" s="56"/>
      <c r="I157" s="56"/>
      <c r="J157" s="56">
        <f t="shared" si="2"/>
        <v>0</v>
      </c>
      <c r="K157" s="56"/>
      <c r="L157" s="57"/>
    </row>
    <row r="158" ht="14.25" customHeight="1">
      <c r="A158" s="52"/>
      <c r="B158" s="53"/>
      <c r="C158" s="54"/>
      <c r="D158" s="56"/>
      <c r="E158" s="56"/>
      <c r="F158" s="56"/>
      <c r="G158" s="56"/>
      <c r="H158" s="56"/>
      <c r="I158" s="56"/>
      <c r="J158" s="56">
        <f t="shared" si="2"/>
        <v>0</v>
      </c>
      <c r="K158" s="56"/>
      <c r="L158" s="57"/>
    </row>
    <row r="159" ht="14.25" customHeight="1">
      <c r="A159" s="52"/>
      <c r="B159" s="53"/>
      <c r="C159" s="54"/>
      <c r="D159" s="56"/>
      <c r="E159" s="56"/>
      <c r="F159" s="56"/>
      <c r="G159" s="56"/>
      <c r="H159" s="56"/>
      <c r="I159" s="56"/>
      <c r="J159" s="56">
        <f t="shared" si="2"/>
        <v>0</v>
      </c>
      <c r="K159" s="56"/>
      <c r="L159" s="57"/>
    </row>
    <row r="160" ht="14.25" customHeight="1">
      <c r="A160" s="52"/>
      <c r="B160" s="53"/>
      <c r="C160" s="54"/>
      <c r="D160" s="56"/>
      <c r="E160" s="56"/>
      <c r="F160" s="56"/>
      <c r="G160" s="56"/>
      <c r="H160" s="56"/>
      <c r="I160" s="56"/>
      <c r="J160" s="56">
        <f t="shared" si="2"/>
        <v>0</v>
      </c>
      <c r="K160" s="56"/>
      <c r="L160" s="57"/>
    </row>
    <row r="161" ht="14.25" customHeight="1">
      <c r="A161" s="52"/>
      <c r="B161" s="53"/>
      <c r="C161" s="54"/>
      <c r="D161" s="56"/>
      <c r="E161" s="56"/>
      <c r="F161" s="56"/>
      <c r="G161" s="56"/>
      <c r="H161" s="56"/>
      <c r="I161" s="56"/>
      <c r="J161" s="56">
        <f t="shared" si="2"/>
        <v>0</v>
      </c>
      <c r="K161" s="56"/>
      <c r="L161" s="57"/>
    </row>
    <row r="162" ht="14.25" customHeight="1">
      <c r="A162" s="52"/>
      <c r="B162" s="53"/>
      <c r="C162" s="54"/>
      <c r="D162" s="56"/>
      <c r="E162" s="56"/>
      <c r="F162" s="56"/>
      <c r="G162" s="56"/>
      <c r="H162" s="56"/>
      <c r="I162" s="56"/>
      <c r="J162" s="56">
        <f t="shared" si="2"/>
        <v>0</v>
      </c>
      <c r="K162" s="56"/>
      <c r="L162" s="57"/>
    </row>
    <row r="163" ht="14.25" customHeight="1">
      <c r="A163" s="52"/>
      <c r="B163" s="53"/>
      <c r="C163" s="54"/>
      <c r="D163" s="56"/>
      <c r="E163" s="56"/>
      <c r="F163" s="56"/>
      <c r="G163" s="56"/>
      <c r="H163" s="56"/>
      <c r="I163" s="56"/>
      <c r="J163" s="56">
        <f t="shared" si="2"/>
        <v>0</v>
      </c>
      <c r="K163" s="56"/>
      <c r="L163" s="57"/>
    </row>
    <row r="164" ht="14.25" customHeight="1">
      <c r="A164" s="52"/>
      <c r="B164" s="53"/>
      <c r="C164" s="54"/>
      <c r="D164" s="56"/>
      <c r="E164" s="56"/>
      <c r="F164" s="56"/>
      <c r="G164" s="56"/>
      <c r="H164" s="56"/>
      <c r="I164" s="56"/>
      <c r="J164" s="56">
        <f t="shared" si="2"/>
        <v>0</v>
      </c>
      <c r="K164" s="56"/>
      <c r="L164" s="57"/>
    </row>
    <row r="165" ht="14.25" customHeight="1">
      <c r="A165" s="52"/>
      <c r="B165" s="53"/>
      <c r="C165" s="54"/>
      <c r="D165" s="56"/>
      <c r="E165" s="56"/>
      <c r="F165" s="56"/>
      <c r="G165" s="56"/>
      <c r="H165" s="56"/>
      <c r="I165" s="56"/>
      <c r="J165" s="56">
        <f t="shared" si="2"/>
        <v>0</v>
      </c>
      <c r="K165" s="56"/>
      <c r="L165" s="57"/>
    </row>
    <row r="166" ht="14.25" customHeight="1">
      <c r="A166" s="52"/>
      <c r="B166" s="53"/>
      <c r="C166" s="54"/>
      <c r="D166" s="56"/>
      <c r="E166" s="56"/>
      <c r="F166" s="56"/>
      <c r="G166" s="56"/>
      <c r="H166" s="56"/>
      <c r="I166" s="56"/>
      <c r="J166" s="56">
        <f t="shared" si="2"/>
        <v>0</v>
      </c>
      <c r="K166" s="56"/>
      <c r="L166" s="57"/>
    </row>
    <row r="167" ht="14.25" customHeight="1">
      <c r="A167" s="52"/>
      <c r="B167" s="53"/>
      <c r="C167" s="54"/>
      <c r="D167" s="56"/>
      <c r="E167" s="56"/>
      <c r="F167" s="56"/>
      <c r="G167" s="56"/>
      <c r="H167" s="56"/>
      <c r="I167" s="56"/>
      <c r="J167" s="56">
        <f t="shared" si="2"/>
        <v>0</v>
      </c>
      <c r="K167" s="56"/>
      <c r="L167" s="57"/>
    </row>
    <row r="168" ht="14.25" customHeight="1">
      <c r="A168" s="52"/>
      <c r="B168" s="53"/>
      <c r="C168" s="54"/>
      <c r="D168" s="56"/>
      <c r="E168" s="56"/>
      <c r="F168" s="56"/>
      <c r="G168" s="56"/>
      <c r="H168" s="56"/>
      <c r="I168" s="56"/>
      <c r="J168" s="56">
        <f t="shared" si="2"/>
        <v>0</v>
      </c>
      <c r="K168" s="56"/>
      <c r="L168" s="57"/>
    </row>
    <row r="169" ht="14.25" customHeight="1">
      <c r="A169" s="52"/>
      <c r="B169" s="53"/>
      <c r="C169" s="54"/>
      <c r="D169" s="56"/>
      <c r="E169" s="56"/>
      <c r="F169" s="56"/>
      <c r="G169" s="56"/>
      <c r="H169" s="56"/>
      <c r="I169" s="56"/>
      <c r="J169" s="56">
        <f t="shared" si="2"/>
        <v>0</v>
      </c>
      <c r="K169" s="56"/>
      <c r="L169" s="57"/>
    </row>
    <row r="170" ht="14.25" customHeight="1">
      <c r="A170" s="52"/>
      <c r="B170" s="53"/>
      <c r="C170" s="54"/>
      <c r="D170" s="56"/>
      <c r="E170" s="56"/>
      <c r="F170" s="56"/>
      <c r="G170" s="56"/>
      <c r="H170" s="56"/>
      <c r="I170" s="56"/>
      <c r="J170" s="56">
        <f t="shared" si="2"/>
        <v>0</v>
      </c>
      <c r="K170" s="56"/>
      <c r="L170" s="57"/>
    </row>
    <row r="171" ht="14.25" customHeight="1">
      <c r="A171" s="52"/>
      <c r="B171" s="53"/>
      <c r="C171" s="54"/>
      <c r="D171" s="56"/>
      <c r="E171" s="56"/>
      <c r="F171" s="56"/>
      <c r="G171" s="56"/>
      <c r="H171" s="56"/>
      <c r="I171" s="56"/>
      <c r="J171" s="56">
        <f t="shared" si="2"/>
        <v>0</v>
      </c>
      <c r="K171" s="56"/>
      <c r="L171" s="57"/>
    </row>
    <row r="172" ht="14.25" customHeight="1">
      <c r="A172" s="52"/>
      <c r="B172" s="53"/>
      <c r="C172" s="54"/>
      <c r="D172" s="56"/>
      <c r="E172" s="56"/>
      <c r="F172" s="56"/>
      <c r="G172" s="56"/>
      <c r="H172" s="56"/>
      <c r="I172" s="56"/>
      <c r="J172" s="56">
        <f t="shared" si="2"/>
        <v>0</v>
      </c>
      <c r="K172" s="56"/>
      <c r="L172" s="57"/>
    </row>
    <row r="173" ht="14.25" customHeight="1">
      <c r="A173" s="52"/>
      <c r="B173" s="53"/>
      <c r="C173" s="54"/>
      <c r="D173" s="56"/>
      <c r="E173" s="56"/>
      <c r="F173" s="56"/>
      <c r="G173" s="56"/>
      <c r="H173" s="56"/>
      <c r="I173" s="56"/>
      <c r="J173" s="56">
        <f t="shared" si="2"/>
        <v>0</v>
      </c>
      <c r="K173" s="56"/>
      <c r="L173" s="57"/>
    </row>
    <row r="174" ht="14.25" customHeight="1">
      <c r="A174" s="52"/>
      <c r="B174" s="53"/>
      <c r="C174" s="54"/>
      <c r="D174" s="56"/>
      <c r="E174" s="56"/>
      <c r="F174" s="56"/>
      <c r="G174" s="56"/>
      <c r="H174" s="56"/>
      <c r="I174" s="56"/>
      <c r="J174" s="56">
        <f t="shared" si="2"/>
        <v>0</v>
      </c>
      <c r="K174" s="56"/>
      <c r="L174" s="57"/>
    </row>
    <row r="175" ht="14.25" customHeight="1">
      <c r="A175" s="52"/>
      <c r="B175" s="53"/>
      <c r="C175" s="54"/>
      <c r="D175" s="56"/>
      <c r="E175" s="56"/>
      <c r="F175" s="56"/>
      <c r="G175" s="56"/>
      <c r="H175" s="56"/>
      <c r="I175" s="56"/>
      <c r="J175" s="56">
        <f t="shared" si="2"/>
        <v>0</v>
      </c>
      <c r="K175" s="56"/>
      <c r="L175" s="57"/>
    </row>
    <row r="176" ht="14.25" customHeight="1">
      <c r="A176" s="52"/>
      <c r="B176" s="53"/>
      <c r="C176" s="54"/>
      <c r="D176" s="56"/>
      <c r="E176" s="56"/>
      <c r="F176" s="56"/>
      <c r="G176" s="56"/>
      <c r="H176" s="56"/>
      <c r="I176" s="56"/>
      <c r="J176" s="56">
        <f t="shared" si="2"/>
        <v>0</v>
      </c>
      <c r="K176" s="56"/>
      <c r="L176" s="57"/>
    </row>
    <row r="177" ht="14.25" customHeight="1">
      <c r="A177" s="52"/>
      <c r="B177" s="53"/>
      <c r="C177" s="54"/>
      <c r="D177" s="56"/>
      <c r="E177" s="56"/>
      <c r="F177" s="56"/>
      <c r="G177" s="56"/>
      <c r="H177" s="56"/>
      <c r="I177" s="56"/>
      <c r="J177" s="56">
        <f t="shared" si="2"/>
        <v>0</v>
      </c>
      <c r="K177" s="56"/>
      <c r="L177" s="57"/>
    </row>
    <row r="178" ht="14.25" customHeight="1">
      <c r="A178" s="52"/>
      <c r="B178" s="53"/>
      <c r="C178" s="54"/>
      <c r="D178" s="56"/>
      <c r="E178" s="56"/>
      <c r="F178" s="56"/>
      <c r="G178" s="56"/>
      <c r="H178" s="56"/>
      <c r="I178" s="56"/>
      <c r="J178" s="56">
        <f t="shared" si="2"/>
        <v>0</v>
      </c>
      <c r="K178" s="56"/>
      <c r="L178" s="57"/>
    </row>
    <row r="179" ht="14.25" customHeight="1">
      <c r="A179" s="52"/>
      <c r="B179" s="53"/>
      <c r="C179" s="54"/>
      <c r="D179" s="56"/>
      <c r="E179" s="56"/>
      <c r="F179" s="56"/>
      <c r="G179" s="56"/>
      <c r="H179" s="56"/>
      <c r="I179" s="56"/>
      <c r="J179" s="56">
        <f t="shared" si="2"/>
        <v>0</v>
      </c>
      <c r="K179" s="56"/>
      <c r="L179" s="57"/>
    </row>
    <row r="180" ht="14.25" customHeight="1">
      <c r="A180" s="52"/>
      <c r="B180" s="53"/>
      <c r="C180" s="54"/>
      <c r="D180" s="56"/>
      <c r="E180" s="56"/>
      <c r="F180" s="56"/>
      <c r="G180" s="56"/>
      <c r="H180" s="56"/>
      <c r="I180" s="56"/>
      <c r="J180" s="56">
        <f t="shared" si="2"/>
        <v>0</v>
      </c>
      <c r="K180" s="56"/>
      <c r="L180" s="57"/>
    </row>
    <row r="181" ht="14.25" customHeight="1">
      <c r="A181" s="52"/>
      <c r="B181" s="53"/>
      <c r="C181" s="54"/>
      <c r="D181" s="56"/>
      <c r="E181" s="56"/>
      <c r="F181" s="56"/>
      <c r="G181" s="56"/>
      <c r="H181" s="56"/>
      <c r="I181" s="56"/>
      <c r="J181" s="56">
        <f t="shared" si="2"/>
        <v>0</v>
      </c>
      <c r="K181" s="56"/>
      <c r="L181" s="57"/>
    </row>
    <row r="182" ht="14.25" customHeight="1">
      <c r="A182" s="52"/>
      <c r="B182" s="53"/>
      <c r="C182" s="54"/>
      <c r="D182" s="56"/>
      <c r="E182" s="56"/>
      <c r="F182" s="56"/>
      <c r="G182" s="56"/>
      <c r="H182" s="56"/>
      <c r="I182" s="56"/>
      <c r="J182" s="56">
        <f t="shared" si="2"/>
        <v>0</v>
      </c>
      <c r="K182" s="56"/>
      <c r="L182" s="57"/>
    </row>
    <row r="183" ht="14.25" customHeight="1">
      <c r="A183" s="52"/>
      <c r="B183" s="53"/>
      <c r="C183" s="54"/>
      <c r="D183" s="56"/>
      <c r="E183" s="56"/>
      <c r="F183" s="56"/>
      <c r="G183" s="56"/>
      <c r="H183" s="56"/>
      <c r="I183" s="56"/>
      <c r="J183" s="56">
        <f t="shared" si="2"/>
        <v>0</v>
      </c>
      <c r="K183" s="56"/>
      <c r="L183" s="57"/>
    </row>
    <row r="184" ht="14.25" customHeight="1">
      <c r="A184" s="52"/>
      <c r="B184" s="53"/>
      <c r="C184" s="54"/>
      <c r="D184" s="56"/>
      <c r="E184" s="56"/>
      <c r="F184" s="56"/>
      <c r="G184" s="56"/>
      <c r="H184" s="56"/>
      <c r="I184" s="56"/>
      <c r="J184" s="56">
        <f t="shared" si="2"/>
        <v>0</v>
      </c>
      <c r="K184" s="56"/>
      <c r="L184" s="57"/>
    </row>
    <row r="185" ht="14.25" customHeight="1">
      <c r="A185" s="52"/>
      <c r="B185" s="53"/>
      <c r="C185" s="54"/>
      <c r="D185" s="56"/>
      <c r="E185" s="56"/>
      <c r="F185" s="56"/>
      <c r="G185" s="56"/>
      <c r="H185" s="56"/>
      <c r="I185" s="56"/>
      <c r="J185" s="56">
        <f t="shared" si="2"/>
        <v>0</v>
      </c>
      <c r="K185" s="56"/>
      <c r="L185" s="57"/>
    </row>
    <row r="186" ht="14.25" customHeight="1">
      <c r="A186" s="52"/>
      <c r="B186" s="53"/>
      <c r="C186" s="54"/>
      <c r="D186" s="56"/>
      <c r="E186" s="56"/>
      <c r="F186" s="56"/>
      <c r="G186" s="56"/>
      <c r="H186" s="56"/>
      <c r="I186" s="56"/>
      <c r="J186" s="56">
        <f t="shared" si="2"/>
        <v>0</v>
      </c>
      <c r="K186" s="56"/>
      <c r="L186" s="57"/>
    </row>
    <row r="187" ht="14.25" customHeight="1">
      <c r="A187" s="52"/>
      <c r="B187" s="53"/>
      <c r="C187" s="54"/>
      <c r="D187" s="56"/>
      <c r="E187" s="56"/>
      <c r="F187" s="56"/>
      <c r="G187" s="56"/>
      <c r="H187" s="56"/>
      <c r="I187" s="56"/>
      <c r="J187" s="56">
        <f t="shared" si="2"/>
        <v>0</v>
      </c>
      <c r="K187" s="56"/>
      <c r="L187" s="57"/>
    </row>
    <row r="188" ht="14.25" customHeight="1">
      <c r="A188" s="52"/>
      <c r="B188" s="53"/>
      <c r="C188" s="54"/>
      <c r="D188" s="56"/>
      <c r="E188" s="56"/>
      <c r="F188" s="56"/>
      <c r="G188" s="56"/>
      <c r="H188" s="56"/>
      <c r="I188" s="56"/>
      <c r="J188" s="56">
        <f t="shared" si="2"/>
        <v>0</v>
      </c>
      <c r="K188" s="56"/>
      <c r="L188" s="57"/>
    </row>
    <row r="189" ht="14.25" customHeight="1">
      <c r="A189" s="52"/>
      <c r="B189" s="53"/>
      <c r="C189" s="54"/>
      <c r="D189" s="56"/>
      <c r="E189" s="56"/>
      <c r="F189" s="56"/>
      <c r="G189" s="56"/>
      <c r="H189" s="56"/>
      <c r="I189" s="56"/>
      <c r="J189" s="56">
        <f t="shared" si="2"/>
        <v>0</v>
      </c>
      <c r="K189" s="56"/>
      <c r="L189" s="57"/>
    </row>
    <row r="190" ht="14.25" customHeight="1">
      <c r="A190" s="52"/>
      <c r="B190" s="53"/>
      <c r="C190" s="54"/>
      <c r="D190" s="56"/>
      <c r="E190" s="56"/>
      <c r="F190" s="56"/>
      <c r="G190" s="56"/>
      <c r="H190" s="56"/>
      <c r="I190" s="56"/>
      <c r="J190" s="56">
        <f t="shared" si="2"/>
        <v>0</v>
      </c>
      <c r="K190" s="56"/>
      <c r="L190" s="57"/>
    </row>
    <row r="191" ht="14.25" customHeight="1">
      <c r="A191" s="52"/>
      <c r="B191" s="53"/>
      <c r="C191" s="54"/>
      <c r="D191" s="56"/>
      <c r="E191" s="56"/>
      <c r="F191" s="56"/>
      <c r="G191" s="56"/>
      <c r="H191" s="56"/>
      <c r="I191" s="56"/>
      <c r="J191" s="56">
        <f t="shared" si="2"/>
        <v>0</v>
      </c>
      <c r="K191" s="56"/>
      <c r="L191" s="57"/>
    </row>
    <row r="192" ht="14.25" customHeight="1">
      <c r="A192" s="52"/>
      <c r="B192" s="53"/>
      <c r="C192" s="54"/>
      <c r="D192" s="56"/>
      <c r="E192" s="56"/>
      <c r="F192" s="56"/>
      <c r="G192" s="56"/>
      <c r="H192" s="56"/>
      <c r="I192" s="56"/>
      <c r="J192" s="56">
        <f t="shared" si="2"/>
        <v>0</v>
      </c>
      <c r="K192" s="56"/>
      <c r="L192" s="57"/>
    </row>
    <row r="193" ht="14.25" customHeight="1">
      <c r="A193" s="52"/>
      <c r="B193" s="53"/>
      <c r="C193" s="54"/>
      <c r="D193" s="56"/>
      <c r="E193" s="56"/>
      <c r="F193" s="56"/>
      <c r="G193" s="56"/>
      <c r="H193" s="56"/>
      <c r="I193" s="56"/>
      <c r="J193" s="56">
        <f t="shared" si="2"/>
        <v>0</v>
      </c>
      <c r="K193" s="56"/>
      <c r="L193" s="57"/>
    </row>
    <row r="194" ht="14.25" customHeight="1">
      <c r="A194" s="52"/>
      <c r="B194" s="53"/>
      <c r="C194" s="54"/>
      <c r="D194" s="56"/>
      <c r="E194" s="56"/>
      <c r="F194" s="56"/>
      <c r="G194" s="56"/>
      <c r="H194" s="56"/>
      <c r="I194" s="56"/>
      <c r="J194" s="56">
        <f t="shared" si="2"/>
        <v>0</v>
      </c>
      <c r="K194" s="56"/>
      <c r="L194" s="57"/>
    </row>
    <row r="195" ht="14.25" customHeight="1">
      <c r="A195" s="52"/>
      <c r="B195" s="53"/>
      <c r="C195" s="54"/>
      <c r="D195" s="56"/>
      <c r="E195" s="56"/>
      <c r="F195" s="56"/>
      <c r="G195" s="56"/>
      <c r="H195" s="56"/>
      <c r="I195" s="56"/>
      <c r="J195" s="56">
        <f t="shared" si="2"/>
        <v>0</v>
      </c>
      <c r="K195" s="56"/>
      <c r="L195" s="57"/>
    </row>
    <row r="196" ht="14.25" customHeight="1">
      <c r="A196" s="52"/>
      <c r="B196" s="53"/>
      <c r="C196" s="54"/>
      <c r="D196" s="56"/>
      <c r="E196" s="56"/>
      <c r="F196" s="56"/>
      <c r="G196" s="56"/>
      <c r="H196" s="56"/>
      <c r="I196" s="56"/>
      <c r="J196" s="56">
        <f t="shared" si="2"/>
        <v>0</v>
      </c>
      <c r="K196" s="56"/>
      <c r="L196" s="57"/>
    </row>
    <row r="197" ht="14.25" customHeight="1">
      <c r="A197" s="52"/>
      <c r="B197" s="53"/>
      <c r="C197" s="54"/>
      <c r="D197" s="56"/>
      <c r="E197" s="56"/>
      <c r="F197" s="56"/>
      <c r="G197" s="56"/>
      <c r="H197" s="56"/>
      <c r="I197" s="56"/>
      <c r="J197" s="56">
        <f t="shared" si="2"/>
        <v>0</v>
      </c>
      <c r="K197" s="56"/>
      <c r="L197" s="57"/>
    </row>
    <row r="198" ht="14.25" customHeight="1">
      <c r="A198" s="52"/>
      <c r="B198" s="53"/>
      <c r="C198" s="54"/>
      <c r="D198" s="56"/>
      <c r="E198" s="56"/>
      <c r="F198" s="56"/>
      <c r="G198" s="56"/>
      <c r="H198" s="56"/>
      <c r="I198" s="56"/>
      <c r="J198" s="56">
        <f t="shared" si="2"/>
        <v>0</v>
      </c>
      <c r="K198" s="56"/>
      <c r="L198" s="57"/>
    </row>
    <row r="199" ht="14.25" customHeight="1">
      <c r="A199" s="52"/>
      <c r="B199" s="53"/>
      <c r="C199" s="54"/>
      <c r="D199" s="56"/>
      <c r="E199" s="56"/>
      <c r="F199" s="56"/>
      <c r="G199" s="56"/>
      <c r="H199" s="56"/>
      <c r="I199" s="56"/>
      <c r="J199" s="56">
        <f t="shared" si="2"/>
        <v>0</v>
      </c>
      <c r="K199" s="56"/>
      <c r="L199" s="57"/>
    </row>
    <row r="200" ht="14.25" customHeight="1">
      <c r="A200" s="52"/>
      <c r="B200" s="53"/>
      <c r="C200" s="54"/>
      <c r="D200" s="56"/>
      <c r="E200" s="56"/>
      <c r="F200" s="56"/>
      <c r="G200" s="56"/>
      <c r="H200" s="56"/>
      <c r="I200" s="56"/>
      <c r="J200" s="56">
        <f t="shared" si="2"/>
        <v>0</v>
      </c>
      <c r="K200" s="56"/>
      <c r="L200" s="57"/>
    </row>
    <row r="201" ht="14.25" customHeight="1">
      <c r="A201" s="52"/>
      <c r="B201" s="53"/>
      <c r="C201" s="54"/>
      <c r="D201" s="56"/>
      <c r="E201" s="56"/>
      <c r="F201" s="56"/>
      <c r="G201" s="56"/>
      <c r="H201" s="56"/>
      <c r="I201" s="56"/>
      <c r="J201" s="56">
        <f t="shared" si="2"/>
        <v>0</v>
      </c>
      <c r="K201" s="56"/>
      <c r="L201" s="57"/>
    </row>
    <row r="202" ht="14.25" customHeight="1">
      <c r="A202" s="52"/>
      <c r="B202" s="53"/>
      <c r="C202" s="54"/>
      <c r="D202" s="56"/>
      <c r="E202" s="56"/>
      <c r="F202" s="56"/>
      <c r="G202" s="56"/>
      <c r="H202" s="56"/>
      <c r="I202" s="56"/>
      <c r="J202" s="56">
        <f t="shared" si="2"/>
        <v>0</v>
      </c>
      <c r="K202" s="56"/>
      <c r="L202" s="57"/>
    </row>
    <row r="203" ht="14.25" customHeight="1">
      <c r="A203" s="52"/>
      <c r="B203" s="53"/>
      <c r="C203" s="54"/>
      <c r="D203" s="56"/>
      <c r="E203" s="56"/>
      <c r="F203" s="56"/>
      <c r="G203" s="56"/>
      <c r="H203" s="56"/>
      <c r="I203" s="56"/>
      <c r="J203" s="56">
        <f t="shared" si="2"/>
        <v>0</v>
      </c>
      <c r="K203" s="56"/>
      <c r="L203" s="57"/>
    </row>
    <row r="204" ht="14.25" customHeight="1">
      <c r="A204" s="52"/>
      <c r="B204" s="53"/>
      <c r="C204" s="54"/>
      <c r="D204" s="56"/>
      <c r="E204" s="56"/>
      <c r="F204" s="56"/>
      <c r="G204" s="56"/>
      <c r="H204" s="56"/>
      <c r="I204" s="56"/>
      <c r="J204" s="56">
        <f t="shared" si="2"/>
        <v>0</v>
      </c>
      <c r="K204" s="56"/>
      <c r="L204" s="57"/>
    </row>
    <row r="205" ht="14.25" customHeight="1">
      <c r="A205" s="52"/>
      <c r="B205" s="53"/>
      <c r="C205" s="54"/>
      <c r="D205" s="56"/>
      <c r="E205" s="56"/>
      <c r="F205" s="56"/>
      <c r="G205" s="56"/>
      <c r="H205" s="56"/>
      <c r="I205" s="56"/>
      <c r="J205" s="56">
        <f t="shared" si="2"/>
        <v>0</v>
      </c>
      <c r="K205" s="56"/>
      <c r="L205" s="57"/>
    </row>
    <row r="206" ht="14.25" customHeight="1">
      <c r="A206" s="52"/>
      <c r="B206" s="53"/>
      <c r="C206" s="54"/>
      <c r="D206" s="56"/>
      <c r="E206" s="56"/>
      <c r="F206" s="56"/>
      <c r="G206" s="56"/>
      <c r="H206" s="56"/>
      <c r="I206" s="56"/>
      <c r="J206" s="56">
        <f t="shared" si="2"/>
        <v>0</v>
      </c>
      <c r="K206" s="56"/>
      <c r="L206" s="57"/>
    </row>
    <row r="207" ht="14.25" customHeight="1">
      <c r="A207" s="52"/>
      <c r="B207" s="53"/>
      <c r="C207" s="54"/>
      <c r="D207" s="56"/>
      <c r="E207" s="56"/>
      <c r="F207" s="56"/>
      <c r="G207" s="56"/>
      <c r="H207" s="56"/>
      <c r="I207" s="56"/>
      <c r="J207" s="56">
        <f t="shared" si="2"/>
        <v>0</v>
      </c>
      <c r="K207" s="56"/>
      <c r="L207" s="57"/>
    </row>
    <row r="208" ht="14.25" customHeight="1">
      <c r="A208" s="52"/>
      <c r="B208" s="53"/>
      <c r="C208" s="54"/>
      <c r="D208" s="56"/>
      <c r="E208" s="56"/>
      <c r="F208" s="56"/>
      <c r="G208" s="56"/>
      <c r="H208" s="56"/>
      <c r="I208" s="56"/>
      <c r="J208" s="56">
        <f t="shared" si="2"/>
        <v>0</v>
      </c>
      <c r="K208" s="56"/>
      <c r="L208" s="57"/>
    </row>
    <row r="209" ht="14.25" customHeight="1">
      <c r="A209" s="52"/>
      <c r="B209" s="53"/>
      <c r="C209" s="54"/>
      <c r="D209" s="56"/>
      <c r="E209" s="56"/>
      <c r="F209" s="56"/>
      <c r="G209" s="56"/>
      <c r="H209" s="56"/>
      <c r="I209" s="56"/>
      <c r="J209" s="56">
        <f t="shared" si="2"/>
        <v>0</v>
      </c>
      <c r="K209" s="56"/>
      <c r="L209" s="57"/>
    </row>
    <row r="210" ht="14.25" customHeight="1">
      <c r="A210" s="52"/>
      <c r="B210" s="53"/>
      <c r="C210" s="54"/>
      <c r="D210" s="56"/>
      <c r="E210" s="56"/>
      <c r="F210" s="56"/>
      <c r="G210" s="56"/>
      <c r="H210" s="56"/>
      <c r="I210" s="56"/>
      <c r="J210" s="56">
        <f t="shared" si="2"/>
        <v>0</v>
      </c>
      <c r="K210" s="56"/>
      <c r="L210" s="57"/>
    </row>
    <row r="211" ht="14.25" customHeight="1">
      <c r="A211" s="52"/>
      <c r="B211" s="53"/>
      <c r="C211" s="54"/>
      <c r="D211" s="56"/>
      <c r="E211" s="56"/>
      <c r="F211" s="56"/>
      <c r="G211" s="56"/>
      <c r="H211" s="56"/>
      <c r="I211" s="56"/>
      <c r="J211" s="56">
        <f t="shared" si="2"/>
        <v>0</v>
      </c>
      <c r="K211" s="56"/>
      <c r="L211" s="57"/>
    </row>
    <row r="212" ht="14.25" customHeight="1">
      <c r="A212" s="52"/>
      <c r="B212" s="53"/>
      <c r="C212" s="54"/>
      <c r="D212" s="56"/>
      <c r="E212" s="56"/>
      <c r="F212" s="56"/>
      <c r="G212" s="56"/>
      <c r="H212" s="56"/>
      <c r="I212" s="56"/>
      <c r="J212" s="56">
        <f t="shared" si="2"/>
        <v>0</v>
      </c>
      <c r="K212" s="56"/>
      <c r="L212" s="57"/>
    </row>
    <row r="213" ht="14.25" customHeight="1">
      <c r="A213" s="52"/>
      <c r="B213" s="53"/>
      <c r="C213" s="54"/>
      <c r="D213" s="56"/>
      <c r="E213" s="56"/>
      <c r="F213" s="56"/>
      <c r="G213" s="56"/>
      <c r="H213" s="56"/>
      <c r="I213" s="56"/>
      <c r="J213" s="56">
        <f t="shared" si="2"/>
        <v>0</v>
      </c>
      <c r="K213" s="56"/>
      <c r="L213" s="57"/>
    </row>
    <row r="214" ht="14.25" customHeight="1">
      <c r="A214" s="52"/>
      <c r="B214" s="53"/>
      <c r="C214" s="54"/>
      <c r="D214" s="56"/>
      <c r="E214" s="56"/>
      <c r="F214" s="56"/>
      <c r="G214" s="56"/>
      <c r="H214" s="56"/>
      <c r="I214" s="56"/>
      <c r="J214" s="56">
        <f t="shared" si="2"/>
        <v>0</v>
      </c>
      <c r="K214" s="56"/>
      <c r="L214" s="57"/>
    </row>
    <row r="215" ht="14.25" customHeight="1">
      <c r="A215" s="52"/>
      <c r="B215" s="53"/>
      <c r="C215" s="54"/>
      <c r="D215" s="56"/>
      <c r="E215" s="56"/>
      <c r="F215" s="56"/>
      <c r="G215" s="56"/>
      <c r="H215" s="56"/>
      <c r="I215" s="56"/>
      <c r="J215" s="56">
        <f t="shared" si="2"/>
        <v>0</v>
      </c>
      <c r="K215" s="56"/>
      <c r="L215" s="57"/>
    </row>
    <row r="216" ht="14.25" customHeight="1">
      <c r="A216" s="52"/>
      <c r="B216" s="53"/>
      <c r="C216" s="54"/>
      <c r="D216" s="56"/>
      <c r="E216" s="56"/>
      <c r="F216" s="56"/>
      <c r="G216" s="56"/>
      <c r="H216" s="56"/>
      <c r="I216" s="56"/>
      <c r="J216" s="56">
        <f t="shared" si="2"/>
        <v>0</v>
      </c>
      <c r="K216" s="56"/>
      <c r="L216" s="57"/>
    </row>
    <row r="217" ht="14.25" customHeight="1">
      <c r="A217" s="52"/>
      <c r="B217" s="53"/>
      <c r="C217" s="54"/>
      <c r="D217" s="56"/>
      <c r="E217" s="56"/>
      <c r="F217" s="56"/>
      <c r="G217" s="56"/>
      <c r="H217" s="56"/>
      <c r="I217" s="56"/>
      <c r="J217" s="56">
        <f t="shared" si="2"/>
        <v>0</v>
      </c>
      <c r="K217" s="56"/>
      <c r="L217" s="57"/>
    </row>
    <row r="218" ht="14.25" customHeight="1">
      <c r="A218" s="52"/>
      <c r="B218" s="53"/>
      <c r="C218" s="54"/>
      <c r="D218" s="56"/>
      <c r="E218" s="56"/>
      <c r="F218" s="56"/>
      <c r="G218" s="56"/>
      <c r="H218" s="56"/>
      <c r="I218" s="56"/>
      <c r="J218" s="56">
        <f t="shared" si="2"/>
        <v>0</v>
      </c>
      <c r="K218" s="56"/>
      <c r="L218" s="57"/>
    </row>
    <row r="219" ht="14.25" customHeight="1">
      <c r="A219" s="52"/>
      <c r="B219" s="53"/>
      <c r="C219" s="54"/>
      <c r="D219" s="56"/>
      <c r="E219" s="56"/>
      <c r="F219" s="56"/>
      <c r="G219" s="56"/>
      <c r="H219" s="56"/>
      <c r="I219" s="56"/>
      <c r="J219" s="56">
        <f t="shared" si="2"/>
        <v>0</v>
      </c>
      <c r="K219" s="56"/>
      <c r="L219" s="57"/>
    </row>
    <row r="220" ht="14.25" customHeight="1">
      <c r="A220" s="52"/>
      <c r="B220" s="53"/>
      <c r="C220" s="54"/>
      <c r="D220" s="56"/>
      <c r="E220" s="56"/>
      <c r="F220" s="56"/>
      <c r="G220" s="56"/>
      <c r="H220" s="56"/>
      <c r="I220" s="56"/>
      <c r="J220" s="56">
        <f t="shared" si="2"/>
        <v>0</v>
      </c>
      <c r="K220" s="56"/>
      <c r="L220" s="57"/>
    </row>
    <row r="221" ht="14.25" customHeight="1">
      <c r="A221" s="52"/>
      <c r="B221" s="53"/>
      <c r="C221" s="54"/>
      <c r="D221" s="56"/>
      <c r="E221" s="56"/>
      <c r="F221" s="56"/>
      <c r="G221" s="56"/>
      <c r="H221" s="56"/>
      <c r="I221" s="56"/>
      <c r="J221" s="56">
        <f t="shared" si="2"/>
        <v>0</v>
      </c>
      <c r="K221" s="56"/>
      <c r="L221" s="57"/>
    </row>
    <row r="222" ht="14.25" customHeight="1">
      <c r="A222" s="52"/>
      <c r="B222" s="53"/>
      <c r="C222" s="54"/>
      <c r="D222" s="56"/>
      <c r="E222" s="56"/>
      <c r="F222" s="56"/>
      <c r="G222" s="56"/>
      <c r="H222" s="56"/>
      <c r="I222" s="56"/>
      <c r="J222" s="56">
        <f t="shared" si="2"/>
        <v>0</v>
      </c>
      <c r="K222" s="56"/>
      <c r="L222" s="57"/>
    </row>
    <row r="223" ht="14.25" customHeight="1">
      <c r="A223" s="52"/>
      <c r="B223" s="53"/>
      <c r="C223" s="54"/>
      <c r="D223" s="56"/>
      <c r="E223" s="56"/>
      <c r="F223" s="56"/>
      <c r="G223" s="56"/>
      <c r="H223" s="56"/>
      <c r="I223" s="56"/>
      <c r="J223" s="56">
        <f t="shared" si="2"/>
        <v>0</v>
      </c>
      <c r="K223" s="56"/>
      <c r="L223" s="57"/>
    </row>
    <row r="224" ht="14.25" customHeight="1">
      <c r="A224" s="52"/>
      <c r="B224" s="53"/>
      <c r="C224" s="54"/>
      <c r="D224" s="56"/>
      <c r="E224" s="56"/>
      <c r="F224" s="56"/>
      <c r="G224" s="56"/>
      <c r="H224" s="56"/>
      <c r="I224" s="56"/>
      <c r="J224" s="56">
        <f t="shared" si="2"/>
        <v>0</v>
      </c>
      <c r="K224" s="56"/>
      <c r="L224" s="57"/>
    </row>
    <row r="225" ht="14.25" customHeight="1">
      <c r="A225" s="52"/>
      <c r="B225" s="53"/>
      <c r="C225" s="54"/>
      <c r="D225" s="56"/>
      <c r="E225" s="56"/>
      <c r="F225" s="56"/>
      <c r="G225" s="56"/>
      <c r="H225" s="56"/>
      <c r="I225" s="56"/>
      <c r="J225" s="56">
        <f t="shared" si="2"/>
        <v>0</v>
      </c>
      <c r="K225" s="56"/>
      <c r="L225" s="57"/>
    </row>
    <row r="226" ht="14.25" customHeight="1">
      <c r="A226" s="52"/>
      <c r="B226" s="53"/>
      <c r="C226" s="54"/>
      <c r="D226" s="56"/>
      <c r="E226" s="56"/>
      <c r="F226" s="56"/>
      <c r="G226" s="56"/>
      <c r="H226" s="56"/>
      <c r="I226" s="56"/>
      <c r="J226" s="56">
        <f t="shared" si="2"/>
        <v>0</v>
      </c>
      <c r="K226" s="56"/>
      <c r="L226" s="57"/>
    </row>
    <row r="227" ht="14.25" customHeight="1">
      <c r="A227" s="52"/>
      <c r="B227" s="53"/>
      <c r="C227" s="54"/>
      <c r="D227" s="56"/>
      <c r="E227" s="56"/>
      <c r="F227" s="56"/>
      <c r="G227" s="56"/>
      <c r="H227" s="56"/>
      <c r="I227" s="56"/>
      <c r="J227" s="56">
        <f t="shared" si="2"/>
        <v>0</v>
      </c>
      <c r="K227" s="56"/>
      <c r="L227" s="57"/>
    </row>
    <row r="228" ht="14.25" customHeight="1">
      <c r="A228" s="52"/>
      <c r="B228" s="53"/>
      <c r="C228" s="54"/>
      <c r="D228" s="56"/>
      <c r="E228" s="56"/>
      <c r="F228" s="56"/>
      <c r="G228" s="56"/>
      <c r="H228" s="56"/>
      <c r="I228" s="56"/>
      <c r="J228" s="56">
        <f t="shared" si="2"/>
        <v>0</v>
      </c>
      <c r="K228" s="56"/>
      <c r="L228" s="57"/>
    </row>
    <row r="229" ht="14.25" customHeight="1">
      <c r="A229" s="52"/>
      <c r="B229" s="53"/>
      <c r="C229" s="54"/>
      <c r="D229" s="56"/>
      <c r="E229" s="56"/>
      <c r="F229" s="56"/>
      <c r="G229" s="56"/>
      <c r="H229" s="56"/>
      <c r="I229" s="56"/>
      <c r="J229" s="56">
        <f t="shared" si="2"/>
        <v>0</v>
      </c>
      <c r="K229" s="56"/>
      <c r="L229" s="57"/>
    </row>
    <row r="230" ht="14.25" customHeight="1">
      <c r="A230" s="52"/>
      <c r="B230" s="53"/>
      <c r="C230" s="54"/>
      <c r="D230" s="56"/>
      <c r="E230" s="56"/>
      <c r="F230" s="56"/>
      <c r="G230" s="56"/>
      <c r="H230" s="56"/>
      <c r="I230" s="56"/>
      <c r="J230" s="56">
        <f t="shared" si="2"/>
        <v>0</v>
      </c>
      <c r="K230" s="56"/>
      <c r="L230" s="57"/>
    </row>
    <row r="231" ht="14.25" customHeight="1">
      <c r="A231" s="52"/>
      <c r="B231" s="53"/>
      <c r="C231" s="54"/>
      <c r="D231" s="56"/>
      <c r="E231" s="56"/>
      <c r="F231" s="56"/>
      <c r="G231" s="56"/>
      <c r="H231" s="56"/>
      <c r="I231" s="56"/>
      <c r="J231" s="56">
        <f t="shared" si="2"/>
        <v>0</v>
      </c>
      <c r="K231" s="56"/>
      <c r="L231" s="57"/>
    </row>
    <row r="232" ht="14.25" customHeight="1">
      <c r="A232" s="52"/>
      <c r="B232" s="53"/>
      <c r="C232" s="54"/>
      <c r="D232" s="56"/>
      <c r="E232" s="56"/>
      <c r="F232" s="56"/>
      <c r="G232" s="56"/>
      <c r="H232" s="56"/>
      <c r="I232" s="56"/>
      <c r="J232" s="56">
        <f t="shared" si="2"/>
        <v>0</v>
      </c>
      <c r="K232" s="56"/>
      <c r="L232" s="57"/>
    </row>
    <row r="233" ht="14.25" customHeight="1">
      <c r="A233" s="52"/>
      <c r="B233" s="53"/>
      <c r="C233" s="54"/>
      <c r="D233" s="56"/>
      <c r="E233" s="56"/>
      <c r="F233" s="56"/>
      <c r="G233" s="56"/>
      <c r="H233" s="56"/>
      <c r="I233" s="56"/>
      <c r="J233" s="56">
        <f t="shared" si="2"/>
        <v>0</v>
      </c>
      <c r="K233" s="56"/>
      <c r="L233" s="57"/>
    </row>
    <row r="234" ht="14.25" customHeight="1">
      <c r="A234" s="52"/>
      <c r="B234" s="53"/>
      <c r="C234" s="54"/>
      <c r="D234" s="56"/>
      <c r="E234" s="56"/>
      <c r="F234" s="56"/>
      <c r="G234" s="56"/>
      <c r="H234" s="56"/>
      <c r="I234" s="56"/>
      <c r="J234" s="56">
        <f t="shared" si="2"/>
        <v>0</v>
      </c>
      <c r="K234" s="56"/>
      <c r="L234" s="57"/>
    </row>
    <row r="235" ht="14.25" customHeight="1">
      <c r="A235" s="52"/>
      <c r="B235" s="53"/>
      <c r="C235" s="54"/>
      <c r="D235" s="56"/>
      <c r="E235" s="56"/>
      <c r="F235" s="56"/>
      <c r="G235" s="56"/>
      <c r="H235" s="56"/>
      <c r="I235" s="56"/>
      <c r="J235" s="56">
        <f t="shared" si="2"/>
        <v>0</v>
      </c>
      <c r="K235" s="56"/>
      <c r="L235" s="57"/>
    </row>
    <row r="236" ht="14.25" customHeight="1">
      <c r="A236" s="52"/>
      <c r="B236" s="53"/>
      <c r="C236" s="54"/>
      <c r="D236" s="56"/>
      <c r="E236" s="56"/>
      <c r="F236" s="56"/>
      <c r="G236" s="56"/>
      <c r="H236" s="56"/>
      <c r="I236" s="56"/>
      <c r="J236" s="56">
        <f t="shared" si="2"/>
        <v>0</v>
      </c>
      <c r="K236" s="56"/>
      <c r="L236" s="57"/>
    </row>
    <row r="237" ht="14.25" customHeight="1">
      <c r="A237" s="52"/>
      <c r="B237" s="53"/>
      <c r="C237" s="54"/>
      <c r="D237" s="56"/>
      <c r="E237" s="56"/>
      <c r="F237" s="56"/>
      <c r="G237" s="56"/>
      <c r="H237" s="56"/>
      <c r="I237" s="56"/>
      <c r="J237" s="56">
        <f t="shared" si="2"/>
        <v>0</v>
      </c>
      <c r="K237" s="56"/>
      <c r="L237" s="57"/>
    </row>
    <row r="238" ht="14.25" customHeight="1">
      <c r="A238" s="52"/>
      <c r="B238" s="53"/>
      <c r="C238" s="54"/>
      <c r="D238" s="56"/>
      <c r="E238" s="56"/>
      <c r="F238" s="56"/>
      <c r="G238" s="56"/>
      <c r="H238" s="56"/>
      <c r="I238" s="56"/>
      <c r="J238" s="56">
        <f t="shared" si="2"/>
        <v>0</v>
      </c>
      <c r="K238" s="56"/>
      <c r="L238" s="57"/>
    </row>
    <row r="239" ht="14.25" customHeight="1">
      <c r="A239" s="52"/>
      <c r="B239" s="53"/>
      <c r="C239" s="54"/>
      <c r="D239" s="56"/>
      <c r="E239" s="56"/>
      <c r="F239" s="56"/>
      <c r="G239" s="56"/>
      <c r="H239" s="56"/>
      <c r="I239" s="56"/>
      <c r="J239" s="56">
        <f t="shared" si="2"/>
        <v>0</v>
      </c>
      <c r="K239" s="56"/>
      <c r="L239" s="57"/>
    </row>
    <row r="240" ht="14.25" customHeight="1">
      <c r="A240" s="52"/>
      <c r="B240" s="53"/>
      <c r="C240" s="54"/>
      <c r="D240" s="56"/>
      <c r="E240" s="56"/>
      <c r="F240" s="56"/>
      <c r="G240" s="56"/>
      <c r="H240" s="56"/>
      <c r="I240" s="56"/>
      <c r="J240" s="56">
        <f t="shared" si="2"/>
        <v>0</v>
      </c>
      <c r="K240" s="56"/>
      <c r="L240" s="57"/>
    </row>
    <row r="241" ht="14.25" customHeight="1">
      <c r="A241" s="52"/>
      <c r="B241" s="53"/>
      <c r="C241" s="54"/>
      <c r="D241" s="56"/>
      <c r="E241" s="56"/>
      <c r="F241" s="56"/>
      <c r="G241" s="56"/>
      <c r="H241" s="56"/>
      <c r="I241" s="56"/>
      <c r="J241" s="56">
        <f t="shared" si="2"/>
        <v>0</v>
      </c>
      <c r="K241" s="56"/>
      <c r="L241" s="57"/>
    </row>
    <row r="242" ht="14.25" customHeight="1">
      <c r="A242" s="52"/>
      <c r="B242" s="53"/>
      <c r="C242" s="54"/>
      <c r="D242" s="56"/>
      <c r="E242" s="56"/>
      <c r="F242" s="56"/>
      <c r="G242" s="56"/>
      <c r="H242" s="56"/>
      <c r="I242" s="56"/>
      <c r="J242" s="56">
        <f t="shared" si="2"/>
        <v>0</v>
      </c>
      <c r="K242" s="56"/>
      <c r="L242" s="57"/>
    </row>
    <row r="243" ht="14.25" customHeight="1">
      <c r="A243" s="52"/>
      <c r="B243" s="53"/>
      <c r="C243" s="54"/>
      <c r="D243" s="56"/>
      <c r="E243" s="56"/>
      <c r="F243" s="56"/>
      <c r="G243" s="56"/>
      <c r="H243" s="56"/>
      <c r="I243" s="56"/>
      <c r="J243" s="56">
        <f t="shared" si="2"/>
        <v>0</v>
      </c>
      <c r="K243" s="56"/>
      <c r="L243" s="57"/>
    </row>
    <row r="244" ht="14.25" customHeight="1">
      <c r="A244" s="52"/>
      <c r="B244" s="53"/>
      <c r="C244" s="54"/>
      <c r="D244" s="56"/>
      <c r="E244" s="56"/>
      <c r="F244" s="56"/>
      <c r="G244" s="56"/>
      <c r="H244" s="56"/>
      <c r="I244" s="56"/>
      <c r="J244" s="56">
        <f t="shared" si="2"/>
        <v>0</v>
      </c>
      <c r="K244" s="56"/>
      <c r="L244" s="57"/>
    </row>
    <row r="245" ht="14.25" customHeight="1">
      <c r="A245" s="52"/>
      <c r="B245" s="53"/>
      <c r="C245" s="54"/>
      <c r="D245" s="56"/>
      <c r="E245" s="56"/>
      <c r="F245" s="56"/>
      <c r="G245" s="56"/>
      <c r="H245" s="56"/>
      <c r="I245" s="56"/>
      <c r="J245" s="56">
        <f t="shared" si="2"/>
        <v>0</v>
      </c>
      <c r="K245" s="56"/>
      <c r="L245" s="57"/>
    </row>
    <row r="246" ht="14.25" customHeight="1">
      <c r="A246" s="52"/>
      <c r="B246" s="53"/>
      <c r="C246" s="54"/>
      <c r="D246" s="56"/>
      <c r="E246" s="56"/>
      <c r="F246" s="56"/>
      <c r="G246" s="56"/>
      <c r="H246" s="56"/>
      <c r="I246" s="56"/>
      <c r="J246" s="56">
        <f t="shared" si="2"/>
        <v>0</v>
      </c>
      <c r="K246" s="56"/>
      <c r="L246" s="57"/>
    </row>
    <row r="247" ht="14.25" customHeight="1">
      <c r="A247" s="52"/>
      <c r="B247" s="53"/>
      <c r="C247" s="54"/>
      <c r="D247" s="56"/>
      <c r="E247" s="56"/>
      <c r="F247" s="56"/>
      <c r="G247" s="56"/>
      <c r="H247" s="56"/>
      <c r="I247" s="56"/>
      <c r="J247" s="56">
        <f t="shared" si="2"/>
        <v>0</v>
      </c>
      <c r="K247" s="56"/>
      <c r="L247" s="57"/>
    </row>
    <row r="248" ht="14.25" customHeight="1">
      <c r="A248" s="52"/>
      <c r="B248" s="53"/>
      <c r="C248" s="54"/>
      <c r="D248" s="56"/>
      <c r="E248" s="56"/>
      <c r="F248" s="56"/>
      <c r="G248" s="56"/>
      <c r="H248" s="56"/>
      <c r="I248" s="56"/>
      <c r="J248" s="56">
        <f t="shared" si="2"/>
        <v>0</v>
      </c>
      <c r="K248" s="56"/>
      <c r="L248" s="57"/>
    </row>
    <row r="249" ht="14.25" customHeight="1">
      <c r="A249" s="52"/>
      <c r="B249" s="53"/>
      <c r="C249" s="54"/>
      <c r="D249" s="56"/>
      <c r="E249" s="56"/>
      <c r="F249" s="56"/>
      <c r="G249" s="56"/>
      <c r="H249" s="56"/>
      <c r="I249" s="56"/>
      <c r="J249" s="56">
        <f t="shared" si="2"/>
        <v>0</v>
      </c>
      <c r="K249" s="56"/>
      <c r="L249" s="57"/>
    </row>
    <row r="250" ht="14.25" customHeight="1">
      <c r="A250" s="52"/>
      <c r="B250" s="53"/>
      <c r="C250" s="54"/>
      <c r="D250" s="56"/>
      <c r="E250" s="56"/>
      <c r="F250" s="56"/>
      <c r="G250" s="56"/>
      <c r="H250" s="56"/>
      <c r="I250" s="56"/>
      <c r="J250" s="56">
        <f t="shared" si="2"/>
        <v>0</v>
      </c>
      <c r="K250" s="56"/>
      <c r="L250" s="57"/>
    </row>
    <row r="251" ht="14.25" customHeight="1">
      <c r="A251" s="52"/>
      <c r="B251" s="53"/>
      <c r="C251" s="54"/>
      <c r="D251" s="56"/>
      <c r="E251" s="56"/>
      <c r="F251" s="56"/>
      <c r="G251" s="56"/>
      <c r="H251" s="56"/>
      <c r="I251" s="56"/>
      <c r="J251" s="56">
        <f t="shared" si="2"/>
        <v>0</v>
      </c>
      <c r="K251" s="56"/>
      <c r="L251" s="57"/>
    </row>
    <row r="252" ht="14.25" customHeight="1">
      <c r="A252" s="52"/>
      <c r="B252" s="53"/>
      <c r="C252" s="54"/>
      <c r="D252" s="56"/>
      <c r="E252" s="56"/>
      <c r="F252" s="56"/>
      <c r="G252" s="56"/>
      <c r="H252" s="56"/>
      <c r="I252" s="56"/>
      <c r="J252" s="56">
        <f t="shared" si="2"/>
        <v>0</v>
      </c>
      <c r="K252" s="56"/>
      <c r="L252" s="57"/>
    </row>
    <row r="253" ht="14.25" customHeight="1">
      <c r="A253" s="52"/>
      <c r="B253" s="53"/>
      <c r="C253" s="54"/>
      <c r="D253" s="56"/>
      <c r="E253" s="56"/>
      <c r="F253" s="56"/>
      <c r="G253" s="56"/>
      <c r="H253" s="56"/>
      <c r="I253" s="56"/>
      <c r="J253" s="56">
        <f t="shared" si="2"/>
        <v>0</v>
      </c>
      <c r="K253" s="56"/>
      <c r="L253" s="57"/>
    </row>
    <row r="254" ht="14.25" customHeight="1">
      <c r="A254" s="52"/>
      <c r="B254" s="53"/>
      <c r="C254" s="54"/>
      <c r="D254" s="56"/>
      <c r="E254" s="56"/>
      <c r="F254" s="56"/>
      <c r="G254" s="56"/>
      <c r="H254" s="56"/>
      <c r="I254" s="56"/>
      <c r="J254" s="56">
        <f t="shared" si="2"/>
        <v>0</v>
      </c>
      <c r="K254" s="56"/>
      <c r="L254" s="57"/>
    </row>
    <row r="255" ht="14.25" customHeight="1">
      <c r="A255" s="52"/>
      <c r="B255" s="53"/>
      <c r="C255" s="54"/>
      <c r="D255" s="56"/>
      <c r="E255" s="56"/>
      <c r="F255" s="56"/>
      <c r="G255" s="56"/>
      <c r="H255" s="56"/>
      <c r="I255" s="56"/>
      <c r="J255" s="56">
        <f t="shared" si="2"/>
        <v>0</v>
      </c>
      <c r="K255" s="56"/>
      <c r="L255" s="57"/>
    </row>
    <row r="256" ht="14.25" customHeight="1">
      <c r="A256" s="52"/>
      <c r="B256" s="53"/>
      <c r="C256" s="54"/>
      <c r="D256" s="56"/>
      <c r="E256" s="56"/>
      <c r="F256" s="56"/>
      <c r="G256" s="56"/>
      <c r="H256" s="56"/>
      <c r="I256" s="56"/>
      <c r="J256" s="56">
        <f t="shared" si="2"/>
        <v>0</v>
      </c>
      <c r="K256" s="56"/>
      <c r="L256" s="57"/>
    </row>
    <row r="257" ht="14.25" customHeight="1">
      <c r="A257" s="52"/>
      <c r="B257" s="53"/>
      <c r="C257" s="54"/>
      <c r="D257" s="56"/>
      <c r="E257" s="56"/>
      <c r="F257" s="56"/>
      <c r="G257" s="56"/>
      <c r="H257" s="56"/>
      <c r="I257" s="56"/>
      <c r="J257" s="56">
        <f t="shared" si="2"/>
        <v>0</v>
      </c>
      <c r="K257" s="56"/>
      <c r="L257" s="57"/>
    </row>
    <row r="258" ht="14.25" customHeight="1">
      <c r="A258" s="52"/>
      <c r="B258" s="53"/>
      <c r="C258" s="54"/>
      <c r="D258" s="56"/>
      <c r="E258" s="56"/>
      <c r="F258" s="56"/>
      <c r="G258" s="56"/>
      <c r="H258" s="56"/>
      <c r="I258" s="56"/>
      <c r="J258" s="56">
        <f t="shared" si="2"/>
        <v>0</v>
      </c>
      <c r="K258" s="56"/>
      <c r="L258" s="57"/>
    </row>
    <row r="259" ht="14.25" customHeight="1">
      <c r="A259" s="52"/>
      <c r="B259" s="53"/>
      <c r="C259" s="54"/>
      <c r="D259" s="56"/>
      <c r="E259" s="56"/>
      <c r="F259" s="56"/>
      <c r="G259" s="56"/>
      <c r="H259" s="56"/>
      <c r="I259" s="56"/>
      <c r="J259" s="56">
        <f t="shared" si="2"/>
        <v>0</v>
      </c>
      <c r="K259" s="56"/>
      <c r="L259" s="57"/>
    </row>
    <row r="260" ht="14.25" customHeight="1">
      <c r="A260" s="52"/>
      <c r="B260" s="53"/>
      <c r="C260" s="54"/>
      <c r="D260" s="56"/>
      <c r="E260" s="56"/>
      <c r="F260" s="56"/>
      <c r="G260" s="56"/>
      <c r="H260" s="56"/>
      <c r="I260" s="56"/>
      <c r="J260" s="56">
        <f t="shared" si="2"/>
        <v>0</v>
      </c>
      <c r="K260" s="56"/>
      <c r="L260" s="57"/>
    </row>
    <row r="261" ht="14.25" customHeight="1">
      <c r="A261" s="52"/>
      <c r="B261" s="53"/>
      <c r="C261" s="54"/>
      <c r="D261" s="56"/>
      <c r="E261" s="56"/>
      <c r="F261" s="56"/>
      <c r="G261" s="56"/>
      <c r="H261" s="56"/>
      <c r="I261" s="56"/>
      <c r="J261" s="56">
        <f t="shared" si="2"/>
        <v>0</v>
      </c>
      <c r="K261" s="56"/>
      <c r="L261" s="57"/>
    </row>
    <row r="262" ht="14.25" customHeight="1">
      <c r="A262" s="52"/>
      <c r="B262" s="53"/>
      <c r="C262" s="54"/>
      <c r="D262" s="56"/>
      <c r="E262" s="56"/>
      <c r="F262" s="56"/>
      <c r="G262" s="56"/>
      <c r="H262" s="56"/>
      <c r="I262" s="56"/>
      <c r="J262" s="56">
        <f t="shared" si="2"/>
        <v>0</v>
      </c>
      <c r="K262" s="56"/>
      <c r="L262" s="57"/>
    </row>
    <row r="263" ht="14.25" customHeight="1">
      <c r="A263" s="52"/>
      <c r="B263" s="53"/>
      <c r="C263" s="54"/>
      <c r="D263" s="56"/>
      <c r="E263" s="56"/>
      <c r="F263" s="56"/>
      <c r="G263" s="56"/>
      <c r="H263" s="56"/>
      <c r="I263" s="56"/>
      <c r="J263" s="56">
        <f t="shared" si="2"/>
        <v>0</v>
      </c>
      <c r="K263" s="56"/>
      <c r="L263" s="57"/>
    </row>
    <row r="264" ht="14.25" customHeight="1">
      <c r="A264" s="52"/>
      <c r="B264" s="53"/>
      <c r="C264" s="54"/>
      <c r="D264" s="56"/>
      <c r="E264" s="56"/>
      <c r="F264" s="56"/>
      <c r="G264" s="56"/>
      <c r="H264" s="56"/>
      <c r="I264" s="56"/>
      <c r="J264" s="56">
        <f t="shared" si="2"/>
        <v>0</v>
      </c>
      <c r="K264" s="56"/>
      <c r="L264" s="57"/>
    </row>
    <row r="265" ht="14.25" customHeight="1">
      <c r="A265" s="52"/>
      <c r="B265" s="53"/>
      <c r="C265" s="54"/>
      <c r="D265" s="56"/>
      <c r="E265" s="56"/>
      <c r="F265" s="56"/>
      <c r="G265" s="56"/>
      <c r="H265" s="56"/>
      <c r="I265" s="56"/>
      <c r="J265" s="56">
        <f t="shared" si="2"/>
        <v>0</v>
      </c>
      <c r="K265" s="56"/>
      <c r="L265" s="57"/>
    </row>
    <row r="266" ht="14.25" customHeight="1">
      <c r="A266" s="52"/>
      <c r="B266" s="53"/>
      <c r="C266" s="54"/>
      <c r="D266" s="56"/>
      <c r="E266" s="56"/>
      <c r="F266" s="56"/>
      <c r="G266" s="56"/>
      <c r="H266" s="56"/>
      <c r="I266" s="56"/>
      <c r="J266" s="56">
        <f t="shared" si="2"/>
        <v>0</v>
      </c>
      <c r="K266" s="56"/>
      <c r="L266" s="57"/>
    </row>
    <row r="267" ht="14.25" customHeight="1">
      <c r="A267" s="52"/>
      <c r="B267" s="53"/>
      <c r="C267" s="54"/>
      <c r="D267" s="56"/>
      <c r="E267" s="56"/>
      <c r="F267" s="56"/>
      <c r="G267" s="56"/>
      <c r="H267" s="56"/>
      <c r="I267" s="56"/>
      <c r="J267" s="56">
        <f t="shared" si="2"/>
        <v>0</v>
      </c>
      <c r="K267" s="56"/>
      <c r="L267" s="57"/>
    </row>
    <row r="268" ht="14.25" customHeight="1">
      <c r="A268" s="52"/>
      <c r="B268" s="53"/>
      <c r="C268" s="54"/>
      <c r="D268" s="56"/>
      <c r="E268" s="56"/>
      <c r="F268" s="56"/>
      <c r="G268" s="56"/>
      <c r="H268" s="56"/>
      <c r="I268" s="56"/>
      <c r="J268" s="56">
        <f t="shared" si="2"/>
        <v>0</v>
      </c>
      <c r="K268" s="56"/>
      <c r="L268" s="57"/>
    </row>
    <row r="269" ht="14.25" customHeight="1">
      <c r="A269" s="52"/>
      <c r="B269" s="53"/>
      <c r="C269" s="54"/>
      <c r="D269" s="56"/>
      <c r="E269" s="56"/>
      <c r="F269" s="56"/>
      <c r="G269" s="56"/>
      <c r="H269" s="56"/>
      <c r="I269" s="56"/>
      <c r="J269" s="56">
        <f t="shared" si="2"/>
        <v>0</v>
      </c>
      <c r="K269" s="56"/>
      <c r="L269" s="57"/>
    </row>
    <row r="270" ht="14.25" customHeight="1">
      <c r="A270" s="52"/>
      <c r="B270" s="53"/>
      <c r="C270" s="54"/>
      <c r="D270" s="56"/>
      <c r="E270" s="56"/>
      <c r="F270" s="56"/>
      <c r="G270" s="56"/>
      <c r="H270" s="56"/>
      <c r="I270" s="56"/>
      <c r="J270" s="56">
        <f t="shared" si="2"/>
        <v>0</v>
      </c>
      <c r="K270" s="56"/>
      <c r="L270" s="57"/>
    </row>
    <row r="271" ht="14.25" customHeight="1">
      <c r="A271" s="52"/>
      <c r="B271" s="53"/>
      <c r="C271" s="54"/>
      <c r="D271" s="56"/>
      <c r="E271" s="56"/>
      <c r="F271" s="56"/>
      <c r="G271" s="56"/>
      <c r="H271" s="56"/>
      <c r="I271" s="56"/>
      <c r="J271" s="56">
        <f t="shared" si="2"/>
        <v>0</v>
      </c>
      <c r="K271" s="56"/>
      <c r="L271" s="57"/>
    </row>
    <row r="272" ht="14.25" customHeight="1">
      <c r="A272" s="52"/>
      <c r="B272" s="53"/>
      <c r="C272" s="54"/>
      <c r="D272" s="56"/>
      <c r="E272" s="56"/>
      <c r="F272" s="56"/>
      <c r="G272" s="56"/>
      <c r="H272" s="56"/>
      <c r="I272" s="56"/>
      <c r="J272" s="56">
        <f t="shared" si="2"/>
        <v>0</v>
      </c>
      <c r="K272" s="56"/>
      <c r="L272" s="57"/>
    </row>
    <row r="273" ht="14.25" customHeight="1">
      <c r="A273" s="52"/>
      <c r="B273" s="53"/>
      <c r="C273" s="54"/>
      <c r="D273" s="56"/>
      <c r="E273" s="56"/>
      <c r="F273" s="56"/>
      <c r="G273" s="56"/>
      <c r="H273" s="56"/>
      <c r="I273" s="56"/>
      <c r="J273" s="56">
        <f t="shared" si="2"/>
        <v>0</v>
      </c>
      <c r="K273" s="56"/>
      <c r="L273" s="57"/>
    </row>
    <row r="274" ht="14.25" customHeight="1">
      <c r="A274" s="52"/>
      <c r="B274" s="53"/>
      <c r="C274" s="54"/>
      <c r="D274" s="56"/>
      <c r="E274" s="56"/>
      <c r="F274" s="56"/>
      <c r="G274" s="56"/>
      <c r="H274" s="56"/>
      <c r="I274" s="56"/>
      <c r="J274" s="56">
        <f t="shared" si="2"/>
        <v>0</v>
      </c>
      <c r="K274" s="56"/>
      <c r="L274" s="57"/>
    </row>
    <row r="275" ht="14.25" customHeight="1">
      <c r="A275" s="52"/>
      <c r="B275" s="53"/>
      <c r="C275" s="54"/>
      <c r="D275" s="56"/>
      <c r="E275" s="56"/>
      <c r="F275" s="56"/>
      <c r="G275" s="56"/>
      <c r="H275" s="56"/>
      <c r="I275" s="56"/>
      <c r="J275" s="56">
        <f t="shared" si="2"/>
        <v>0</v>
      </c>
      <c r="K275" s="56"/>
      <c r="L275" s="57"/>
    </row>
    <row r="276" ht="14.25" customHeight="1">
      <c r="A276" s="52"/>
      <c r="B276" s="53"/>
      <c r="C276" s="54"/>
      <c r="D276" s="56"/>
      <c r="E276" s="56"/>
      <c r="F276" s="56"/>
      <c r="G276" s="56"/>
      <c r="H276" s="56"/>
      <c r="I276" s="56"/>
      <c r="J276" s="56">
        <f t="shared" si="2"/>
        <v>0</v>
      </c>
      <c r="K276" s="56"/>
      <c r="L276" s="57"/>
    </row>
    <row r="277" ht="14.25" customHeight="1">
      <c r="A277" s="52"/>
      <c r="B277" s="53"/>
      <c r="C277" s="54"/>
      <c r="D277" s="56"/>
      <c r="E277" s="56"/>
      <c r="F277" s="56"/>
      <c r="G277" s="56"/>
      <c r="H277" s="56"/>
      <c r="I277" s="56"/>
      <c r="J277" s="56">
        <f t="shared" si="2"/>
        <v>0</v>
      </c>
      <c r="K277" s="56"/>
      <c r="L277" s="57"/>
    </row>
    <row r="278" ht="14.25" customHeight="1">
      <c r="A278" s="52"/>
      <c r="B278" s="53"/>
      <c r="C278" s="54"/>
      <c r="D278" s="56"/>
      <c r="E278" s="56"/>
      <c r="F278" s="56"/>
      <c r="G278" s="56"/>
      <c r="H278" s="56"/>
      <c r="I278" s="56"/>
      <c r="J278" s="56">
        <f t="shared" si="2"/>
        <v>0</v>
      </c>
      <c r="K278" s="56"/>
      <c r="L278" s="57"/>
    </row>
    <row r="279" ht="14.25" customHeight="1">
      <c r="A279" s="52"/>
      <c r="B279" s="53"/>
      <c r="C279" s="54"/>
      <c r="D279" s="56"/>
      <c r="E279" s="56"/>
      <c r="F279" s="56"/>
      <c r="G279" s="56"/>
      <c r="H279" s="56"/>
      <c r="I279" s="56"/>
      <c r="J279" s="56">
        <f t="shared" si="2"/>
        <v>0</v>
      </c>
      <c r="K279" s="56"/>
      <c r="L279" s="57"/>
    </row>
    <row r="280" ht="14.25" customHeight="1">
      <c r="A280" s="52"/>
      <c r="B280" s="53"/>
      <c r="C280" s="54"/>
      <c r="D280" s="56"/>
      <c r="E280" s="56"/>
      <c r="F280" s="56"/>
      <c r="G280" s="56"/>
      <c r="H280" s="56"/>
      <c r="I280" s="56"/>
      <c r="J280" s="56">
        <f t="shared" si="2"/>
        <v>0</v>
      </c>
      <c r="K280" s="56"/>
      <c r="L280" s="57"/>
    </row>
    <row r="281" ht="14.25" customHeight="1">
      <c r="A281" s="52"/>
      <c r="B281" s="53"/>
      <c r="C281" s="54"/>
      <c r="D281" s="56"/>
      <c r="E281" s="56"/>
      <c r="F281" s="56"/>
      <c r="G281" s="56"/>
      <c r="H281" s="56"/>
      <c r="I281" s="56"/>
      <c r="J281" s="56">
        <f t="shared" si="2"/>
        <v>0</v>
      </c>
      <c r="K281" s="56"/>
      <c r="L281" s="57"/>
    </row>
    <row r="282" ht="14.25" customHeight="1">
      <c r="A282" s="52"/>
      <c r="B282" s="53"/>
      <c r="C282" s="54"/>
      <c r="D282" s="56"/>
      <c r="E282" s="56"/>
      <c r="F282" s="56"/>
      <c r="G282" s="56"/>
      <c r="H282" s="56"/>
      <c r="I282" s="56"/>
      <c r="J282" s="56">
        <f t="shared" si="2"/>
        <v>0</v>
      </c>
      <c r="K282" s="56"/>
      <c r="L282" s="57"/>
    </row>
    <row r="283" ht="14.25" customHeight="1">
      <c r="A283" s="52"/>
      <c r="B283" s="53"/>
      <c r="C283" s="54"/>
      <c r="D283" s="56"/>
      <c r="E283" s="56"/>
      <c r="F283" s="56"/>
      <c r="G283" s="56"/>
      <c r="H283" s="56"/>
      <c r="I283" s="56"/>
      <c r="J283" s="56">
        <f t="shared" si="2"/>
        <v>0</v>
      </c>
      <c r="K283" s="56"/>
      <c r="L283" s="57"/>
    </row>
    <row r="284" ht="14.25" customHeight="1">
      <c r="A284" s="52"/>
      <c r="B284" s="53"/>
      <c r="C284" s="54"/>
      <c r="D284" s="56"/>
      <c r="E284" s="56"/>
      <c r="F284" s="56"/>
      <c r="G284" s="56"/>
      <c r="H284" s="56"/>
      <c r="I284" s="56"/>
      <c r="J284" s="56">
        <f t="shared" si="2"/>
        <v>0</v>
      </c>
      <c r="K284" s="56"/>
      <c r="L284" s="57"/>
    </row>
    <row r="285" ht="14.25" customHeight="1">
      <c r="A285" s="52"/>
      <c r="B285" s="53"/>
      <c r="C285" s="54"/>
      <c r="D285" s="56"/>
      <c r="E285" s="56"/>
      <c r="F285" s="56"/>
      <c r="G285" s="56"/>
      <c r="H285" s="56"/>
      <c r="I285" s="56"/>
      <c r="J285" s="56">
        <f t="shared" si="2"/>
        <v>0</v>
      </c>
      <c r="K285" s="56"/>
      <c r="L285" s="57"/>
    </row>
    <row r="286" ht="14.25" customHeight="1">
      <c r="A286" s="52"/>
      <c r="B286" s="53"/>
      <c r="C286" s="54"/>
      <c r="D286" s="56"/>
      <c r="E286" s="56"/>
      <c r="F286" s="56"/>
      <c r="G286" s="56"/>
      <c r="H286" s="56"/>
      <c r="I286" s="56"/>
      <c r="J286" s="56">
        <f t="shared" si="2"/>
        <v>0</v>
      </c>
      <c r="K286" s="56"/>
      <c r="L286" s="57"/>
    </row>
    <row r="287" ht="14.25" customHeight="1">
      <c r="A287" s="52"/>
      <c r="B287" s="53"/>
      <c r="C287" s="54"/>
      <c r="D287" s="56"/>
      <c r="E287" s="56"/>
      <c r="F287" s="56"/>
      <c r="G287" s="56"/>
      <c r="H287" s="56"/>
      <c r="I287" s="56"/>
      <c r="J287" s="56">
        <f t="shared" si="2"/>
        <v>0</v>
      </c>
      <c r="K287" s="56"/>
      <c r="L287" s="57"/>
    </row>
    <row r="288" ht="14.25" customHeight="1">
      <c r="A288" s="52"/>
      <c r="B288" s="53"/>
      <c r="C288" s="54"/>
      <c r="D288" s="56"/>
      <c r="E288" s="56"/>
      <c r="F288" s="56"/>
      <c r="G288" s="56"/>
      <c r="H288" s="56"/>
      <c r="I288" s="56"/>
      <c r="J288" s="56">
        <f t="shared" si="2"/>
        <v>0</v>
      </c>
      <c r="K288" s="56"/>
      <c r="L288" s="57"/>
    </row>
    <row r="289" ht="14.25" customHeight="1">
      <c r="A289" s="52"/>
      <c r="B289" s="53"/>
      <c r="C289" s="54"/>
      <c r="D289" s="56"/>
      <c r="E289" s="56"/>
      <c r="F289" s="56"/>
      <c r="G289" s="56"/>
      <c r="H289" s="56"/>
      <c r="I289" s="56"/>
      <c r="J289" s="56">
        <f t="shared" si="2"/>
        <v>0</v>
      </c>
      <c r="K289" s="56"/>
      <c r="L289" s="57"/>
    </row>
    <row r="290" ht="14.25" customHeight="1">
      <c r="A290" s="52"/>
      <c r="B290" s="53"/>
      <c r="C290" s="54"/>
      <c r="D290" s="56"/>
      <c r="E290" s="56"/>
      <c r="F290" s="56"/>
      <c r="G290" s="56"/>
      <c r="H290" s="56"/>
      <c r="I290" s="56"/>
      <c r="J290" s="56">
        <f t="shared" si="2"/>
        <v>0</v>
      </c>
      <c r="K290" s="56"/>
      <c r="L290" s="57"/>
    </row>
    <row r="291" ht="14.25" customHeight="1">
      <c r="A291" s="52"/>
      <c r="B291" s="53"/>
      <c r="C291" s="54"/>
      <c r="D291" s="56"/>
      <c r="E291" s="56"/>
      <c r="F291" s="56"/>
      <c r="G291" s="56"/>
      <c r="H291" s="56"/>
      <c r="I291" s="56"/>
      <c r="J291" s="56">
        <f t="shared" si="2"/>
        <v>0</v>
      </c>
      <c r="K291" s="56"/>
      <c r="L291" s="57"/>
    </row>
    <row r="292" ht="14.25" customHeight="1">
      <c r="A292" s="52"/>
      <c r="B292" s="53"/>
      <c r="C292" s="54"/>
      <c r="D292" s="56"/>
      <c r="E292" s="56"/>
      <c r="F292" s="56"/>
      <c r="G292" s="56"/>
      <c r="H292" s="56"/>
      <c r="I292" s="56"/>
      <c r="J292" s="56">
        <f t="shared" si="2"/>
        <v>0</v>
      </c>
      <c r="K292" s="56"/>
      <c r="L292" s="57"/>
    </row>
    <row r="293" ht="14.25" customHeight="1">
      <c r="A293" s="52"/>
      <c r="B293" s="53"/>
      <c r="C293" s="54"/>
      <c r="D293" s="56"/>
      <c r="E293" s="56"/>
      <c r="F293" s="56"/>
      <c r="G293" s="56"/>
      <c r="H293" s="56"/>
      <c r="I293" s="56"/>
      <c r="J293" s="56">
        <f t="shared" si="2"/>
        <v>0</v>
      </c>
      <c r="K293" s="56"/>
      <c r="L293" s="57"/>
    </row>
    <row r="294" ht="14.25" customHeight="1">
      <c r="A294" s="52"/>
      <c r="B294" s="53"/>
      <c r="C294" s="54"/>
      <c r="D294" s="56"/>
      <c r="E294" s="56"/>
      <c r="F294" s="56"/>
      <c r="G294" s="56"/>
      <c r="H294" s="56"/>
      <c r="I294" s="56"/>
      <c r="J294" s="56">
        <f t="shared" si="2"/>
        <v>0</v>
      </c>
      <c r="K294" s="56"/>
      <c r="L294" s="57"/>
    </row>
    <row r="295" ht="14.25" customHeight="1">
      <c r="A295" s="52"/>
      <c r="B295" s="53"/>
      <c r="C295" s="54"/>
      <c r="D295" s="56"/>
      <c r="E295" s="56"/>
      <c r="F295" s="56"/>
      <c r="G295" s="56"/>
      <c r="H295" s="56"/>
      <c r="I295" s="56"/>
      <c r="J295" s="56">
        <f t="shared" si="2"/>
        <v>0</v>
      </c>
      <c r="K295" s="56"/>
      <c r="L295" s="57"/>
    </row>
    <row r="296" ht="14.25" customHeight="1">
      <c r="A296" s="52"/>
      <c r="B296" s="53"/>
      <c r="C296" s="54"/>
      <c r="D296" s="56"/>
      <c r="E296" s="56"/>
      <c r="F296" s="56"/>
      <c r="G296" s="56"/>
      <c r="H296" s="56"/>
      <c r="I296" s="56"/>
      <c r="J296" s="56">
        <f t="shared" si="2"/>
        <v>0</v>
      </c>
      <c r="K296" s="56"/>
      <c r="L296" s="57"/>
    </row>
    <row r="297" ht="14.25" customHeight="1">
      <c r="A297" s="52"/>
      <c r="B297" s="53"/>
      <c r="C297" s="54"/>
      <c r="D297" s="56"/>
      <c r="E297" s="56"/>
      <c r="F297" s="56"/>
      <c r="G297" s="56"/>
      <c r="H297" s="56"/>
      <c r="I297" s="56"/>
      <c r="J297" s="56">
        <f t="shared" si="2"/>
        <v>0</v>
      </c>
      <c r="K297" s="56"/>
      <c r="L297" s="57"/>
    </row>
    <row r="298" ht="14.25" customHeight="1">
      <c r="A298" s="52"/>
      <c r="B298" s="53"/>
      <c r="C298" s="54"/>
      <c r="D298" s="56"/>
      <c r="E298" s="56"/>
      <c r="F298" s="56"/>
      <c r="G298" s="56"/>
      <c r="H298" s="56"/>
      <c r="I298" s="56"/>
      <c r="J298" s="56">
        <f t="shared" si="2"/>
        <v>0</v>
      </c>
      <c r="K298" s="56"/>
      <c r="L298" s="57"/>
    </row>
    <row r="299" ht="14.25" customHeight="1">
      <c r="A299" s="52"/>
      <c r="B299" s="53"/>
      <c r="C299" s="54"/>
      <c r="D299" s="56"/>
      <c r="E299" s="56"/>
      <c r="F299" s="56"/>
      <c r="G299" s="56"/>
      <c r="H299" s="56"/>
      <c r="I299" s="56"/>
      <c r="J299" s="56">
        <f t="shared" si="2"/>
        <v>0</v>
      </c>
      <c r="K299" s="56"/>
      <c r="L299" s="57"/>
    </row>
    <row r="300" ht="14.25" customHeight="1">
      <c r="A300" s="52"/>
      <c r="B300" s="53"/>
      <c r="C300" s="54"/>
      <c r="D300" s="56"/>
      <c r="E300" s="56"/>
      <c r="F300" s="56"/>
      <c r="G300" s="56"/>
      <c r="H300" s="56"/>
      <c r="I300" s="56"/>
      <c r="J300" s="56">
        <f t="shared" si="2"/>
        <v>0</v>
      </c>
      <c r="K300" s="56"/>
      <c r="L300" s="57"/>
    </row>
    <row r="301" ht="14.25" customHeight="1">
      <c r="A301" s="52"/>
      <c r="B301" s="53"/>
      <c r="C301" s="54"/>
      <c r="D301" s="56"/>
      <c r="E301" s="56"/>
      <c r="F301" s="56"/>
      <c r="G301" s="56"/>
      <c r="H301" s="56"/>
      <c r="I301" s="56"/>
      <c r="J301" s="56">
        <f t="shared" si="2"/>
        <v>0</v>
      </c>
      <c r="K301" s="56"/>
      <c r="L301" s="57"/>
    </row>
    <row r="302" ht="14.25" customHeight="1">
      <c r="A302" s="52"/>
      <c r="B302" s="53"/>
      <c r="C302" s="54"/>
      <c r="D302" s="56"/>
      <c r="E302" s="56"/>
      <c r="F302" s="56"/>
      <c r="G302" s="56"/>
      <c r="H302" s="56"/>
      <c r="I302" s="56"/>
      <c r="J302" s="56">
        <f t="shared" si="2"/>
        <v>0</v>
      </c>
      <c r="K302" s="56"/>
      <c r="L302" s="57"/>
    </row>
    <row r="303" ht="14.25" customHeight="1">
      <c r="A303" s="52"/>
      <c r="B303" s="53"/>
      <c r="C303" s="54"/>
      <c r="D303" s="56"/>
      <c r="E303" s="56"/>
      <c r="F303" s="56"/>
      <c r="G303" s="56"/>
      <c r="H303" s="56"/>
      <c r="I303" s="56"/>
      <c r="J303" s="56">
        <f t="shared" si="2"/>
        <v>0</v>
      </c>
      <c r="K303" s="56"/>
      <c r="L303" s="57"/>
    </row>
    <row r="304" ht="14.25" customHeight="1">
      <c r="A304" s="52"/>
      <c r="B304" s="53"/>
      <c r="C304" s="54"/>
      <c r="D304" s="56"/>
      <c r="E304" s="56"/>
      <c r="F304" s="56"/>
      <c r="G304" s="56"/>
      <c r="H304" s="56"/>
      <c r="I304" s="56"/>
      <c r="J304" s="56">
        <f t="shared" si="2"/>
        <v>0</v>
      </c>
      <c r="K304" s="56"/>
      <c r="L304" s="57"/>
    </row>
    <row r="305" ht="14.25" customHeight="1">
      <c r="A305" s="52"/>
      <c r="B305" s="53"/>
      <c r="C305" s="54"/>
      <c r="D305" s="56"/>
      <c r="E305" s="56"/>
      <c r="F305" s="56"/>
      <c r="G305" s="56"/>
      <c r="H305" s="56"/>
      <c r="I305" s="56"/>
      <c r="J305" s="56">
        <f t="shared" si="2"/>
        <v>0</v>
      </c>
      <c r="K305" s="56"/>
      <c r="L305" s="57"/>
    </row>
    <row r="306" ht="14.25" customHeight="1">
      <c r="A306" s="52"/>
      <c r="B306" s="53"/>
      <c r="C306" s="54"/>
      <c r="D306" s="56"/>
      <c r="E306" s="56"/>
      <c r="F306" s="56"/>
      <c r="G306" s="56"/>
      <c r="H306" s="56"/>
      <c r="I306" s="56"/>
      <c r="J306" s="56">
        <f t="shared" si="2"/>
        <v>0</v>
      </c>
      <c r="K306" s="56"/>
      <c r="L306" s="57"/>
    </row>
    <row r="307" ht="14.25" customHeight="1">
      <c r="A307" s="52"/>
      <c r="B307" s="53"/>
      <c r="C307" s="54"/>
      <c r="D307" s="56"/>
      <c r="E307" s="56"/>
      <c r="F307" s="56"/>
      <c r="G307" s="56"/>
      <c r="H307" s="56"/>
      <c r="I307" s="56"/>
      <c r="J307" s="56">
        <f t="shared" si="2"/>
        <v>0</v>
      </c>
      <c r="K307" s="56"/>
      <c r="L307" s="57"/>
    </row>
    <row r="308" ht="14.25" customHeight="1">
      <c r="A308" s="52"/>
      <c r="B308" s="53"/>
      <c r="C308" s="54"/>
      <c r="D308" s="56"/>
      <c r="E308" s="56"/>
      <c r="F308" s="56"/>
      <c r="G308" s="56"/>
      <c r="H308" s="56"/>
      <c r="I308" s="56"/>
      <c r="J308" s="56">
        <f t="shared" si="2"/>
        <v>0</v>
      </c>
      <c r="K308" s="56"/>
      <c r="L308" s="57"/>
    </row>
    <row r="309" ht="14.25" customHeight="1">
      <c r="A309" s="52"/>
      <c r="B309" s="53"/>
      <c r="C309" s="54"/>
      <c r="D309" s="56"/>
      <c r="E309" s="56"/>
      <c r="F309" s="56"/>
      <c r="G309" s="56"/>
      <c r="H309" s="56"/>
      <c r="I309" s="56"/>
      <c r="J309" s="56">
        <f t="shared" si="2"/>
        <v>0</v>
      </c>
      <c r="K309" s="56"/>
      <c r="L309" s="57"/>
    </row>
    <row r="310" ht="14.25" customHeight="1">
      <c r="A310" s="52"/>
      <c r="B310" s="53"/>
      <c r="C310" s="54"/>
      <c r="D310" s="56"/>
      <c r="E310" s="56"/>
      <c r="F310" s="56"/>
      <c r="G310" s="56"/>
      <c r="H310" s="56"/>
      <c r="I310" s="56"/>
      <c r="J310" s="56">
        <f t="shared" si="2"/>
        <v>0</v>
      </c>
      <c r="K310" s="56"/>
      <c r="L310" s="57"/>
    </row>
    <row r="311" ht="14.25" customHeight="1">
      <c r="A311" s="52"/>
      <c r="B311" s="53"/>
      <c r="C311" s="54"/>
      <c r="D311" s="56"/>
      <c r="E311" s="56"/>
      <c r="F311" s="56"/>
      <c r="G311" s="56"/>
      <c r="H311" s="56"/>
      <c r="I311" s="56"/>
      <c r="J311" s="56">
        <f t="shared" si="2"/>
        <v>0</v>
      </c>
      <c r="K311" s="56"/>
      <c r="L311" s="57"/>
    </row>
    <row r="312" ht="14.25" customHeight="1">
      <c r="A312" s="52"/>
      <c r="B312" s="53"/>
      <c r="C312" s="54"/>
      <c r="D312" s="56"/>
      <c r="E312" s="56"/>
      <c r="F312" s="56"/>
      <c r="G312" s="56"/>
      <c r="H312" s="56"/>
      <c r="I312" s="56"/>
      <c r="J312" s="56">
        <f t="shared" si="2"/>
        <v>0</v>
      </c>
      <c r="K312" s="56"/>
      <c r="L312" s="57"/>
    </row>
    <row r="313" ht="14.25" customHeight="1">
      <c r="A313" s="52"/>
      <c r="B313" s="53"/>
      <c r="C313" s="54"/>
      <c r="D313" s="56"/>
      <c r="E313" s="56"/>
      <c r="F313" s="56"/>
      <c r="G313" s="56"/>
      <c r="H313" s="56"/>
      <c r="I313" s="56"/>
      <c r="J313" s="56">
        <f t="shared" si="2"/>
        <v>0</v>
      </c>
      <c r="K313" s="56"/>
      <c r="L313" s="57"/>
    </row>
    <row r="314" ht="14.25" customHeight="1">
      <c r="A314" s="52"/>
      <c r="B314" s="53"/>
      <c r="C314" s="54"/>
      <c r="D314" s="56"/>
      <c r="E314" s="56"/>
      <c r="F314" s="56"/>
      <c r="G314" s="56"/>
      <c r="H314" s="56"/>
      <c r="I314" s="56"/>
      <c r="J314" s="56">
        <f t="shared" si="2"/>
        <v>0</v>
      </c>
      <c r="K314" s="56"/>
      <c r="L314" s="57"/>
    </row>
    <row r="315" ht="14.25" customHeight="1">
      <c r="A315" s="52"/>
      <c r="B315" s="53"/>
      <c r="C315" s="54"/>
      <c r="D315" s="56"/>
      <c r="E315" s="56"/>
      <c r="F315" s="56"/>
      <c r="G315" s="56"/>
      <c r="H315" s="56"/>
      <c r="I315" s="56"/>
      <c r="J315" s="56">
        <f t="shared" si="2"/>
        <v>0</v>
      </c>
      <c r="K315" s="56"/>
      <c r="L315" s="57"/>
    </row>
    <row r="316" ht="14.25" customHeight="1">
      <c r="A316" s="52"/>
      <c r="B316" s="53"/>
      <c r="C316" s="54"/>
      <c r="D316" s="56"/>
      <c r="E316" s="56"/>
      <c r="F316" s="56"/>
      <c r="G316" s="56"/>
      <c r="H316" s="56"/>
      <c r="I316" s="56"/>
      <c r="J316" s="56">
        <f t="shared" si="2"/>
        <v>0</v>
      </c>
      <c r="K316" s="56"/>
      <c r="L316" s="57"/>
    </row>
    <row r="317" ht="14.25" customHeight="1">
      <c r="A317" s="52"/>
      <c r="B317" s="53"/>
      <c r="C317" s="54"/>
      <c r="D317" s="56"/>
      <c r="E317" s="56"/>
      <c r="F317" s="56"/>
      <c r="G317" s="56"/>
      <c r="H317" s="56"/>
      <c r="I317" s="56"/>
      <c r="J317" s="56">
        <f t="shared" si="2"/>
        <v>0</v>
      </c>
      <c r="K317" s="56"/>
      <c r="L317" s="57"/>
    </row>
    <row r="318" ht="14.25" customHeight="1">
      <c r="A318" s="52"/>
      <c r="B318" s="53"/>
      <c r="C318" s="54"/>
      <c r="D318" s="56"/>
      <c r="E318" s="56"/>
      <c r="F318" s="56"/>
      <c r="G318" s="56"/>
      <c r="H318" s="56"/>
      <c r="I318" s="56"/>
      <c r="J318" s="56">
        <f t="shared" si="2"/>
        <v>0</v>
      </c>
      <c r="K318" s="56"/>
      <c r="L318" s="57"/>
    </row>
    <row r="319" ht="14.25" customHeight="1">
      <c r="A319" s="52"/>
      <c r="B319" s="53"/>
      <c r="C319" s="54"/>
      <c r="D319" s="56"/>
      <c r="E319" s="56"/>
      <c r="F319" s="56"/>
      <c r="G319" s="56"/>
      <c r="H319" s="56"/>
      <c r="I319" s="56"/>
      <c r="J319" s="56">
        <f t="shared" si="2"/>
        <v>0</v>
      </c>
      <c r="K319" s="56"/>
      <c r="L319" s="57"/>
    </row>
    <row r="320" ht="14.25" customHeight="1">
      <c r="A320" s="52"/>
      <c r="B320" s="53"/>
      <c r="C320" s="54"/>
      <c r="D320" s="56"/>
      <c r="E320" s="56"/>
      <c r="F320" s="56"/>
      <c r="G320" s="56"/>
      <c r="H320" s="56"/>
      <c r="I320" s="56"/>
      <c r="J320" s="56">
        <f t="shared" si="2"/>
        <v>0</v>
      </c>
      <c r="K320" s="56"/>
      <c r="L320" s="57"/>
    </row>
    <row r="321" ht="14.25" customHeight="1">
      <c r="A321" s="52"/>
      <c r="B321" s="53"/>
      <c r="C321" s="54"/>
      <c r="D321" s="56"/>
      <c r="E321" s="56"/>
      <c r="F321" s="56"/>
      <c r="G321" s="56"/>
      <c r="H321" s="56"/>
      <c r="I321" s="56"/>
      <c r="J321" s="56">
        <f t="shared" si="2"/>
        <v>0</v>
      </c>
      <c r="K321" s="56"/>
      <c r="L321" s="57"/>
    </row>
    <row r="322" ht="14.25" customHeight="1">
      <c r="A322" s="52"/>
      <c r="B322" s="53"/>
      <c r="C322" s="54"/>
      <c r="D322" s="56"/>
      <c r="E322" s="56"/>
      <c r="F322" s="56"/>
      <c r="G322" s="56"/>
      <c r="H322" s="56"/>
      <c r="I322" s="56"/>
      <c r="J322" s="56">
        <f t="shared" si="2"/>
        <v>0</v>
      </c>
      <c r="K322" s="56"/>
      <c r="L322" s="57"/>
    </row>
    <row r="323" ht="14.25" customHeight="1">
      <c r="A323" s="52"/>
      <c r="B323" s="53"/>
      <c r="C323" s="54"/>
      <c r="D323" s="56"/>
      <c r="E323" s="56"/>
      <c r="F323" s="56"/>
      <c r="G323" s="56"/>
      <c r="H323" s="56"/>
      <c r="I323" s="56"/>
      <c r="J323" s="56">
        <f t="shared" si="2"/>
        <v>0</v>
      </c>
      <c r="K323" s="56"/>
      <c r="L323" s="57"/>
    </row>
    <row r="324" ht="14.25" customHeight="1">
      <c r="A324" s="52"/>
      <c r="B324" s="53"/>
      <c r="C324" s="54"/>
      <c r="D324" s="56"/>
      <c r="E324" s="56"/>
      <c r="F324" s="56"/>
      <c r="G324" s="56"/>
      <c r="H324" s="56"/>
      <c r="I324" s="56"/>
      <c r="J324" s="56">
        <f t="shared" si="2"/>
        <v>0</v>
      </c>
      <c r="K324" s="56"/>
      <c r="L324" s="57"/>
    </row>
    <row r="325" ht="14.25" customHeight="1">
      <c r="A325" s="52"/>
      <c r="B325" s="53"/>
      <c r="C325" s="54"/>
      <c r="D325" s="56"/>
      <c r="E325" s="56"/>
      <c r="F325" s="56"/>
      <c r="G325" s="56"/>
      <c r="H325" s="56"/>
      <c r="I325" s="56"/>
      <c r="J325" s="56">
        <f t="shared" si="2"/>
        <v>0</v>
      </c>
      <c r="K325" s="56"/>
      <c r="L325" s="57"/>
    </row>
    <row r="326" ht="14.25" customHeight="1">
      <c r="A326" s="52"/>
      <c r="B326" s="53"/>
      <c r="C326" s="54"/>
      <c r="D326" s="56"/>
      <c r="E326" s="56"/>
      <c r="F326" s="56"/>
      <c r="G326" s="56"/>
      <c r="H326" s="56"/>
      <c r="I326" s="56"/>
      <c r="J326" s="56">
        <f t="shared" si="2"/>
        <v>0</v>
      </c>
      <c r="K326" s="56"/>
      <c r="L326" s="57"/>
    </row>
    <row r="327" ht="14.25" customHeight="1">
      <c r="A327" s="52"/>
      <c r="B327" s="53"/>
      <c r="C327" s="54"/>
      <c r="D327" s="56"/>
      <c r="E327" s="56"/>
      <c r="F327" s="56"/>
      <c r="G327" s="56"/>
      <c r="H327" s="56"/>
      <c r="I327" s="56"/>
      <c r="J327" s="56">
        <f t="shared" si="2"/>
        <v>0</v>
      </c>
      <c r="K327" s="56"/>
      <c r="L327" s="57"/>
    </row>
    <row r="328" ht="14.25" customHeight="1">
      <c r="A328" s="52"/>
      <c r="B328" s="53"/>
      <c r="C328" s="54"/>
      <c r="D328" s="56"/>
      <c r="E328" s="56"/>
      <c r="F328" s="56"/>
      <c r="G328" s="56"/>
      <c r="H328" s="56"/>
      <c r="I328" s="56"/>
      <c r="J328" s="56">
        <f t="shared" si="2"/>
        <v>0</v>
      </c>
      <c r="K328" s="56"/>
      <c r="L328" s="57"/>
    </row>
    <row r="329" ht="14.25" customHeight="1">
      <c r="A329" s="52"/>
      <c r="B329" s="53"/>
      <c r="C329" s="54"/>
      <c r="D329" s="56"/>
      <c r="E329" s="56"/>
      <c r="F329" s="56"/>
      <c r="G329" s="56"/>
      <c r="H329" s="56"/>
      <c r="I329" s="56"/>
      <c r="J329" s="56">
        <f t="shared" si="2"/>
        <v>0</v>
      </c>
      <c r="K329" s="56"/>
      <c r="L329" s="57"/>
    </row>
    <row r="330" ht="14.25" customHeight="1">
      <c r="A330" s="52"/>
      <c r="B330" s="53"/>
      <c r="C330" s="54"/>
      <c r="D330" s="56"/>
      <c r="E330" s="56"/>
      <c r="F330" s="56"/>
      <c r="G330" s="56"/>
      <c r="H330" s="56"/>
      <c r="I330" s="56"/>
      <c r="J330" s="56">
        <f t="shared" si="2"/>
        <v>0</v>
      </c>
      <c r="K330" s="56"/>
      <c r="L330" s="57"/>
    </row>
    <row r="331" ht="14.25" customHeight="1">
      <c r="A331" s="52"/>
      <c r="B331" s="53"/>
      <c r="C331" s="54"/>
      <c r="D331" s="56"/>
      <c r="E331" s="56"/>
      <c r="F331" s="56"/>
      <c r="G331" s="56"/>
      <c r="H331" s="56"/>
      <c r="I331" s="56"/>
      <c r="J331" s="56">
        <f t="shared" si="2"/>
        <v>0</v>
      </c>
      <c r="K331" s="56"/>
      <c r="L331" s="57"/>
    </row>
    <row r="332" ht="14.25" customHeight="1">
      <c r="A332" s="52"/>
      <c r="B332" s="53"/>
      <c r="C332" s="54"/>
      <c r="D332" s="56"/>
      <c r="E332" s="56"/>
      <c r="F332" s="56"/>
      <c r="G332" s="56"/>
      <c r="H332" s="56"/>
      <c r="I332" s="56"/>
      <c r="J332" s="56">
        <f t="shared" si="2"/>
        <v>0</v>
      </c>
      <c r="K332" s="56"/>
      <c r="L332" s="57"/>
    </row>
    <row r="333" ht="14.25" customHeight="1">
      <c r="A333" s="52"/>
      <c r="B333" s="53"/>
      <c r="C333" s="54"/>
      <c r="D333" s="56"/>
      <c r="E333" s="56"/>
      <c r="F333" s="56"/>
      <c r="G333" s="56"/>
      <c r="H333" s="56"/>
      <c r="I333" s="56"/>
      <c r="J333" s="56">
        <f t="shared" si="2"/>
        <v>0</v>
      </c>
      <c r="K333" s="56"/>
      <c r="L333" s="57"/>
    </row>
    <row r="334" ht="14.25" customHeight="1">
      <c r="A334" s="52"/>
      <c r="B334" s="53"/>
      <c r="C334" s="54"/>
      <c r="D334" s="56"/>
      <c r="E334" s="56"/>
      <c r="F334" s="56"/>
      <c r="G334" s="56"/>
      <c r="H334" s="56"/>
      <c r="I334" s="56"/>
      <c r="J334" s="56">
        <f t="shared" si="2"/>
        <v>0</v>
      </c>
      <c r="K334" s="56"/>
      <c r="L334" s="57"/>
    </row>
    <row r="335" ht="14.25" customHeight="1">
      <c r="A335" s="52"/>
      <c r="B335" s="53"/>
      <c r="C335" s="54"/>
      <c r="D335" s="56"/>
      <c r="E335" s="56"/>
      <c r="F335" s="56"/>
      <c r="G335" s="56"/>
      <c r="H335" s="56"/>
      <c r="I335" s="56"/>
      <c r="J335" s="56">
        <f t="shared" si="2"/>
        <v>0</v>
      </c>
      <c r="K335" s="56"/>
      <c r="L335" s="57"/>
    </row>
    <row r="336" ht="14.25" customHeight="1">
      <c r="A336" s="52"/>
      <c r="B336" s="53"/>
      <c r="C336" s="54"/>
      <c r="D336" s="56"/>
      <c r="E336" s="56"/>
      <c r="F336" s="56"/>
      <c r="G336" s="56"/>
      <c r="H336" s="56"/>
      <c r="I336" s="56"/>
      <c r="J336" s="56">
        <f t="shared" si="2"/>
        <v>0</v>
      </c>
      <c r="K336" s="56"/>
      <c r="L336" s="57"/>
    </row>
    <row r="337" ht="14.25" customHeight="1">
      <c r="A337" s="52"/>
      <c r="B337" s="53"/>
      <c r="C337" s="54"/>
      <c r="D337" s="56"/>
      <c r="E337" s="56"/>
      <c r="F337" s="56"/>
      <c r="G337" s="56"/>
      <c r="H337" s="56"/>
      <c r="I337" s="56"/>
      <c r="J337" s="56">
        <f t="shared" si="2"/>
        <v>0</v>
      </c>
      <c r="K337" s="56"/>
      <c r="L337" s="57"/>
    </row>
    <row r="338" ht="14.25" customHeight="1">
      <c r="A338" s="52"/>
      <c r="B338" s="53"/>
      <c r="C338" s="54"/>
      <c r="D338" s="56"/>
      <c r="E338" s="56"/>
      <c r="F338" s="56"/>
      <c r="G338" s="56"/>
      <c r="H338" s="56"/>
      <c r="I338" s="56"/>
      <c r="J338" s="56">
        <f t="shared" si="2"/>
        <v>0</v>
      </c>
      <c r="K338" s="56"/>
      <c r="L338" s="57"/>
    </row>
    <row r="339" ht="14.25" customHeight="1">
      <c r="A339" s="52"/>
      <c r="B339" s="53"/>
      <c r="C339" s="54"/>
      <c r="D339" s="56"/>
      <c r="E339" s="56"/>
      <c r="F339" s="56"/>
      <c r="G339" s="56"/>
      <c r="H339" s="56"/>
      <c r="I339" s="56"/>
      <c r="J339" s="56">
        <f t="shared" si="2"/>
        <v>0</v>
      </c>
      <c r="K339" s="56"/>
      <c r="L339" s="57"/>
    </row>
    <row r="340" ht="14.25" customHeight="1">
      <c r="A340" s="52"/>
      <c r="B340" s="53"/>
      <c r="C340" s="54"/>
      <c r="D340" s="56"/>
      <c r="E340" s="56"/>
      <c r="F340" s="56"/>
      <c r="G340" s="56"/>
      <c r="H340" s="56"/>
      <c r="I340" s="56"/>
      <c r="J340" s="56">
        <f t="shared" si="2"/>
        <v>0</v>
      </c>
      <c r="K340" s="56"/>
      <c r="L340" s="57"/>
    </row>
    <row r="341" ht="14.25" customHeight="1">
      <c r="B341" s="53"/>
      <c r="C341" s="54"/>
      <c r="D341" s="56"/>
      <c r="E341" s="56"/>
      <c r="F341" s="56"/>
      <c r="G341" s="56"/>
      <c r="H341" s="56"/>
      <c r="I341" s="56"/>
      <c r="J341" s="56">
        <f t="shared" si="2"/>
        <v>0</v>
      </c>
      <c r="K341" s="56"/>
      <c r="L341" s="57"/>
    </row>
    <row r="342" ht="14.25" customHeight="1">
      <c r="B342" s="53"/>
      <c r="C342" s="54"/>
      <c r="D342" s="56"/>
      <c r="E342" s="56"/>
      <c r="F342" s="56"/>
      <c r="G342" s="56"/>
      <c r="H342" s="56"/>
      <c r="I342" s="56"/>
      <c r="J342" s="56">
        <f t="shared" si="2"/>
        <v>0</v>
      </c>
      <c r="K342" s="56"/>
      <c r="L342" s="57"/>
    </row>
    <row r="343" ht="14.25" customHeight="1">
      <c r="B343" s="53"/>
      <c r="C343" s="54"/>
      <c r="D343" s="56"/>
      <c r="E343" s="56"/>
      <c r="F343" s="56"/>
      <c r="G343" s="56"/>
      <c r="H343" s="56"/>
      <c r="I343" s="56"/>
      <c r="J343" s="56">
        <f t="shared" si="2"/>
        <v>0</v>
      </c>
      <c r="K343" s="56"/>
      <c r="L343" s="57"/>
    </row>
    <row r="344" ht="14.25" customHeight="1">
      <c r="B344" s="53"/>
      <c r="C344" s="54"/>
      <c r="D344" s="56"/>
      <c r="E344" s="56"/>
      <c r="F344" s="56"/>
      <c r="G344" s="56"/>
      <c r="H344" s="56"/>
      <c r="I344" s="56"/>
      <c r="J344" s="56">
        <f t="shared" si="2"/>
        <v>0</v>
      </c>
      <c r="K344" s="56"/>
      <c r="L344" s="57"/>
    </row>
    <row r="345" ht="14.25" customHeight="1">
      <c r="B345" s="53"/>
      <c r="C345" s="54"/>
      <c r="D345" s="56"/>
      <c r="E345" s="56"/>
      <c r="F345" s="56"/>
      <c r="G345" s="56"/>
      <c r="H345" s="56"/>
      <c r="I345" s="56"/>
      <c r="J345" s="56">
        <f t="shared" si="2"/>
        <v>0</v>
      </c>
      <c r="K345" s="56"/>
      <c r="L345" s="57"/>
    </row>
    <row r="346" ht="14.25" customHeight="1">
      <c r="B346" s="53"/>
      <c r="C346" s="54"/>
      <c r="D346" s="56"/>
      <c r="E346" s="56"/>
      <c r="F346" s="56"/>
      <c r="G346" s="56"/>
      <c r="H346" s="56"/>
      <c r="I346" s="56"/>
      <c r="J346" s="56">
        <f t="shared" si="2"/>
        <v>0</v>
      </c>
      <c r="K346" s="56"/>
      <c r="L346" s="57"/>
    </row>
    <row r="347" ht="14.25" customHeight="1">
      <c r="B347" s="53"/>
      <c r="C347" s="54"/>
      <c r="D347" s="56"/>
      <c r="E347" s="56"/>
      <c r="F347" s="56"/>
      <c r="G347" s="56"/>
      <c r="H347" s="56"/>
      <c r="I347" s="56"/>
      <c r="J347" s="56">
        <f t="shared" si="2"/>
        <v>0</v>
      </c>
      <c r="K347" s="56"/>
      <c r="L347" s="57"/>
    </row>
    <row r="348" ht="14.25" customHeight="1">
      <c r="B348" s="53"/>
      <c r="C348" s="54"/>
      <c r="D348" s="56"/>
      <c r="E348" s="56"/>
      <c r="F348" s="56"/>
      <c r="G348" s="56"/>
      <c r="H348" s="56"/>
      <c r="I348" s="56"/>
      <c r="J348" s="56">
        <f t="shared" si="2"/>
        <v>0</v>
      </c>
      <c r="K348" s="56"/>
      <c r="L348" s="57"/>
    </row>
    <row r="349" ht="14.25" customHeight="1">
      <c r="B349" s="53"/>
      <c r="C349" s="54"/>
      <c r="D349" s="56"/>
      <c r="E349" s="56"/>
      <c r="F349" s="56"/>
      <c r="G349" s="56"/>
      <c r="H349" s="56"/>
      <c r="I349" s="56"/>
      <c r="J349" s="56">
        <f t="shared" si="2"/>
        <v>0</v>
      </c>
      <c r="K349" s="56"/>
      <c r="L349" s="57"/>
    </row>
    <row r="350" ht="14.25" customHeight="1">
      <c r="B350" s="53"/>
      <c r="C350" s="54"/>
      <c r="D350" s="56"/>
      <c r="E350" s="56"/>
      <c r="F350" s="56"/>
      <c r="G350" s="56"/>
      <c r="H350" s="56"/>
      <c r="I350" s="56"/>
      <c r="J350" s="56">
        <f t="shared" si="2"/>
        <v>0</v>
      </c>
      <c r="K350" s="56"/>
      <c r="L350" s="57"/>
    </row>
    <row r="351" ht="14.25" customHeight="1">
      <c r="B351" s="53"/>
      <c r="C351" s="54"/>
      <c r="D351" s="56"/>
      <c r="E351" s="56"/>
      <c r="F351" s="56"/>
      <c r="G351" s="56"/>
      <c r="H351" s="56"/>
      <c r="I351" s="56"/>
      <c r="J351" s="56">
        <f t="shared" si="2"/>
        <v>0</v>
      </c>
      <c r="K351" s="56"/>
      <c r="L351" s="57"/>
    </row>
    <row r="352" ht="14.25" customHeight="1">
      <c r="B352" s="53"/>
      <c r="C352" s="54"/>
      <c r="D352" s="56"/>
      <c r="E352" s="56"/>
      <c r="F352" s="56"/>
      <c r="G352" s="56"/>
      <c r="H352" s="56"/>
      <c r="I352" s="56"/>
      <c r="J352" s="56">
        <f t="shared" si="2"/>
        <v>0</v>
      </c>
      <c r="K352" s="56"/>
      <c r="L352" s="57"/>
    </row>
    <row r="353" ht="14.25" customHeight="1">
      <c r="B353" s="53"/>
      <c r="C353" s="54"/>
      <c r="D353" s="56"/>
      <c r="E353" s="56"/>
      <c r="F353" s="56"/>
      <c r="G353" s="56"/>
      <c r="H353" s="56"/>
      <c r="I353" s="56"/>
      <c r="J353" s="56">
        <f t="shared" si="2"/>
        <v>0</v>
      </c>
      <c r="K353" s="56"/>
      <c r="L353" s="57"/>
    </row>
    <row r="354" ht="14.25" customHeight="1">
      <c r="B354" s="53"/>
      <c r="C354" s="54"/>
      <c r="D354" s="56"/>
      <c r="E354" s="56"/>
      <c r="F354" s="56"/>
      <c r="G354" s="56"/>
      <c r="H354" s="56"/>
      <c r="I354" s="56"/>
      <c r="J354" s="56">
        <f t="shared" si="2"/>
        <v>0</v>
      </c>
      <c r="K354" s="56"/>
      <c r="L354" s="57"/>
    </row>
    <row r="355" ht="14.25" customHeight="1">
      <c r="B355" s="53"/>
      <c r="C355" s="54"/>
      <c r="D355" s="56"/>
      <c r="E355" s="56"/>
      <c r="F355" s="56"/>
      <c r="G355" s="56"/>
      <c r="H355" s="56"/>
      <c r="I355" s="56"/>
      <c r="J355" s="56">
        <f t="shared" si="2"/>
        <v>0</v>
      </c>
      <c r="K355" s="56"/>
      <c r="L355" s="57"/>
    </row>
    <row r="356" ht="14.25" customHeight="1">
      <c r="B356" s="53"/>
      <c r="C356" s="54"/>
      <c r="D356" s="56"/>
      <c r="E356" s="56"/>
      <c r="F356" s="56"/>
      <c r="G356" s="56"/>
      <c r="H356" s="56"/>
      <c r="I356" s="56"/>
      <c r="J356" s="56">
        <f t="shared" si="2"/>
        <v>0</v>
      </c>
      <c r="K356" s="56"/>
      <c r="L356" s="57"/>
    </row>
    <row r="357" ht="14.25" customHeight="1">
      <c r="B357" s="53"/>
      <c r="C357" s="54"/>
      <c r="D357" s="56"/>
      <c r="E357" s="56"/>
      <c r="F357" s="56"/>
      <c r="G357" s="56"/>
      <c r="H357" s="56"/>
      <c r="I357" s="56"/>
      <c r="J357" s="56">
        <f t="shared" si="2"/>
        <v>0</v>
      </c>
      <c r="K357" s="56"/>
      <c r="L357" s="57"/>
    </row>
    <row r="358" ht="14.25" customHeight="1">
      <c r="B358" s="53"/>
      <c r="C358" s="54"/>
      <c r="D358" s="56"/>
      <c r="E358" s="56"/>
      <c r="F358" s="56"/>
      <c r="G358" s="56"/>
      <c r="H358" s="56"/>
      <c r="I358" s="56"/>
      <c r="J358" s="56">
        <f t="shared" si="2"/>
        <v>0</v>
      </c>
      <c r="K358" s="56"/>
      <c r="L358" s="57"/>
    </row>
    <row r="359" ht="14.25" customHeight="1">
      <c r="B359" s="53"/>
      <c r="C359" s="54"/>
      <c r="D359" s="56"/>
      <c r="E359" s="56"/>
      <c r="F359" s="56"/>
      <c r="G359" s="56"/>
      <c r="H359" s="56"/>
      <c r="I359" s="56"/>
      <c r="J359" s="56">
        <f t="shared" si="2"/>
        <v>0</v>
      </c>
      <c r="K359" s="56"/>
      <c r="L359" s="57"/>
    </row>
    <row r="360" ht="14.25" customHeight="1">
      <c r="B360" s="53"/>
      <c r="C360" s="54"/>
      <c r="D360" s="56"/>
      <c r="E360" s="56"/>
      <c r="F360" s="56"/>
      <c r="G360" s="56"/>
      <c r="H360" s="56"/>
      <c r="I360" s="56"/>
      <c r="J360" s="56">
        <f t="shared" si="2"/>
        <v>0</v>
      </c>
      <c r="K360" s="56"/>
      <c r="L360" s="57"/>
    </row>
    <row r="361" ht="14.25" customHeight="1">
      <c r="B361" s="53"/>
      <c r="C361" s="54"/>
      <c r="D361" s="56"/>
      <c r="E361" s="56"/>
      <c r="F361" s="56"/>
      <c r="G361" s="56"/>
      <c r="H361" s="56"/>
      <c r="I361" s="56"/>
      <c r="J361" s="56">
        <f t="shared" si="2"/>
        <v>0</v>
      </c>
      <c r="K361" s="56"/>
      <c r="L361" s="57"/>
    </row>
    <row r="362" ht="14.25" customHeight="1">
      <c r="B362" s="53"/>
      <c r="C362" s="54"/>
      <c r="D362" s="56"/>
      <c r="E362" s="56"/>
      <c r="F362" s="56"/>
      <c r="G362" s="56"/>
      <c r="H362" s="56"/>
      <c r="I362" s="56"/>
      <c r="J362" s="56">
        <f t="shared" si="2"/>
        <v>0</v>
      </c>
      <c r="K362" s="56"/>
      <c r="L362" s="57"/>
    </row>
    <row r="363" ht="14.25" customHeight="1">
      <c r="B363" s="53"/>
      <c r="C363" s="54"/>
      <c r="D363" s="56"/>
      <c r="E363" s="56"/>
      <c r="F363" s="56"/>
      <c r="G363" s="56"/>
      <c r="H363" s="56"/>
      <c r="I363" s="56"/>
      <c r="J363" s="56">
        <f t="shared" si="2"/>
        <v>0</v>
      </c>
      <c r="K363" s="56"/>
      <c r="L363" s="57"/>
    </row>
    <row r="364" ht="14.25" customHeight="1">
      <c r="B364" s="53"/>
      <c r="C364" s="54"/>
      <c r="D364" s="56"/>
      <c r="E364" s="56"/>
      <c r="F364" s="56"/>
      <c r="G364" s="56"/>
      <c r="H364" s="56"/>
      <c r="I364" s="56"/>
      <c r="J364" s="56">
        <f t="shared" si="2"/>
        <v>0</v>
      </c>
      <c r="K364" s="56"/>
      <c r="L364" s="57"/>
    </row>
    <row r="365" ht="14.25" customHeight="1">
      <c r="B365" s="53"/>
      <c r="C365" s="54"/>
      <c r="D365" s="56"/>
      <c r="E365" s="56"/>
      <c r="F365" s="56"/>
      <c r="G365" s="56"/>
      <c r="H365" s="56"/>
      <c r="I365" s="56"/>
      <c r="J365" s="56">
        <f t="shared" si="2"/>
        <v>0</v>
      </c>
      <c r="K365" s="56"/>
      <c r="L365" s="57"/>
    </row>
    <row r="366" ht="14.25" customHeight="1">
      <c r="B366" s="53"/>
      <c r="C366" s="54"/>
      <c r="D366" s="56"/>
      <c r="E366" s="56"/>
      <c r="F366" s="56"/>
      <c r="G366" s="56"/>
      <c r="H366" s="56"/>
      <c r="I366" s="56"/>
      <c r="J366" s="56">
        <f t="shared" si="2"/>
        <v>0</v>
      </c>
      <c r="K366" s="56"/>
      <c r="L366" s="57"/>
    </row>
    <row r="367" ht="14.25" customHeight="1">
      <c r="B367" s="53"/>
      <c r="C367" s="54"/>
      <c r="D367" s="56"/>
      <c r="E367" s="56"/>
      <c r="F367" s="56"/>
      <c r="G367" s="56"/>
      <c r="H367" s="56"/>
      <c r="I367" s="56"/>
      <c r="J367" s="56">
        <f t="shared" si="2"/>
        <v>0</v>
      </c>
      <c r="K367" s="56"/>
      <c r="L367" s="57"/>
    </row>
    <row r="368" ht="14.25" customHeight="1">
      <c r="B368" s="43"/>
      <c r="C368" s="43"/>
      <c r="D368" s="44"/>
      <c r="E368" s="44"/>
      <c r="F368" s="44"/>
      <c r="G368" s="44"/>
      <c r="H368" s="44"/>
      <c r="I368" s="44"/>
      <c r="J368" s="44"/>
      <c r="K368" s="44"/>
      <c r="L368" s="44"/>
    </row>
    <row r="369" ht="14.25" customHeight="1">
      <c r="B369" s="43"/>
      <c r="C369" s="43"/>
      <c r="D369" s="44"/>
      <c r="E369" s="44"/>
      <c r="F369" s="44"/>
      <c r="G369" s="44"/>
      <c r="H369" s="44"/>
      <c r="I369" s="44"/>
      <c r="J369" s="44"/>
      <c r="K369" s="44"/>
      <c r="L369" s="44"/>
    </row>
    <row r="370" ht="14.25" customHeight="1">
      <c r="B370" s="43"/>
      <c r="C370" s="43"/>
      <c r="D370" s="44"/>
      <c r="E370" s="44"/>
      <c r="F370" s="44"/>
      <c r="G370" s="44"/>
      <c r="H370" s="44"/>
      <c r="I370" s="44"/>
      <c r="J370" s="44"/>
      <c r="K370" s="44"/>
      <c r="L370" s="44"/>
    </row>
    <row r="371" ht="14.25" customHeight="1">
      <c r="B371" s="43"/>
      <c r="C371" s="43"/>
      <c r="D371" s="44"/>
      <c r="E371" s="44"/>
      <c r="F371" s="44"/>
      <c r="G371" s="44"/>
      <c r="H371" s="44"/>
      <c r="I371" s="44"/>
      <c r="J371" s="44"/>
      <c r="K371" s="44"/>
      <c r="L371" s="44"/>
    </row>
    <row r="372" ht="14.25" customHeight="1">
      <c r="B372" s="43"/>
      <c r="C372" s="43"/>
      <c r="D372" s="44"/>
      <c r="E372" s="44"/>
      <c r="F372" s="44"/>
      <c r="G372" s="44"/>
      <c r="H372" s="44"/>
      <c r="I372" s="44"/>
      <c r="J372" s="44"/>
      <c r="K372" s="44"/>
      <c r="L372" s="44"/>
    </row>
    <row r="373" ht="14.25" customHeight="1">
      <c r="B373" s="43"/>
      <c r="C373" s="43"/>
      <c r="D373" s="44"/>
      <c r="E373" s="44"/>
      <c r="F373" s="44"/>
      <c r="G373" s="44"/>
      <c r="H373" s="44"/>
      <c r="I373" s="44"/>
      <c r="J373" s="44"/>
      <c r="K373" s="44"/>
      <c r="L373" s="44"/>
    </row>
    <row r="374" ht="14.25" customHeight="1">
      <c r="B374" s="43"/>
      <c r="C374" s="43"/>
      <c r="D374" s="44"/>
      <c r="E374" s="44"/>
      <c r="F374" s="44"/>
      <c r="G374" s="44"/>
      <c r="H374" s="44"/>
      <c r="I374" s="44"/>
      <c r="J374" s="44"/>
      <c r="K374" s="44"/>
      <c r="L374" s="44"/>
    </row>
    <row r="375" ht="14.25" customHeight="1">
      <c r="B375" s="43"/>
      <c r="C375" s="43"/>
      <c r="D375" s="44"/>
      <c r="E375" s="44"/>
      <c r="F375" s="44"/>
      <c r="G375" s="44"/>
      <c r="H375" s="44"/>
      <c r="I375" s="44"/>
      <c r="J375" s="44"/>
      <c r="K375" s="44"/>
      <c r="L375" s="44"/>
    </row>
    <row r="376" ht="14.25" customHeight="1">
      <c r="B376" s="43"/>
      <c r="C376" s="43"/>
      <c r="D376" s="44"/>
      <c r="E376" s="44"/>
      <c r="F376" s="44"/>
      <c r="G376" s="44"/>
      <c r="H376" s="44"/>
      <c r="I376" s="44"/>
      <c r="J376" s="44"/>
      <c r="K376" s="44"/>
      <c r="L376" s="44"/>
    </row>
    <row r="377" ht="14.25" customHeight="1">
      <c r="B377" s="43"/>
      <c r="C377" s="43"/>
      <c r="D377" s="44"/>
      <c r="E377" s="44"/>
      <c r="F377" s="44"/>
      <c r="G377" s="44"/>
      <c r="H377" s="44"/>
      <c r="I377" s="44"/>
      <c r="J377" s="44"/>
      <c r="K377" s="44"/>
      <c r="L377" s="44"/>
    </row>
    <row r="378" ht="14.25" customHeight="1">
      <c r="B378" s="43"/>
      <c r="C378" s="43"/>
      <c r="D378" s="44"/>
      <c r="E378" s="44"/>
      <c r="F378" s="44"/>
      <c r="G378" s="44"/>
      <c r="H378" s="44"/>
      <c r="I378" s="44"/>
      <c r="J378" s="44"/>
      <c r="K378" s="44"/>
      <c r="L378" s="44"/>
    </row>
    <row r="379" ht="14.25" customHeight="1">
      <c r="B379" s="43"/>
      <c r="C379" s="43"/>
      <c r="D379" s="44"/>
      <c r="E379" s="44"/>
      <c r="F379" s="44"/>
      <c r="G379" s="44"/>
      <c r="H379" s="44"/>
      <c r="I379" s="44"/>
      <c r="J379" s="44"/>
      <c r="K379" s="44"/>
      <c r="L379" s="44"/>
    </row>
    <row r="380" ht="14.25" customHeight="1">
      <c r="B380" s="43"/>
      <c r="C380" s="43"/>
      <c r="D380" s="44"/>
      <c r="E380" s="44"/>
      <c r="F380" s="44"/>
      <c r="G380" s="44"/>
      <c r="H380" s="44"/>
      <c r="I380" s="44"/>
      <c r="J380" s="44"/>
      <c r="K380" s="44"/>
      <c r="L380" s="44"/>
    </row>
    <row r="381" ht="14.25" customHeight="1">
      <c r="B381" s="43"/>
      <c r="C381" s="43"/>
      <c r="D381" s="44"/>
      <c r="E381" s="44"/>
      <c r="F381" s="44"/>
      <c r="G381" s="44"/>
      <c r="H381" s="44"/>
      <c r="I381" s="44"/>
      <c r="J381" s="44"/>
      <c r="K381" s="44"/>
      <c r="L381" s="44"/>
    </row>
    <row r="382" ht="14.25" customHeight="1">
      <c r="B382" s="43"/>
      <c r="C382" s="43"/>
      <c r="D382" s="44"/>
      <c r="E382" s="44"/>
      <c r="F382" s="44"/>
      <c r="G382" s="44"/>
      <c r="H382" s="44"/>
      <c r="I382" s="44"/>
      <c r="J382" s="44"/>
      <c r="K382" s="44"/>
      <c r="L382" s="44"/>
    </row>
    <row r="383" ht="14.25" customHeight="1">
      <c r="B383" s="43"/>
      <c r="C383" s="43"/>
      <c r="D383" s="44"/>
      <c r="E383" s="44"/>
      <c r="F383" s="44"/>
      <c r="G383" s="44"/>
      <c r="H383" s="44"/>
      <c r="I383" s="44"/>
      <c r="J383" s="44"/>
      <c r="K383" s="44"/>
      <c r="L383" s="44"/>
    </row>
    <row r="384" ht="14.25" customHeight="1">
      <c r="B384" s="43"/>
      <c r="C384" s="43"/>
      <c r="D384" s="44"/>
      <c r="E384" s="44"/>
      <c r="F384" s="44"/>
      <c r="G384" s="44"/>
      <c r="H384" s="44"/>
      <c r="I384" s="44"/>
      <c r="J384" s="44"/>
      <c r="K384" s="44"/>
      <c r="L384" s="44"/>
    </row>
    <row r="385" ht="14.25" customHeight="1">
      <c r="B385" s="43"/>
      <c r="C385" s="43"/>
      <c r="D385" s="44"/>
      <c r="E385" s="44"/>
      <c r="F385" s="44"/>
      <c r="G385" s="44"/>
      <c r="H385" s="44"/>
      <c r="I385" s="44"/>
      <c r="J385" s="44"/>
      <c r="K385" s="44"/>
      <c r="L385" s="44"/>
    </row>
    <row r="386" ht="14.25" customHeight="1">
      <c r="B386" s="43"/>
      <c r="C386" s="43"/>
      <c r="D386" s="44"/>
      <c r="E386" s="44"/>
      <c r="F386" s="44"/>
      <c r="G386" s="44"/>
      <c r="H386" s="44"/>
      <c r="I386" s="44"/>
      <c r="J386" s="44"/>
      <c r="K386" s="44"/>
      <c r="L386" s="44"/>
    </row>
    <row r="387" ht="14.25" customHeight="1">
      <c r="B387" s="43"/>
      <c r="C387" s="43"/>
      <c r="D387" s="44"/>
      <c r="E387" s="44"/>
      <c r="F387" s="44"/>
      <c r="G387" s="44"/>
      <c r="H387" s="44"/>
      <c r="I387" s="44"/>
      <c r="J387" s="44"/>
      <c r="K387" s="44"/>
      <c r="L387" s="44"/>
    </row>
    <row r="388" ht="14.25" customHeight="1">
      <c r="B388" s="43"/>
      <c r="C388" s="43"/>
      <c r="D388" s="44"/>
      <c r="E388" s="44"/>
      <c r="F388" s="44"/>
      <c r="G388" s="44"/>
      <c r="H388" s="44"/>
      <c r="I388" s="44"/>
      <c r="J388" s="44"/>
      <c r="K388" s="44"/>
      <c r="L388" s="44"/>
    </row>
    <row r="389" ht="14.25" customHeight="1">
      <c r="B389" s="43"/>
      <c r="C389" s="43"/>
      <c r="D389" s="44"/>
      <c r="E389" s="44"/>
      <c r="F389" s="44"/>
      <c r="G389" s="44"/>
      <c r="H389" s="44"/>
      <c r="I389" s="44"/>
      <c r="J389" s="44"/>
      <c r="K389" s="44"/>
      <c r="L389" s="44"/>
    </row>
    <row r="390" ht="14.25" customHeight="1">
      <c r="B390" s="43"/>
      <c r="C390" s="43"/>
      <c r="D390" s="44"/>
      <c r="E390" s="44"/>
      <c r="F390" s="44"/>
      <c r="G390" s="44"/>
      <c r="H390" s="44"/>
      <c r="I390" s="44"/>
      <c r="J390" s="44"/>
      <c r="K390" s="44"/>
      <c r="L390" s="44"/>
    </row>
    <row r="391" ht="14.25" customHeight="1">
      <c r="B391" s="43"/>
      <c r="C391" s="43"/>
      <c r="D391" s="44"/>
      <c r="E391" s="44"/>
      <c r="F391" s="44"/>
      <c r="G391" s="44"/>
      <c r="H391" s="44"/>
      <c r="I391" s="44"/>
      <c r="J391" s="44"/>
      <c r="K391" s="44"/>
      <c r="L391" s="44"/>
    </row>
    <row r="392" ht="14.25" customHeight="1">
      <c r="B392" s="43"/>
      <c r="C392" s="43"/>
      <c r="D392" s="44"/>
      <c r="E392" s="44"/>
      <c r="F392" s="44"/>
      <c r="G392" s="44"/>
      <c r="H392" s="44"/>
      <c r="I392" s="44"/>
      <c r="J392" s="44"/>
      <c r="K392" s="44"/>
      <c r="L392" s="44"/>
    </row>
    <row r="393" ht="14.25" customHeight="1">
      <c r="B393" s="43"/>
      <c r="C393" s="43"/>
      <c r="D393" s="44"/>
      <c r="E393" s="44"/>
      <c r="F393" s="44"/>
      <c r="G393" s="44"/>
      <c r="H393" s="44"/>
      <c r="I393" s="44"/>
      <c r="J393" s="44"/>
      <c r="K393" s="44"/>
      <c r="L393" s="44"/>
    </row>
    <row r="394" ht="14.25" customHeight="1">
      <c r="B394" s="43"/>
      <c r="C394" s="43"/>
      <c r="D394" s="44"/>
      <c r="E394" s="44"/>
      <c r="F394" s="44"/>
      <c r="G394" s="44"/>
      <c r="H394" s="44"/>
      <c r="I394" s="44"/>
      <c r="J394" s="44"/>
      <c r="K394" s="44"/>
      <c r="L394" s="44"/>
    </row>
    <row r="395" ht="14.25" customHeight="1">
      <c r="B395" s="43"/>
      <c r="C395" s="43"/>
      <c r="D395" s="44"/>
      <c r="E395" s="44"/>
      <c r="F395" s="44"/>
      <c r="G395" s="44"/>
      <c r="H395" s="44"/>
      <c r="I395" s="44"/>
      <c r="J395" s="44"/>
      <c r="K395" s="44"/>
      <c r="L395" s="44"/>
    </row>
    <row r="396" ht="14.25" customHeight="1">
      <c r="B396" s="43"/>
      <c r="C396" s="43"/>
      <c r="D396" s="44"/>
      <c r="E396" s="44"/>
      <c r="F396" s="44"/>
      <c r="G396" s="44"/>
      <c r="H396" s="44"/>
      <c r="I396" s="44"/>
      <c r="J396" s="44"/>
      <c r="K396" s="44"/>
      <c r="L396" s="44"/>
    </row>
    <row r="397" ht="14.25" customHeight="1">
      <c r="B397" s="43"/>
      <c r="C397" s="43"/>
      <c r="D397" s="44"/>
      <c r="E397" s="44"/>
      <c r="F397" s="44"/>
      <c r="G397" s="44"/>
      <c r="H397" s="44"/>
      <c r="I397" s="44"/>
      <c r="J397" s="44"/>
      <c r="K397" s="44"/>
      <c r="L397" s="44"/>
    </row>
    <row r="398" ht="14.25" customHeight="1">
      <c r="B398" s="43"/>
      <c r="C398" s="43"/>
      <c r="D398" s="44"/>
      <c r="E398" s="44"/>
      <c r="F398" s="44"/>
      <c r="G398" s="44"/>
      <c r="H398" s="44"/>
      <c r="I398" s="44"/>
      <c r="J398" s="44"/>
      <c r="K398" s="44"/>
      <c r="L398" s="44"/>
    </row>
    <row r="399" ht="14.25" customHeight="1">
      <c r="B399" s="43"/>
      <c r="C399" s="43"/>
      <c r="D399" s="44"/>
      <c r="E399" s="44"/>
      <c r="F399" s="44"/>
      <c r="G399" s="44"/>
      <c r="H399" s="44"/>
      <c r="I399" s="44"/>
      <c r="J399" s="44"/>
      <c r="K399" s="44"/>
      <c r="L399" s="44"/>
    </row>
    <row r="400" ht="14.25" customHeight="1">
      <c r="B400" s="43"/>
      <c r="C400" s="43"/>
      <c r="D400" s="44"/>
      <c r="E400" s="44"/>
      <c r="F400" s="44"/>
      <c r="G400" s="44"/>
      <c r="H400" s="44"/>
      <c r="I400" s="44"/>
      <c r="J400" s="44"/>
      <c r="K400" s="44"/>
      <c r="L400" s="44"/>
    </row>
    <row r="401" ht="14.25" customHeight="1">
      <c r="B401" s="43"/>
      <c r="C401" s="43"/>
      <c r="D401" s="44"/>
      <c r="E401" s="44"/>
      <c r="F401" s="44"/>
      <c r="G401" s="44"/>
      <c r="H401" s="44"/>
      <c r="I401" s="44"/>
      <c r="J401" s="44"/>
      <c r="K401" s="44"/>
      <c r="L401" s="44"/>
    </row>
    <row r="402" ht="14.25" customHeight="1">
      <c r="B402" s="43"/>
      <c r="C402" s="43"/>
      <c r="D402" s="44"/>
      <c r="E402" s="44"/>
      <c r="F402" s="44"/>
      <c r="G402" s="44"/>
      <c r="H402" s="44"/>
      <c r="I402" s="44"/>
      <c r="J402" s="44"/>
      <c r="K402" s="44"/>
      <c r="L402" s="44"/>
    </row>
    <row r="403" ht="14.25" customHeight="1">
      <c r="B403" s="43"/>
      <c r="C403" s="43"/>
      <c r="D403" s="44"/>
      <c r="E403" s="44"/>
      <c r="F403" s="44"/>
      <c r="G403" s="44"/>
      <c r="H403" s="44"/>
      <c r="I403" s="44"/>
      <c r="J403" s="44"/>
      <c r="K403" s="44"/>
      <c r="L403" s="44"/>
    </row>
    <row r="404" ht="14.25" customHeight="1">
      <c r="B404" s="43"/>
      <c r="C404" s="43"/>
      <c r="D404" s="44"/>
      <c r="E404" s="44"/>
      <c r="F404" s="44"/>
      <c r="G404" s="44"/>
      <c r="H404" s="44"/>
      <c r="I404" s="44"/>
      <c r="J404" s="44"/>
      <c r="K404" s="44"/>
      <c r="L404" s="44"/>
    </row>
    <row r="405" ht="14.25" customHeight="1">
      <c r="B405" s="43"/>
      <c r="C405" s="43"/>
      <c r="D405" s="44"/>
      <c r="E405" s="44"/>
      <c r="F405" s="44"/>
      <c r="G405" s="44"/>
      <c r="H405" s="44"/>
      <c r="I405" s="44"/>
      <c r="J405" s="44"/>
      <c r="K405" s="44"/>
      <c r="L405" s="44"/>
    </row>
    <row r="406" ht="14.25" customHeight="1">
      <c r="B406" s="43"/>
      <c r="C406" s="43"/>
      <c r="D406" s="44"/>
      <c r="E406" s="44"/>
      <c r="F406" s="44"/>
      <c r="G406" s="44"/>
      <c r="H406" s="44"/>
      <c r="I406" s="44"/>
      <c r="J406" s="44"/>
      <c r="K406" s="44"/>
      <c r="L406" s="44"/>
    </row>
    <row r="407" ht="14.25" customHeight="1">
      <c r="B407" s="43"/>
      <c r="C407" s="43"/>
      <c r="D407" s="44"/>
      <c r="E407" s="44"/>
      <c r="F407" s="44"/>
      <c r="G407" s="44"/>
      <c r="H407" s="44"/>
      <c r="I407" s="44"/>
      <c r="J407" s="44"/>
      <c r="K407" s="44"/>
      <c r="L407" s="44"/>
    </row>
    <row r="408" ht="14.25" customHeight="1">
      <c r="B408" s="43"/>
      <c r="C408" s="43"/>
      <c r="D408" s="44"/>
      <c r="E408" s="44"/>
      <c r="F408" s="44"/>
      <c r="G408" s="44"/>
      <c r="H408" s="44"/>
      <c r="I408" s="44"/>
      <c r="J408" s="44"/>
      <c r="K408" s="44"/>
      <c r="L408" s="44"/>
    </row>
    <row r="409" ht="14.25" customHeight="1">
      <c r="B409" s="43"/>
      <c r="C409" s="43"/>
      <c r="D409" s="44"/>
      <c r="E409" s="44"/>
      <c r="F409" s="44"/>
      <c r="G409" s="44"/>
      <c r="H409" s="44"/>
      <c r="I409" s="44"/>
      <c r="J409" s="44"/>
      <c r="K409" s="44"/>
      <c r="L409" s="44"/>
    </row>
    <row r="410" ht="14.25" customHeight="1">
      <c r="B410" s="43"/>
      <c r="C410" s="43"/>
      <c r="D410" s="44"/>
      <c r="E410" s="44"/>
      <c r="F410" s="44"/>
      <c r="G410" s="44"/>
      <c r="H410" s="44"/>
      <c r="I410" s="44"/>
      <c r="J410" s="44"/>
      <c r="K410" s="44"/>
      <c r="L410" s="44"/>
    </row>
    <row r="411" ht="14.25" customHeight="1">
      <c r="B411" s="43"/>
      <c r="C411" s="43"/>
      <c r="D411" s="44"/>
      <c r="E411" s="44"/>
      <c r="F411" s="44"/>
      <c r="G411" s="44"/>
      <c r="H411" s="44"/>
      <c r="I411" s="44"/>
      <c r="J411" s="44"/>
      <c r="K411" s="44"/>
      <c r="L411" s="44"/>
    </row>
    <row r="412" ht="14.25" customHeight="1">
      <c r="B412" s="43"/>
      <c r="C412" s="43"/>
      <c r="D412" s="44"/>
      <c r="E412" s="44"/>
      <c r="F412" s="44"/>
      <c r="G412" s="44"/>
      <c r="H412" s="44"/>
      <c r="I412" s="44"/>
      <c r="J412" s="44"/>
      <c r="K412" s="44"/>
      <c r="L412" s="44"/>
    </row>
    <row r="413" ht="14.25" customHeight="1">
      <c r="B413" s="43"/>
      <c r="C413" s="43"/>
      <c r="D413" s="44"/>
      <c r="E413" s="44"/>
      <c r="F413" s="44"/>
      <c r="G413" s="44"/>
      <c r="H413" s="44"/>
      <c r="I413" s="44"/>
      <c r="J413" s="44"/>
      <c r="K413" s="44"/>
      <c r="L413" s="44"/>
    </row>
    <row r="414" ht="14.25" customHeight="1">
      <c r="B414" s="43"/>
      <c r="C414" s="43"/>
      <c r="D414" s="44"/>
      <c r="E414" s="44"/>
      <c r="F414" s="44"/>
      <c r="G414" s="44"/>
      <c r="H414" s="44"/>
      <c r="I414" s="44"/>
      <c r="J414" s="44"/>
      <c r="K414" s="44"/>
      <c r="L414" s="44"/>
    </row>
    <row r="415" ht="14.25" customHeight="1">
      <c r="B415" s="43"/>
      <c r="C415" s="43"/>
      <c r="D415" s="44"/>
      <c r="E415" s="44"/>
      <c r="F415" s="44"/>
      <c r="G415" s="44"/>
      <c r="H415" s="44"/>
      <c r="I415" s="44"/>
      <c r="J415" s="44"/>
      <c r="K415" s="44"/>
      <c r="L415" s="44"/>
    </row>
    <row r="416" ht="14.25" customHeight="1">
      <c r="B416" s="43"/>
      <c r="C416" s="43"/>
      <c r="D416" s="44"/>
      <c r="E416" s="44"/>
      <c r="F416" s="44"/>
      <c r="G416" s="44"/>
      <c r="H416" s="44"/>
      <c r="I416" s="44"/>
      <c r="J416" s="44"/>
      <c r="K416" s="44"/>
      <c r="L416" s="44"/>
    </row>
    <row r="417" ht="14.25" customHeight="1">
      <c r="B417" s="43"/>
      <c r="C417" s="43"/>
      <c r="D417" s="44"/>
      <c r="E417" s="44"/>
      <c r="F417" s="44"/>
      <c r="G417" s="44"/>
      <c r="H417" s="44"/>
      <c r="I417" s="44"/>
      <c r="J417" s="44"/>
      <c r="K417" s="44"/>
      <c r="L417" s="44"/>
    </row>
    <row r="418" ht="14.25" customHeight="1">
      <c r="B418" s="43"/>
      <c r="C418" s="43"/>
      <c r="D418" s="44"/>
      <c r="E418" s="44"/>
      <c r="F418" s="44"/>
      <c r="G418" s="44"/>
      <c r="H418" s="44"/>
      <c r="I418" s="44"/>
      <c r="J418" s="44"/>
      <c r="K418" s="44"/>
      <c r="L418" s="44"/>
    </row>
    <row r="419" ht="14.25" customHeight="1">
      <c r="B419" s="43"/>
      <c r="C419" s="43"/>
      <c r="D419" s="44"/>
      <c r="E419" s="44"/>
      <c r="F419" s="44"/>
      <c r="G419" s="44"/>
      <c r="H419" s="44"/>
      <c r="I419" s="44"/>
      <c r="J419" s="44"/>
      <c r="K419" s="44"/>
      <c r="L419" s="44"/>
    </row>
    <row r="420" ht="14.25" customHeight="1">
      <c r="B420" s="43"/>
      <c r="C420" s="43"/>
      <c r="D420" s="44"/>
      <c r="E420" s="44"/>
      <c r="F420" s="44"/>
      <c r="G420" s="44"/>
      <c r="H420" s="44"/>
      <c r="I420" s="44"/>
      <c r="J420" s="44"/>
      <c r="K420" s="44"/>
      <c r="L420" s="44"/>
    </row>
    <row r="421" ht="14.25" customHeight="1">
      <c r="B421" s="43"/>
      <c r="C421" s="43"/>
      <c r="D421" s="44"/>
      <c r="E421" s="44"/>
      <c r="F421" s="44"/>
      <c r="G421" s="44"/>
      <c r="H421" s="44"/>
      <c r="I421" s="44"/>
      <c r="J421" s="44"/>
      <c r="K421" s="44"/>
      <c r="L421" s="44"/>
    </row>
    <row r="422" ht="14.25" customHeight="1">
      <c r="B422" s="43"/>
      <c r="C422" s="43"/>
      <c r="D422" s="44"/>
      <c r="E422" s="44"/>
      <c r="F422" s="44"/>
      <c r="G422" s="44"/>
      <c r="H422" s="44"/>
      <c r="I422" s="44"/>
      <c r="J422" s="44"/>
      <c r="K422" s="44"/>
      <c r="L422" s="44"/>
    </row>
    <row r="423" ht="14.25" customHeight="1">
      <c r="B423" s="43"/>
      <c r="C423" s="43"/>
      <c r="D423" s="44"/>
      <c r="E423" s="44"/>
      <c r="F423" s="44"/>
      <c r="G423" s="44"/>
      <c r="H423" s="44"/>
      <c r="I423" s="44"/>
      <c r="J423" s="44"/>
      <c r="K423" s="44"/>
      <c r="L423" s="44"/>
    </row>
    <row r="424" ht="14.25" customHeight="1">
      <c r="B424" s="43"/>
      <c r="C424" s="43"/>
      <c r="D424" s="44"/>
      <c r="E424" s="44"/>
      <c r="F424" s="44"/>
      <c r="G424" s="44"/>
      <c r="H424" s="44"/>
      <c r="I424" s="44"/>
      <c r="J424" s="44"/>
      <c r="K424" s="44"/>
      <c r="L424" s="44"/>
    </row>
    <row r="425" ht="14.25" customHeight="1">
      <c r="B425" s="43"/>
      <c r="C425" s="43"/>
      <c r="D425" s="44"/>
      <c r="E425" s="44"/>
      <c r="F425" s="44"/>
      <c r="G425" s="44"/>
      <c r="H425" s="44"/>
      <c r="I425" s="44"/>
      <c r="J425" s="44"/>
      <c r="K425" s="44"/>
      <c r="L425" s="44"/>
    </row>
    <row r="426" ht="14.25" customHeight="1">
      <c r="B426" s="43"/>
      <c r="C426" s="43"/>
      <c r="D426" s="44"/>
      <c r="E426" s="44"/>
      <c r="F426" s="44"/>
      <c r="G426" s="44"/>
      <c r="H426" s="44"/>
      <c r="I426" s="44"/>
      <c r="J426" s="44"/>
      <c r="K426" s="44"/>
      <c r="L426" s="44"/>
    </row>
    <row r="427" ht="14.25" customHeight="1">
      <c r="B427" s="43"/>
      <c r="C427" s="43"/>
      <c r="D427" s="44"/>
      <c r="E427" s="44"/>
      <c r="F427" s="44"/>
      <c r="G427" s="44"/>
      <c r="H427" s="44"/>
      <c r="I427" s="44"/>
      <c r="J427" s="44"/>
      <c r="K427" s="44"/>
      <c r="L427" s="44"/>
    </row>
    <row r="428" ht="14.25" customHeight="1">
      <c r="B428" s="43"/>
      <c r="C428" s="43"/>
      <c r="D428" s="44"/>
      <c r="E428" s="44"/>
      <c r="F428" s="44"/>
      <c r="G428" s="44"/>
      <c r="H428" s="44"/>
      <c r="I428" s="44"/>
      <c r="J428" s="44"/>
      <c r="K428" s="44"/>
      <c r="L428" s="44"/>
    </row>
    <row r="429" ht="14.25" customHeight="1">
      <c r="B429" s="43"/>
      <c r="C429" s="43"/>
      <c r="D429" s="44"/>
      <c r="E429" s="44"/>
      <c r="F429" s="44"/>
      <c r="G429" s="44"/>
      <c r="H429" s="44"/>
      <c r="I429" s="44"/>
      <c r="J429" s="44"/>
      <c r="K429" s="44"/>
      <c r="L429" s="44"/>
    </row>
    <row r="430" ht="14.25" customHeight="1">
      <c r="B430" s="43"/>
      <c r="C430" s="43"/>
      <c r="D430" s="44"/>
      <c r="E430" s="44"/>
      <c r="F430" s="44"/>
      <c r="G430" s="44"/>
      <c r="H430" s="44"/>
      <c r="I430" s="44"/>
      <c r="J430" s="44"/>
      <c r="K430" s="44"/>
      <c r="L430" s="44"/>
    </row>
    <row r="431" ht="14.25" customHeight="1">
      <c r="B431" s="43"/>
      <c r="C431" s="43"/>
      <c r="D431" s="44"/>
      <c r="E431" s="44"/>
      <c r="F431" s="44"/>
      <c r="G431" s="44"/>
      <c r="H431" s="44"/>
      <c r="I431" s="44"/>
      <c r="J431" s="44"/>
      <c r="K431" s="44"/>
      <c r="L431" s="44"/>
    </row>
    <row r="432" ht="14.25" customHeight="1">
      <c r="B432" s="43"/>
      <c r="C432" s="43"/>
      <c r="D432" s="44"/>
      <c r="E432" s="44"/>
      <c r="F432" s="44"/>
      <c r="G432" s="44"/>
      <c r="H432" s="44"/>
      <c r="I432" s="44"/>
      <c r="J432" s="44"/>
      <c r="K432" s="44"/>
      <c r="L432" s="44"/>
    </row>
    <row r="433" ht="14.25" customHeight="1">
      <c r="B433" s="43"/>
      <c r="C433" s="43"/>
      <c r="D433" s="44"/>
      <c r="E433" s="44"/>
      <c r="F433" s="44"/>
      <c r="G433" s="44"/>
      <c r="H433" s="44"/>
      <c r="I433" s="44"/>
      <c r="J433" s="44"/>
      <c r="K433" s="44"/>
      <c r="L433" s="44"/>
    </row>
    <row r="434" ht="14.25" customHeight="1">
      <c r="B434" s="43"/>
      <c r="C434" s="43"/>
      <c r="D434" s="44"/>
      <c r="E434" s="44"/>
      <c r="F434" s="44"/>
      <c r="G434" s="44"/>
      <c r="H434" s="44"/>
      <c r="I434" s="44"/>
      <c r="J434" s="44"/>
      <c r="K434" s="44"/>
      <c r="L434" s="44"/>
    </row>
    <row r="435" ht="14.25" customHeight="1">
      <c r="B435" s="43"/>
      <c r="C435" s="43"/>
      <c r="D435" s="44"/>
      <c r="E435" s="44"/>
      <c r="F435" s="44"/>
      <c r="G435" s="44"/>
      <c r="H435" s="44"/>
      <c r="I435" s="44"/>
      <c r="J435" s="44"/>
      <c r="K435" s="44"/>
      <c r="L435" s="44"/>
    </row>
    <row r="436" ht="14.25" customHeight="1">
      <c r="B436" s="43"/>
      <c r="C436" s="43"/>
      <c r="D436" s="44"/>
      <c r="E436" s="44"/>
      <c r="F436" s="44"/>
      <c r="G436" s="44"/>
      <c r="H436" s="44"/>
      <c r="I436" s="44"/>
      <c r="J436" s="44"/>
      <c r="K436" s="44"/>
      <c r="L436" s="44"/>
    </row>
    <row r="437" ht="14.25" customHeight="1">
      <c r="B437" s="43"/>
      <c r="C437" s="43"/>
      <c r="D437" s="44"/>
      <c r="E437" s="44"/>
      <c r="F437" s="44"/>
      <c r="G437" s="44"/>
      <c r="H437" s="44"/>
      <c r="I437" s="44"/>
      <c r="J437" s="44"/>
      <c r="K437" s="44"/>
      <c r="L437" s="44"/>
    </row>
    <row r="438" ht="14.25" customHeight="1">
      <c r="B438" s="43"/>
      <c r="C438" s="43"/>
      <c r="D438" s="44"/>
      <c r="E438" s="44"/>
      <c r="F438" s="44"/>
      <c r="G438" s="44"/>
      <c r="H438" s="44"/>
      <c r="I438" s="44"/>
      <c r="J438" s="44"/>
      <c r="K438" s="44"/>
      <c r="L438" s="44"/>
    </row>
    <row r="439" ht="14.25" customHeight="1">
      <c r="B439" s="43"/>
      <c r="C439" s="43"/>
      <c r="D439" s="44"/>
      <c r="E439" s="44"/>
      <c r="F439" s="44"/>
      <c r="G439" s="44"/>
      <c r="H439" s="44"/>
      <c r="I439" s="44"/>
      <c r="J439" s="44"/>
      <c r="K439" s="44"/>
      <c r="L439" s="44"/>
    </row>
    <row r="440" ht="14.25" customHeight="1">
      <c r="B440" s="43"/>
      <c r="C440" s="43"/>
      <c r="D440" s="44"/>
      <c r="E440" s="44"/>
      <c r="F440" s="44"/>
      <c r="G440" s="44"/>
      <c r="H440" s="44"/>
      <c r="I440" s="44"/>
      <c r="J440" s="44"/>
      <c r="K440" s="44"/>
      <c r="L440" s="44"/>
    </row>
    <row r="441" ht="14.25" customHeight="1">
      <c r="B441" s="43"/>
      <c r="C441" s="43"/>
      <c r="D441" s="44"/>
      <c r="E441" s="44"/>
      <c r="F441" s="44"/>
      <c r="G441" s="44"/>
      <c r="H441" s="44"/>
      <c r="I441" s="44"/>
      <c r="J441" s="44"/>
      <c r="K441" s="44"/>
      <c r="L441" s="44"/>
    </row>
    <row r="442" ht="14.25" customHeight="1">
      <c r="B442" s="43"/>
      <c r="C442" s="43"/>
      <c r="D442" s="44"/>
      <c r="E442" s="44"/>
      <c r="F442" s="44"/>
      <c r="G442" s="44"/>
      <c r="H442" s="44"/>
      <c r="I442" s="44"/>
      <c r="J442" s="44"/>
      <c r="K442" s="44"/>
      <c r="L442" s="44"/>
    </row>
    <row r="443" ht="14.25" customHeight="1">
      <c r="B443" s="43"/>
      <c r="C443" s="43"/>
      <c r="D443" s="44"/>
      <c r="E443" s="44"/>
      <c r="F443" s="44"/>
      <c r="G443" s="44"/>
      <c r="H443" s="44"/>
      <c r="I443" s="44"/>
      <c r="J443" s="44"/>
      <c r="K443" s="44"/>
      <c r="L443" s="44"/>
    </row>
    <row r="444" ht="14.25" customHeight="1">
      <c r="B444" s="43"/>
      <c r="C444" s="43"/>
      <c r="D444" s="44"/>
      <c r="E444" s="44"/>
      <c r="F444" s="44"/>
      <c r="G444" s="44"/>
      <c r="H444" s="44"/>
      <c r="I444" s="44"/>
      <c r="J444" s="44"/>
      <c r="K444" s="44"/>
      <c r="L444" s="44"/>
    </row>
    <row r="445" ht="14.25" customHeight="1">
      <c r="B445" s="43"/>
      <c r="C445" s="43"/>
      <c r="D445" s="44"/>
      <c r="E445" s="44"/>
      <c r="F445" s="44"/>
      <c r="G445" s="44"/>
      <c r="H445" s="44"/>
      <c r="I445" s="44"/>
      <c r="J445" s="44"/>
      <c r="K445" s="44"/>
      <c r="L445" s="44"/>
    </row>
    <row r="446" ht="14.25" customHeight="1">
      <c r="B446" s="43"/>
      <c r="C446" s="43"/>
      <c r="D446" s="44"/>
      <c r="E446" s="44"/>
      <c r="F446" s="44"/>
      <c r="G446" s="44"/>
      <c r="H446" s="44"/>
      <c r="I446" s="44"/>
      <c r="J446" s="44"/>
      <c r="K446" s="44"/>
      <c r="L446" s="44"/>
    </row>
    <row r="447" ht="14.25" customHeight="1">
      <c r="B447" s="43"/>
      <c r="C447" s="43"/>
      <c r="D447" s="44"/>
      <c r="E447" s="44"/>
      <c r="F447" s="44"/>
      <c r="G447" s="44"/>
      <c r="H447" s="44"/>
      <c r="I447" s="44"/>
      <c r="J447" s="44"/>
      <c r="K447" s="44"/>
      <c r="L447" s="44"/>
    </row>
    <row r="448" ht="14.25" customHeight="1">
      <c r="B448" s="43"/>
      <c r="C448" s="43"/>
      <c r="D448" s="44"/>
      <c r="E448" s="44"/>
      <c r="F448" s="44"/>
      <c r="G448" s="44"/>
      <c r="H448" s="44"/>
      <c r="I448" s="44"/>
      <c r="J448" s="44"/>
      <c r="K448" s="44"/>
      <c r="L448" s="44"/>
    </row>
    <row r="449" ht="14.25" customHeight="1">
      <c r="B449" s="43"/>
      <c r="C449" s="43"/>
      <c r="D449" s="44"/>
      <c r="E449" s="44"/>
      <c r="F449" s="44"/>
      <c r="G449" s="44"/>
      <c r="H449" s="44"/>
      <c r="I449" s="44"/>
      <c r="J449" s="44"/>
      <c r="K449" s="44"/>
      <c r="L449" s="44"/>
    </row>
    <row r="450" ht="14.25" customHeight="1">
      <c r="B450" s="43"/>
      <c r="C450" s="43"/>
      <c r="D450" s="44"/>
      <c r="E450" s="44"/>
      <c r="F450" s="44"/>
      <c r="G450" s="44"/>
      <c r="H450" s="44"/>
      <c r="I450" s="44"/>
      <c r="J450" s="44"/>
      <c r="K450" s="44"/>
      <c r="L450" s="44"/>
    </row>
    <row r="451" ht="14.25" customHeight="1">
      <c r="B451" s="43"/>
      <c r="C451" s="43"/>
      <c r="D451" s="44"/>
      <c r="E451" s="44"/>
      <c r="F451" s="44"/>
      <c r="G451" s="44"/>
      <c r="H451" s="44"/>
      <c r="I451" s="44"/>
      <c r="J451" s="44"/>
      <c r="K451" s="44"/>
      <c r="L451" s="44"/>
    </row>
    <row r="452" ht="14.25" customHeight="1">
      <c r="B452" s="43"/>
      <c r="C452" s="43"/>
      <c r="D452" s="44"/>
      <c r="E452" s="44"/>
      <c r="F452" s="44"/>
      <c r="G452" s="44"/>
      <c r="H452" s="44"/>
      <c r="I452" s="44"/>
      <c r="J452" s="44"/>
      <c r="K452" s="44"/>
      <c r="L452" s="44"/>
    </row>
    <row r="453" ht="14.25" customHeight="1">
      <c r="B453" s="43"/>
      <c r="C453" s="43"/>
      <c r="D453" s="44"/>
      <c r="E453" s="44"/>
      <c r="F453" s="44"/>
      <c r="G453" s="44"/>
      <c r="H453" s="44"/>
      <c r="I453" s="44"/>
      <c r="J453" s="44"/>
      <c r="K453" s="44"/>
      <c r="L453" s="44"/>
    </row>
    <row r="454" ht="14.25" customHeight="1">
      <c r="B454" s="43"/>
      <c r="C454" s="43"/>
      <c r="D454" s="44"/>
      <c r="E454" s="44"/>
      <c r="F454" s="44"/>
      <c r="G454" s="44"/>
      <c r="H454" s="44"/>
      <c r="I454" s="44"/>
      <c r="J454" s="44"/>
      <c r="K454" s="44"/>
      <c r="L454" s="44"/>
    </row>
    <row r="455" ht="14.25" customHeight="1">
      <c r="B455" s="43"/>
      <c r="C455" s="43"/>
      <c r="D455" s="44"/>
      <c r="E455" s="44"/>
      <c r="F455" s="44"/>
      <c r="G455" s="44"/>
      <c r="H455" s="44"/>
      <c r="I455" s="44"/>
      <c r="J455" s="44"/>
      <c r="K455" s="44"/>
      <c r="L455" s="44"/>
    </row>
    <row r="456" ht="14.25" customHeight="1">
      <c r="B456" s="43"/>
      <c r="C456" s="43"/>
      <c r="D456" s="44"/>
      <c r="E456" s="44"/>
      <c r="F456" s="44"/>
      <c r="G456" s="44"/>
      <c r="H456" s="44"/>
      <c r="I456" s="44"/>
      <c r="J456" s="44"/>
      <c r="K456" s="44"/>
      <c r="L456" s="44"/>
    </row>
    <row r="457" ht="14.25" customHeight="1">
      <c r="B457" s="43"/>
      <c r="C457" s="43"/>
      <c r="D457" s="44"/>
      <c r="E457" s="44"/>
      <c r="F457" s="44"/>
      <c r="G457" s="44"/>
      <c r="H457" s="44"/>
      <c r="I457" s="44"/>
      <c r="J457" s="44"/>
      <c r="K457" s="44"/>
      <c r="L457" s="44"/>
    </row>
    <row r="458" ht="14.25" customHeight="1">
      <c r="B458" s="43"/>
      <c r="C458" s="43"/>
      <c r="D458" s="44"/>
      <c r="E458" s="44"/>
      <c r="F458" s="44"/>
      <c r="G458" s="44"/>
      <c r="H458" s="44"/>
      <c r="I458" s="44"/>
      <c r="J458" s="44"/>
      <c r="K458" s="44"/>
      <c r="L458" s="44"/>
    </row>
    <row r="459" ht="14.25" customHeight="1">
      <c r="B459" s="43"/>
      <c r="C459" s="43"/>
      <c r="D459" s="44"/>
      <c r="E459" s="44"/>
      <c r="F459" s="44"/>
      <c r="G459" s="44"/>
      <c r="H459" s="44"/>
      <c r="I459" s="44"/>
      <c r="J459" s="44"/>
      <c r="K459" s="44"/>
      <c r="L459" s="44"/>
    </row>
    <row r="460" ht="14.25" customHeight="1">
      <c r="B460" s="43"/>
      <c r="C460" s="43"/>
      <c r="D460" s="44"/>
      <c r="E460" s="44"/>
      <c r="F460" s="44"/>
      <c r="G460" s="44"/>
      <c r="H460" s="44"/>
      <c r="I460" s="44"/>
      <c r="J460" s="44"/>
      <c r="K460" s="44"/>
      <c r="L460" s="44"/>
    </row>
    <row r="461" ht="14.25" customHeight="1">
      <c r="B461" s="43"/>
      <c r="C461" s="43"/>
      <c r="D461" s="44"/>
      <c r="E461" s="44"/>
      <c r="F461" s="44"/>
      <c r="G461" s="44"/>
      <c r="H461" s="44"/>
      <c r="I461" s="44"/>
      <c r="J461" s="44"/>
      <c r="K461" s="44"/>
      <c r="L461" s="44"/>
    </row>
    <row r="462" ht="14.25" customHeight="1">
      <c r="B462" s="43"/>
      <c r="C462" s="43"/>
      <c r="D462" s="44"/>
      <c r="E462" s="44"/>
      <c r="F462" s="44"/>
      <c r="G462" s="44"/>
      <c r="H462" s="44"/>
      <c r="I462" s="44"/>
      <c r="J462" s="44"/>
      <c r="K462" s="44"/>
      <c r="L462" s="44"/>
    </row>
    <row r="463" ht="14.25" customHeight="1">
      <c r="B463" s="43"/>
      <c r="C463" s="43"/>
      <c r="D463" s="44"/>
      <c r="E463" s="44"/>
      <c r="F463" s="44"/>
      <c r="G463" s="44"/>
      <c r="H463" s="44"/>
      <c r="I463" s="44"/>
      <c r="J463" s="44"/>
      <c r="K463" s="44"/>
      <c r="L463" s="44"/>
    </row>
    <row r="464" ht="14.25" customHeight="1">
      <c r="B464" s="43"/>
      <c r="C464" s="43"/>
      <c r="D464" s="44"/>
      <c r="E464" s="44"/>
      <c r="F464" s="44"/>
      <c r="G464" s="44"/>
      <c r="H464" s="44"/>
      <c r="I464" s="44"/>
      <c r="J464" s="44"/>
      <c r="K464" s="44"/>
      <c r="L464" s="44"/>
    </row>
    <row r="465" ht="14.25" customHeight="1">
      <c r="B465" s="43"/>
      <c r="C465" s="43"/>
      <c r="D465" s="44"/>
      <c r="E465" s="44"/>
      <c r="F465" s="44"/>
      <c r="G465" s="44"/>
      <c r="H465" s="44"/>
      <c r="I465" s="44"/>
      <c r="J465" s="44"/>
      <c r="K465" s="44"/>
      <c r="L465" s="44"/>
    </row>
    <row r="466" ht="14.25" customHeight="1">
      <c r="B466" s="43"/>
      <c r="C466" s="43"/>
      <c r="D466" s="44"/>
      <c r="E466" s="44"/>
      <c r="F466" s="44"/>
      <c r="G466" s="44"/>
      <c r="H466" s="44"/>
      <c r="I466" s="44"/>
      <c r="J466" s="44"/>
      <c r="K466" s="44"/>
      <c r="L466" s="44"/>
    </row>
    <row r="467" ht="14.25" customHeight="1">
      <c r="B467" s="43"/>
      <c r="C467" s="43"/>
      <c r="D467" s="44"/>
      <c r="E467" s="44"/>
      <c r="F467" s="44"/>
      <c r="G467" s="44"/>
      <c r="H467" s="44"/>
      <c r="I467" s="44"/>
      <c r="J467" s="44"/>
      <c r="K467" s="44"/>
      <c r="L467" s="44"/>
    </row>
    <row r="468" ht="14.25" customHeight="1">
      <c r="B468" s="43"/>
      <c r="C468" s="43"/>
      <c r="D468" s="44"/>
      <c r="E468" s="44"/>
      <c r="F468" s="44"/>
      <c r="G468" s="44"/>
      <c r="H468" s="44"/>
      <c r="I468" s="44"/>
      <c r="J468" s="44"/>
      <c r="K468" s="44"/>
      <c r="L468" s="44"/>
    </row>
    <row r="469" ht="14.25" customHeight="1">
      <c r="B469" s="43"/>
      <c r="C469" s="43"/>
      <c r="D469" s="44"/>
      <c r="E469" s="44"/>
      <c r="F469" s="44"/>
      <c r="G469" s="44"/>
      <c r="H469" s="44"/>
      <c r="I469" s="44"/>
      <c r="J469" s="44"/>
      <c r="K469" s="44"/>
      <c r="L469" s="44"/>
    </row>
    <row r="470" ht="14.25" customHeight="1">
      <c r="B470" s="43"/>
      <c r="C470" s="43"/>
      <c r="D470" s="44"/>
      <c r="E470" s="44"/>
      <c r="F470" s="44"/>
      <c r="G470" s="44"/>
      <c r="H470" s="44"/>
      <c r="I470" s="44"/>
      <c r="J470" s="44"/>
      <c r="K470" s="44"/>
      <c r="L470" s="44"/>
    </row>
    <row r="471" ht="14.25" customHeight="1">
      <c r="B471" s="43"/>
      <c r="C471" s="43"/>
      <c r="D471" s="44"/>
      <c r="E471" s="44"/>
      <c r="F471" s="44"/>
      <c r="G471" s="44"/>
      <c r="H471" s="44"/>
      <c r="I471" s="44"/>
      <c r="J471" s="44"/>
      <c r="K471" s="44"/>
      <c r="L471" s="44"/>
    </row>
    <row r="472" ht="14.25" customHeight="1">
      <c r="B472" s="43"/>
      <c r="C472" s="43"/>
      <c r="D472" s="44"/>
      <c r="E472" s="44"/>
      <c r="F472" s="44"/>
      <c r="G472" s="44"/>
      <c r="H472" s="44"/>
      <c r="I472" s="44"/>
      <c r="J472" s="44"/>
      <c r="K472" s="44"/>
      <c r="L472" s="44"/>
    </row>
    <row r="473" ht="14.25" customHeight="1">
      <c r="B473" s="43"/>
      <c r="C473" s="43"/>
      <c r="D473" s="44"/>
      <c r="E473" s="44"/>
      <c r="F473" s="44"/>
      <c r="G473" s="44"/>
      <c r="H473" s="44"/>
      <c r="I473" s="44"/>
      <c r="J473" s="44"/>
      <c r="K473" s="44"/>
      <c r="L473" s="44"/>
    </row>
    <row r="474" ht="14.25" customHeight="1">
      <c r="B474" s="43"/>
      <c r="C474" s="43"/>
      <c r="D474" s="44"/>
      <c r="E474" s="44"/>
      <c r="F474" s="44"/>
      <c r="G474" s="44"/>
      <c r="H474" s="44"/>
      <c r="I474" s="44"/>
      <c r="J474" s="44"/>
      <c r="K474" s="44"/>
      <c r="L474" s="44"/>
    </row>
    <row r="475" ht="14.25" customHeight="1">
      <c r="B475" s="43"/>
      <c r="C475" s="43"/>
      <c r="D475" s="44"/>
      <c r="E475" s="44"/>
      <c r="F475" s="44"/>
      <c r="G475" s="44"/>
      <c r="H475" s="44"/>
      <c r="I475" s="44"/>
      <c r="J475" s="44"/>
      <c r="K475" s="44"/>
      <c r="L475" s="44"/>
    </row>
    <row r="476" ht="14.25" customHeight="1">
      <c r="B476" s="43"/>
      <c r="C476" s="43"/>
      <c r="D476" s="44"/>
      <c r="E476" s="44"/>
      <c r="F476" s="44"/>
      <c r="G476" s="44"/>
      <c r="H476" s="44"/>
      <c r="I476" s="44"/>
      <c r="J476" s="44"/>
      <c r="K476" s="44"/>
      <c r="L476" s="44"/>
    </row>
    <row r="477" ht="14.25" customHeight="1">
      <c r="B477" s="43"/>
      <c r="C477" s="43"/>
      <c r="D477" s="44"/>
      <c r="E477" s="44"/>
      <c r="F477" s="44"/>
      <c r="G477" s="44"/>
      <c r="H477" s="44"/>
      <c r="I477" s="44"/>
      <c r="J477" s="44"/>
      <c r="K477" s="44"/>
      <c r="L477" s="44"/>
    </row>
    <row r="478" ht="14.25" customHeight="1">
      <c r="B478" s="43"/>
      <c r="C478" s="43"/>
      <c r="D478" s="44"/>
      <c r="E478" s="44"/>
      <c r="F478" s="44"/>
      <c r="G478" s="44"/>
      <c r="H478" s="44"/>
      <c r="I478" s="44"/>
      <c r="J478" s="44"/>
      <c r="K478" s="44"/>
      <c r="L478" s="44"/>
    </row>
    <row r="479" ht="14.25" customHeight="1">
      <c r="B479" s="43"/>
      <c r="C479" s="43"/>
      <c r="D479" s="44"/>
      <c r="E479" s="44"/>
      <c r="F479" s="44"/>
      <c r="G479" s="44"/>
      <c r="H479" s="44"/>
      <c r="I479" s="44"/>
      <c r="J479" s="44"/>
      <c r="K479" s="44"/>
      <c r="L479" s="44"/>
    </row>
    <row r="480" ht="14.25" customHeight="1">
      <c r="B480" s="43"/>
      <c r="C480" s="43"/>
      <c r="D480" s="44"/>
      <c r="E480" s="44"/>
      <c r="F480" s="44"/>
      <c r="G480" s="44"/>
      <c r="H480" s="44"/>
      <c r="I480" s="44"/>
      <c r="J480" s="44"/>
      <c r="K480" s="44"/>
      <c r="L480" s="44"/>
    </row>
    <row r="481" ht="14.25" customHeight="1">
      <c r="B481" s="43"/>
      <c r="C481" s="43"/>
      <c r="D481" s="44"/>
      <c r="E481" s="44"/>
      <c r="F481" s="44"/>
      <c r="G481" s="44"/>
      <c r="H481" s="44"/>
      <c r="I481" s="44"/>
      <c r="J481" s="44"/>
      <c r="K481" s="44"/>
      <c r="L481" s="44"/>
    </row>
    <row r="482" ht="14.25" customHeight="1">
      <c r="B482" s="43"/>
      <c r="C482" s="43"/>
      <c r="D482" s="44"/>
      <c r="E482" s="44"/>
      <c r="F482" s="44"/>
      <c r="G482" s="44"/>
      <c r="H482" s="44"/>
      <c r="I482" s="44"/>
      <c r="J482" s="44"/>
      <c r="K482" s="44"/>
      <c r="L482" s="44"/>
    </row>
    <row r="483" ht="14.25" customHeight="1">
      <c r="B483" s="43"/>
      <c r="C483" s="43"/>
      <c r="D483" s="44"/>
      <c r="E483" s="44"/>
      <c r="F483" s="44"/>
      <c r="G483" s="44"/>
      <c r="H483" s="44"/>
      <c r="I483" s="44"/>
      <c r="J483" s="44"/>
      <c r="K483" s="44"/>
      <c r="L483" s="44"/>
    </row>
    <row r="484" ht="14.25" customHeight="1">
      <c r="B484" s="43"/>
      <c r="C484" s="43"/>
      <c r="D484" s="44"/>
      <c r="E484" s="44"/>
      <c r="F484" s="44"/>
      <c r="G484" s="44"/>
      <c r="H484" s="44"/>
      <c r="I484" s="44"/>
      <c r="J484" s="44"/>
      <c r="K484" s="44"/>
      <c r="L484" s="44"/>
    </row>
    <row r="485" ht="14.25" customHeight="1">
      <c r="B485" s="43"/>
      <c r="C485" s="43"/>
      <c r="D485" s="44"/>
      <c r="E485" s="44"/>
      <c r="F485" s="44"/>
      <c r="G485" s="44"/>
      <c r="H485" s="44"/>
      <c r="I485" s="44"/>
      <c r="J485" s="44"/>
      <c r="K485" s="44"/>
      <c r="L485" s="44"/>
    </row>
    <row r="486" ht="14.25" customHeight="1">
      <c r="B486" s="43"/>
      <c r="C486" s="43"/>
      <c r="D486" s="44"/>
      <c r="E486" s="44"/>
      <c r="F486" s="44"/>
      <c r="G486" s="44"/>
      <c r="H486" s="44"/>
      <c r="I486" s="44"/>
      <c r="J486" s="44"/>
      <c r="K486" s="44"/>
      <c r="L486" s="44"/>
    </row>
    <row r="487" ht="14.25" customHeight="1">
      <c r="B487" s="43"/>
      <c r="C487" s="43"/>
      <c r="D487" s="44"/>
      <c r="E487" s="44"/>
      <c r="F487" s="44"/>
      <c r="G487" s="44"/>
      <c r="H487" s="44"/>
      <c r="I487" s="44"/>
      <c r="J487" s="44"/>
      <c r="K487" s="44"/>
      <c r="L487" s="44"/>
    </row>
    <row r="488" ht="14.25" customHeight="1">
      <c r="B488" s="43"/>
      <c r="C488" s="43"/>
      <c r="D488" s="44"/>
      <c r="E488" s="44"/>
      <c r="F488" s="44"/>
      <c r="G488" s="44"/>
      <c r="H488" s="44"/>
      <c r="I488" s="44"/>
      <c r="J488" s="44"/>
      <c r="K488" s="44"/>
      <c r="L488" s="44"/>
    </row>
    <row r="489" ht="14.25" customHeight="1">
      <c r="B489" s="43"/>
      <c r="C489" s="43"/>
      <c r="D489" s="44"/>
      <c r="E489" s="44"/>
      <c r="F489" s="44"/>
      <c r="G489" s="44"/>
      <c r="H489" s="44"/>
      <c r="I489" s="44"/>
      <c r="J489" s="44"/>
      <c r="K489" s="44"/>
      <c r="L489" s="44"/>
    </row>
    <row r="490" ht="14.25" customHeight="1">
      <c r="B490" s="43"/>
      <c r="C490" s="43"/>
      <c r="D490" s="44"/>
      <c r="E490" s="44"/>
      <c r="F490" s="44"/>
      <c r="G490" s="44"/>
      <c r="H490" s="44"/>
      <c r="I490" s="44"/>
      <c r="J490" s="44"/>
      <c r="K490" s="44"/>
      <c r="L490" s="44"/>
    </row>
    <row r="491" ht="14.25" customHeight="1">
      <c r="B491" s="43"/>
      <c r="C491" s="43"/>
      <c r="D491" s="44"/>
      <c r="E491" s="44"/>
      <c r="F491" s="44"/>
      <c r="G491" s="44"/>
      <c r="H491" s="44"/>
      <c r="I491" s="44"/>
      <c r="J491" s="44"/>
      <c r="K491" s="44"/>
      <c r="L491" s="44"/>
    </row>
    <row r="492" ht="14.25" customHeight="1">
      <c r="B492" s="43"/>
      <c r="C492" s="43"/>
      <c r="D492" s="44"/>
      <c r="E492" s="44"/>
      <c r="F492" s="44"/>
      <c r="G492" s="44"/>
      <c r="H492" s="44"/>
      <c r="I492" s="44"/>
      <c r="J492" s="44"/>
      <c r="K492" s="44"/>
      <c r="L492" s="44"/>
    </row>
    <row r="493" ht="14.25" customHeight="1">
      <c r="B493" s="43"/>
      <c r="C493" s="43"/>
      <c r="D493" s="44"/>
      <c r="E493" s="44"/>
      <c r="F493" s="44"/>
      <c r="G493" s="44"/>
      <c r="H493" s="44"/>
      <c r="I493" s="44"/>
      <c r="J493" s="44"/>
      <c r="K493" s="44"/>
      <c r="L493" s="44"/>
    </row>
    <row r="494" ht="14.25" customHeight="1">
      <c r="B494" s="43"/>
      <c r="C494" s="43"/>
      <c r="D494" s="44"/>
      <c r="E494" s="44"/>
      <c r="F494" s="44"/>
      <c r="G494" s="44"/>
      <c r="H494" s="44"/>
      <c r="I494" s="44"/>
      <c r="J494" s="44"/>
      <c r="K494" s="44"/>
      <c r="L494" s="44"/>
    </row>
    <row r="495" ht="14.25" customHeight="1">
      <c r="B495" s="43"/>
      <c r="C495" s="43"/>
      <c r="D495" s="44"/>
      <c r="E495" s="44"/>
      <c r="F495" s="44"/>
      <c r="G495" s="44"/>
      <c r="H495" s="44"/>
      <c r="I495" s="44"/>
      <c r="J495" s="44"/>
      <c r="K495" s="44"/>
      <c r="L495" s="44"/>
    </row>
    <row r="496" ht="14.25" customHeight="1">
      <c r="B496" s="43"/>
      <c r="C496" s="43"/>
      <c r="D496" s="44"/>
      <c r="E496" s="44"/>
      <c r="F496" s="44"/>
      <c r="G496" s="44"/>
      <c r="H496" s="44"/>
      <c r="I496" s="44"/>
      <c r="J496" s="44"/>
      <c r="K496" s="44"/>
      <c r="L496" s="44"/>
    </row>
    <row r="497" ht="14.25" customHeight="1">
      <c r="B497" s="43"/>
      <c r="C497" s="43"/>
      <c r="D497" s="44"/>
      <c r="E497" s="44"/>
      <c r="F497" s="44"/>
      <c r="G497" s="44"/>
      <c r="H497" s="44"/>
      <c r="I497" s="44"/>
      <c r="J497" s="44"/>
      <c r="K497" s="44"/>
      <c r="L497" s="44"/>
    </row>
    <row r="498" ht="14.25" customHeight="1">
      <c r="B498" s="43"/>
      <c r="C498" s="43"/>
      <c r="D498" s="44"/>
      <c r="E498" s="44"/>
      <c r="F498" s="44"/>
      <c r="G498" s="44"/>
      <c r="H498" s="44"/>
      <c r="I498" s="44"/>
      <c r="J498" s="44"/>
      <c r="K498" s="44"/>
      <c r="L498" s="44"/>
    </row>
    <row r="499" ht="14.25" customHeight="1">
      <c r="B499" s="43"/>
      <c r="C499" s="43"/>
      <c r="D499" s="44"/>
      <c r="E499" s="44"/>
      <c r="F499" s="44"/>
      <c r="G499" s="44"/>
      <c r="H499" s="44"/>
      <c r="I499" s="44"/>
      <c r="J499" s="44"/>
      <c r="K499" s="44"/>
      <c r="L499" s="44"/>
    </row>
    <row r="500" ht="14.25" customHeight="1">
      <c r="B500" s="43"/>
      <c r="C500" s="43"/>
      <c r="D500" s="44"/>
      <c r="E500" s="44"/>
      <c r="F500" s="44"/>
      <c r="G500" s="44"/>
      <c r="H500" s="44"/>
      <c r="I500" s="44"/>
      <c r="J500" s="44"/>
      <c r="K500" s="44"/>
      <c r="L500" s="44"/>
    </row>
    <row r="501" ht="14.25" customHeight="1">
      <c r="B501" s="43"/>
      <c r="C501" s="43"/>
      <c r="D501" s="44"/>
      <c r="E501" s="44"/>
      <c r="F501" s="44"/>
      <c r="G501" s="44"/>
      <c r="H501" s="44"/>
      <c r="I501" s="44"/>
      <c r="J501" s="44"/>
      <c r="K501" s="44"/>
      <c r="L501" s="44"/>
    </row>
    <row r="502" ht="14.25" customHeight="1">
      <c r="B502" s="43"/>
      <c r="C502" s="43"/>
      <c r="D502" s="44"/>
      <c r="E502" s="44"/>
      <c r="F502" s="44"/>
      <c r="G502" s="44"/>
      <c r="H502" s="44"/>
      <c r="I502" s="44"/>
      <c r="J502" s="44"/>
      <c r="K502" s="44"/>
      <c r="L502" s="44"/>
    </row>
    <row r="503" ht="14.25" customHeight="1">
      <c r="B503" s="43"/>
      <c r="C503" s="43"/>
      <c r="D503" s="44"/>
      <c r="E503" s="44"/>
      <c r="F503" s="44"/>
      <c r="G503" s="44"/>
      <c r="H503" s="44"/>
      <c r="I503" s="44"/>
      <c r="J503" s="44"/>
      <c r="K503" s="44"/>
      <c r="L503" s="44"/>
    </row>
    <row r="504" ht="14.25" customHeight="1">
      <c r="B504" s="43"/>
      <c r="C504" s="43"/>
      <c r="D504" s="44"/>
      <c r="E504" s="44"/>
      <c r="F504" s="44"/>
      <c r="G504" s="44"/>
      <c r="H504" s="44"/>
      <c r="I504" s="44"/>
      <c r="J504" s="44"/>
      <c r="K504" s="44"/>
      <c r="L504" s="44"/>
    </row>
    <row r="505" ht="14.25" customHeight="1">
      <c r="B505" s="43"/>
      <c r="C505" s="43"/>
      <c r="D505" s="44"/>
      <c r="E505" s="44"/>
      <c r="F505" s="44"/>
      <c r="G505" s="44"/>
      <c r="H505" s="44"/>
      <c r="I505" s="44"/>
      <c r="J505" s="44"/>
      <c r="K505" s="44"/>
      <c r="L505" s="44"/>
    </row>
    <row r="506" ht="14.25" customHeight="1">
      <c r="B506" s="43"/>
      <c r="C506" s="43"/>
      <c r="D506" s="44"/>
      <c r="E506" s="44"/>
      <c r="F506" s="44"/>
      <c r="G506" s="44"/>
      <c r="H506" s="44"/>
      <c r="I506" s="44"/>
      <c r="J506" s="44"/>
      <c r="K506" s="44"/>
      <c r="L506" s="44"/>
    </row>
    <row r="507" ht="14.25" customHeight="1">
      <c r="B507" s="43"/>
      <c r="C507" s="43"/>
      <c r="D507" s="44"/>
      <c r="E507" s="44"/>
      <c r="F507" s="44"/>
      <c r="G507" s="44"/>
      <c r="H507" s="44"/>
      <c r="I507" s="44"/>
      <c r="J507" s="44"/>
      <c r="K507" s="44"/>
      <c r="L507" s="44"/>
    </row>
    <row r="508" ht="14.25" customHeight="1">
      <c r="B508" s="43"/>
      <c r="C508" s="43"/>
      <c r="D508" s="44"/>
      <c r="E508" s="44"/>
      <c r="F508" s="44"/>
      <c r="G508" s="44"/>
      <c r="H508" s="44"/>
      <c r="I508" s="44"/>
      <c r="J508" s="44"/>
      <c r="K508" s="44"/>
      <c r="L508" s="44"/>
    </row>
    <row r="509" ht="14.25" customHeight="1">
      <c r="B509" s="43"/>
      <c r="C509" s="43"/>
      <c r="D509" s="44"/>
      <c r="E509" s="44"/>
      <c r="F509" s="44"/>
      <c r="G509" s="44"/>
      <c r="H509" s="44"/>
      <c r="I509" s="44"/>
      <c r="J509" s="44"/>
      <c r="K509" s="44"/>
      <c r="L509" s="44"/>
    </row>
    <row r="510" ht="14.25" customHeight="1">
      <c r="B510" s="43"/>
      <c r="C510" s="43"/>
      <c r="D510" s="44"/>
      <c r="E510" s="44"/>
      <c r="F510" s="44"/>
      <c r="G510" s="44"/>
      <c r="H510" s="44"/>
      <c r="I510" s="44"/>
      <c r="J510" s="44"/>
      <c r="K510" s="44"/>
      <c r="L510" s="44"/>
    </row>
    <row r="511" ht="14.25" customHeight="1">
      <c r="B511" s="43"/>
      <c r="C511" s="43"/>
      <c r="D511" s="44"/>
      <c r="E511" s="44"/>
      <c r="F511" s="44"/>
      <c r="G511" s="44"/>
      <c r="H511" s="44"/>
      <c r="I511" s="44"/>
      <c r="J511" s="44"/>
      <c r="K511" s="44"/>
      <c r="L511" s="44"/>
    </row>
    <row r="512" ht="14.25" customHeight="1">
      <c r="B512" s="43"/>
      <c r="C512" s="43"/>
      <c r="D512" s="44"/>
      <c r="E512" s="44"/>
      <c r="F512" s="44"/>
      <c r="G512" s="44"/>
      <c r="H512" s="44"/>
      <c r="I512" s="44"/>
      <c r="J512" s="44"/>
      <c r="K512" s="44"/>
      <c r="L512" s="44"/>
    </row>
    <row r="513" ht="14.25" customHeight="1">
      <c r="B513" s="43"/>
      <c r="C513" s="43"/>
      <c r="D513" s="44"/>
      <c r="E513" s="44"/>
      <c r="F513" s="44"/>
      <c r="G513" s="44"/>
      <c r="H513" s="44"/>
      <c r="I513" s="44"/>
      <c r="J513" s="44"/>
      <c r="K513" s="44"/>
      <c r="L513" s="44"/>
    </row>
    <row r="514" ht="14.25" customHeight="1">
      <c r="B514" s="43"/>
      <c r="C514" s="43"/>
      <c r="D514" s="44"/>
      <c r="E514" s="44"/>
      <c r="F514" s="44"/>
      <c r="G514" s="44"/>
      <c r="H514" s="44"/>
      <c r="I514" s="44"/>
      <c r="J514" s="44"/>
      <c r="K514" s="44"/>
      <c r="L514" s="44"/>
    </row>
    <row r="515" ht="14.25" customHeight="1">
      <c r="B515" s="43"/>
      <c r="C515" s="43"/>
      <c r="D515" s="44"/>
      <c r="E515" s="44"/>
      <c r="F515" s="44"/>
      <c r="G515" s="44"/>
      <c r="H515" s="44"/>
      <c r="I515" s="44"/>
      <c r="J515" s="44"/>
      <c r="K515" s="44"/>
      <c r="L515" s="44"/>
    </row>
    <row r="516" ht="14.25" customHeight="1">
      <c r="B516" s="43"/>
      <c r="C516" s="43"/>
      <c r="D516" s="44"/>
      <c r="E516" s="44"/>
      <c r="F516" s="44"/>
      <c r="G516" s="44"/>
      <c r="H516" s="44"/>
      <c r="I516" s="44"/>
      <c r="J516" s="44"/>
      <c r="K516" s="44"/>
      <c r="L516" s="44"/>
    </row>
    <row r="517" ht="14.25" customHeight="1">
      <c r="B517" s="43"/>
      <c r="C517" s="43"/>
      <c r="D517" s="44"/>
      <c r="E517" s="44"/>
      <c r="F517" s="44"/>
      <c r="G517" s="44"/>
      <c r="H517" s="44"/>
      <c r="I517" s="44"/>
      <c r="J517" s="44"/>
      <c r="K517" s="44"/>
      <c r="L517" s="44"/>
    </row>
    <row r="518" ht="14.25" customHeight="1">
      <c r="B518" s="43"/>
      <c r="C518" s="43"/>
      <c r="D518" s="44"/>
      <c r="E518" s="44"/>
      <c r="F518" s="44"/>
      <c r="G518" s="44"/>
      <c r="H518" s="44"/>
      <c r="I518" s="44"/>
      <c r="J518" s="44"/>
      <c r="K518" s="44"/>
      <c r="L518" s="44"/>
    </row>
    <row r="519" ht="14.25" customHeight="1">
      <c r="B519" s="43"/>
      <c r="C519" s="43"/>
      <c r="D519" s="44"/>
      <c r="E519" s="44"/>
      <c r="F519" s="44"/>
      <c r="G519" s="44"/>
      <c r="H519" s="44"/>
      <c r="I519" s="44"/>
      <c r="J519" s="44"/>
      <c r="K519" s="44"/>
      <c r="L519" s="44"/>
    </row>
    <row r="520" ht="14.25" customHeight="1">
      <c r="B520" s="43"/>
      <c r="C520" s="43"/>
      <c r="D520" s="44"/>
      <c r="E520" s="44"/>
      <c r="F520" s="44"/>
      <c r="G520" s="44"/>
      <c r="H520" s="44"/>
      <c r="I520" s="44"/>
      <c r="J520" s="44"/>
      <c r="K520" s="44"/>
      <c r="L520" s="44"/>
    </row>
    <row r="521" ht="14.25" customHeight="1">
      <c r="B521" s="43"/>
      <c r="C521" s="43"/>
      <c r="D521" s="44"/>
      <c r="E521" s="44"/>
      <c r="F521" s="44"/>
      <c r="G521" s="44"/>
      <c r="H521" s="44"/>
      <c r="I521" s="44"/>
      <c r="J521" s="44"/>
      <c r="K521" s="44"/>
      <c r="L521" s="44"/>
    </row>
    <row r="522" ht="14.25" customHeight="1">
      <c r="B522" s="43"/>
      <c r="C522" s="43"/>
      <c r="D522" s="44"/>
      <c r="E522" s="44"/>
      <c r="F522" s="44"/>
      <c r="G522" s="44"/>
      <c r="H522" s="44"/>
      <c r="I522" s="44"/>
      <c r="J522" s="44"/>
      <c r="K522" s="44"/>
      <c r="L522" s="44"/>
    </row>
    <row r="523" ht="14.25" customHeight="1">
      <c r="B523" s="43"/>
      <c r="C523" s="43"/>
      <c r="D523" s="44"/>
      <c r="E523" s="44"/>
      <c r="F523" s="44"/>
      <c r="G523" s="44"/>
      <c r="H523" s="44"/>
      <c r="I523" s="44"/>
      <c r="J523" s="44"/>
      <c r="K523" s="44"/>
      <c r="L523" s="44"/>
    </row>
    <row r="524" ht="14.25" customHeight="1">
      <c r="B524" s="43"/>
      <c r="C524" s="43"/>
      <c r="D524" s="44"/>
      <c r="E524" s="44"/>
      <c r="F524" s="44"/>
      <c r="G524" s="44"/>
      <c r="H524" s="44"/>
      <c r="I524" s="44"/>
      <c r="J524" s="44"/>
      <c r="K524" s="44"/>
      <c r="L524" s="44"/>
    </row>
    <row r="525" ht="14.25" customHeight="1">
      <c r="B525" s="43"/>
      <c r="C525" s="43"/>
      <c r="D525" s="44"/>
      <c r="E525" s="44"/>
      <c r="F525" s="44"/>
      <c r="G525" s="44"/>
      <c r="H525" s="44"/>
      <c r="I525" s="44"/>
      <c r="J525" s="44"/>
      <c r="K525" s="44"/>
      <c r="L525" s="44"/>
    </row>
    <row r="526" ht="14.25" customHeight="1">
      <c r="B526" s="43"/>
      <c r="C526" s="43"/>
      <c r="D526" s="44"/>
      <c r="E526" s="44"/>
      <c r="F526" s="44"/>
      <c r="G526" s="44"/>
      <c r="H526" s="44"/>
      <c r="I526" s="44"/>
      <c r="J526" s="44"/>
      <c r="K526" s="44"/>
      <c r="L526" s="44"/>
    </row>
    <row r="527" ht="14.25" customHeight="1">
      <c r="B527" s="43"/>
      <c r="C527" s="43"/>
      <c r="D527" s="44"/>
      <c r="E527" s="44"/>
      <c r="F527" s="44"/>
      <c r="G527" s="44"/>
      <c r="H527" s="44"/>
      <c r="I527" s="44"/>
      <c r="J527" s="44"/>
      <c r="K527" s="44"/>
      <c r="L527" s="44"/>
    </row>
    <row r="528" ht="14.25" customHeight="1">
      <c r="B528" s="43"/>
      <c r="C528" s="43"/>
      <c r="D528" s="44"/>
      <c r="E528" s="44"/>
      <c r="F528" s="44"/>
      <c r="G528" s="44"/>
      <c r="H528" s="44"/>
      <c r="I528" s="44"/>
      <c r="J528" s="44"/>
      <c r="K528" s="44"/>
      <c r="L528" s="44"/>
    </row>
    <row r="529" ht="14.25" customHeight="1">
      <c r="B529" s="43"/>
      <c r="C529" s="43"/>
      <c r="D529" s="44"/>
      <c r="E529" s="44"/>
      <c r="F529" s="44"/>
      <c r="G529" s="44"/>
      <c r="H529" s="44"/>
      <c r="I529" s="44"/>
      <c r="J529" s="44"/>
      <c r="K529" s="44"/>
      <c r="L529" s="44"/>
    </row>
    <row r="530" ht="14.25" customHeight="1">
      <c r="B530" s="43"/>
      <c r="C530" s="43"/>
      <c r="D530" s="44"/>
      <c r="E530" s="44"/>
      <c r="F530" s="44"/>
      <c r="G530" s="44"/>
      <c r="H530" s="44"/>
      <c r="I530" s="44"/>
      <c r="J530" s="44"/>
      <c r="K530" s="44"/>
      <c r="L530" s="44"/>
    </row>
    <row r="531" ht="14.25" customHeight="1">
      <c r="B531" s="43"/>
      <c r="C531" s="43"/>
      <c r="D531" s="44"/>
      <c r="E531" s="44"/>
      <c r="F531" s="44"/>
      <c r="G531" s="44"/>
      <c r="H531" s="44"/>
      <c r="I531" s="44"/>
      <c r="J531" s="44"/>
      <c r="K531" s="44"/>
      <c r="L531" s="44"/>
    </row>
    <row r="532" ht="14.25" customHeight="1">
      <c r="B532" s="43"/>
      <c r="C532" s="43"/>
      <c r="D532" s="44"/>
      <c r="E532" s="44"/>
      <c r="F532" s="44"/>
      <c r="G532" s="44"/>
      <c r="H532" s="44"/>
      <c r="I532" s="44"/>
      <c r="J532" s="44"/>
      <c r="K532" s="44"/>
      <c r="L532" s="44"/>
    </row>
    <row r="533" ht="14.25" customHeight="1">
      <c r="B533" s="43"/>
      <c r="C533" s="43"/>
      <c r="D533" s="44"/>
      <c r="E533" s="44"/>
      <c r="F533" s="44"/>
      <c r="G533" s="44"/>
      <c r="H533" s="44"/>
      <c r="I533" s="44"/>
      <c r="J533" s="44"/>
      <c r="K533" s="44"/>
      <c r="L533" s="44"/>
    </row>
    <row r="534" ht="14.25" customHeight="1">
      <c r="B534" s="43"/>
      <c r="C534" s="43"/>
      <c r="D534" s="44"/>
      <c r="E534" s="44"/>
      <c r="F534" s="44"/>
      <c r="G534" s="44"/>
      <c r="H534" s="44"/>
      <c r="I534" s="44"/>
      <c r="J534" s="44"/>
      <c r="K534" s="44"/>
      <c r="L534" s="44"/>
    </row>
    <row r="535" ht="14.25" customHeight="1">
      <c r="B535" s="43"/>
      <c r="C535" s="43"/>
      <c r="D535" s="44"/>
      <c r="E535" s="44"/>
      <c r="F535" s="44"/>
      <c r="G535" s="44"/>
      <c r="H535" s="44"/>
      <c r="I535" s="44"/>
      <c r="J535" s="44"/>
      <c r="K535" s="44"/>
      <c r="L535" s="44"/>
    </row>
    <row r="536" ht="14.25" customHeight="1">
      <c r="B536" s="43"/>
      <c r="C536" s="43"/>
      <c r="D536" s="44"/>
      <c r="E536" s="44"/>
      <c r="F536" s="44"/>
      <c r="G536" s="44"/>
      <c r="H536" s="44"/>
      <c r="I536" s="44"/>
      <c r="J536" s="44"/>
      <c r="K536" s="44"/>
      <c r="L536" s="44"/>
    </row>
    <row r="537" ht="14.25" customHeight="1">
      <c r="B537" s="43"/>
      <c r="C537" s="43"/>
      <c r="D537" s="44"/>
      <c r="E537" s="44"/>
      <c r="F537" s="44"/>
      <c r="G537" s="44"/>
      <c r="H537" s="44"/>
      <c r="I537" s="44"/>
      <c r="J537" s="44"/>
      <c r="K537" s="44"/>
      <c r="L537" s="44"/>
    </row>
    <row r="538" ht="14.25" customHeight="1">
      <c r="B538" s="43"/>
      <c r="C538" s="43"/>
      <c r="D538" s="44"/>
      <c r="E538" s="44"/>
      <c r="F538" s="44"/>
      <c r="G538" s="44"/>
      <c r="H538" s="44"/>
      <c r="I538" s="44"/>
      <c r="J538" s="44"/>
      <c r="K538" s="44"/>
      <c r="L538" s="44"/>
    </row>
    <row r="539" ht="14.25" customHeight="1">
      <c r="B539" s="43"/>
      <c r="C539" s="43"/>
      <c r="D539" s="44"/>
      <c r="E539" s="44"/>
      <c r="F539" s="44"/>
      <c r="G539" s="44"/>
      <c r="H539" s="44"/>
      <c r="I539" s="44"/>
      <c r="J539" s="44"/>
      <c r="K539" s="44"/>
      <c r="L539" s="44"/>
    </row>
    <row r="540" ht="14.25" customHeight="1">
      <c r="B540" s="43"/>
      <c r="C540" s="43"/>
      <c r="D540" s="44"/>
      <c r="E540" s="44"/>
      <c r="F540" s="44"/>
      <c r="G540" s="44"/>
      <c r="H540" s="44"/>
      <c r="I540" s="44"/>
      <c r="J540" s="44"/>
      <c r="K540" s="44"/>
      <c r="L540" s="44"/>
    </row>
    <row r="541" ht="14.25" customHeight="1">
      <c r="B541" s="43"/>
      <c r="C541" s="43"/>
      <c r="D541" s="44"/>
      <c r="E541" s="44"/>
      <c r="F541" s="44"/>
      <c r="G541" s="44"/>
      <c r="H541" s="44"/>
      <c r="I541" s="44"/>
      <c r="J541" s="44"/>
      <c r="K541" s="44"/>
      <c r="L541" s="44"/>
    </row>
    <row r="542" ht="14.25" customHeight="1">
      <c r="B542" s="43"/>
      <c r="C542" s="43"/>
      <c r="D542" s="44"/>
      <c r="E542" s="44"/>
      <c r="F542" s="44"/>
      <c r="G542" s="44"/>
      <c r="H542" s="44"/>
      <c r="I542" s="44"/>
      <c r="J542" s="44"/>
      <c r="K542" s="44"/>
      <c r="L542" s="44"/>
    </row>
    <row r="543" ht="14.25" customHeight="1">
      <c r="B543" s="43"/>
      <c r="C543" s="43"/>
      <c r="D543" s="44"/>
      <c r="E543" s="44"/>
      <c r="F543" s="44"/>
      <c r="G543" s="44"/>
      <c r="H543" s="44"/>
      <c r="I543" s="44"/>
      <c r="J543" s="44"/>
      <c r="K543" s="44"/>
      <c r="L543" s="44"/>
    </row>
    <row r="544" ht="14.25" customHeight="1">
      <c r="B544" s="43"/>
      <c r="C544" s="43"/>
      <c r="D544" s="44"/>
      <c r="E544" s="44"/>
      <c r="F544" s="44"/>
      <c r="G544" s="44"/>
      <c r="H544" s="44"/>
      <c r="I544" s="44"/>
      <c r="J544" s="44"/>
      <c r="K544" s="44"/>
      <c r="L544" s="44"/>
    </row>
    <row r="545" ht="14.25" customHeight="1">
      <c r="B545" s="43"/>
      <c r="C545" s="43"/>
      <c r="D545" s="44"/>
      <c r="E545" s="44"/>
      <c r="F545" s="44"/>
      <c r="G545" s="44"/>
      <c r="H545" s="44"/>
      <c r="I545" s="44"/>
      <c r="J545" s="44"/>
      <c r="K545" s="44"/>
      <c r="L545" s="44"/>
    </row>
    <row r="546" ht="14.25" customHeight="1">
      <c r="B546" s="43"/>
      <c r="C546" s="43"/>
      <c r="D546" s="44"/>
      <c r="E546" s="44"/>
      <c r="F546" s="44"/>
      <c r="G546" s="44"/>
      <c r="H546" s="44"/>
      <c r="I546" s="44"/>
      <c r="J546" s="44"/>
      <c r="K546" s="44"/>
      <c r="L546" s="44"/>
    </row>
    <row r="547" ht="14.25" customHeight="1">
      <c r="B547" s="43"/>
      <c r="C547" s="43"/>
      <c r="D547" s="44"/>
      <c r="E547" s="44"/>
      <c r="F547" s="44"/>
      <c r="G547" s="44"/>
      <c r="H547" s="44"/>
      <c r="I547" s="44"/>
      <c r="J547" s="44"/>
      <c r="K547" s="44"/>
      <c r="L547" s="44"/>
    </row>
    <row r="548" ht="14.25" customHeight="1">
      <c r="B548" s="43"/>
      <c r="C548" s="43"/>
      <c r="D548" s="44"/>
      <c r="E548" s="44"/>
      <c r="F548" s="44"/>
      <c r="G548" s="44"/>
      <c r="H548" s="44"/>
      <c r="I548" s="44"/>
      <c r="J548" s="44"/>
      <c r="K548" s="44"/>
      <c r="L548" s="44"/>
    </row>
    <row r="549" ht="14.25" customHeight="1">
      <c r="B549" s="43"/>
      <c r="C549" s="43"/>
      <c r="D549" s="44"/>
      <c r="E549" s="44"/>
      <c r="F549" s="44"/>
      <c r="G549" s="44"/>
      <c r="H549" s="44"/>
      <c r="I549" s="44"/>
      <c r="J549" s="44"/>
      <c r="K549" s="44"/>
      <c r="L549" s="44"/>
    </row>
    <row r="550" ht="14.25" customHeight="1">
      <c r="B550" s="43"/>
      <c r="C550" s="43"/>
      <c r="D550" s="44"/>
      <c r="E550" s="44"/>
      <c r="F550" s="44"/>
      <c r="G550" s="44"/>
      <c r="H550" s="44"/>
      <c r="I550" s="44"/>
      <c r="J550" s="44"/>
      <c r="K550" s="44"/>
      <c r="L550" s="44"/>
    </row>
    <row r="551" ht="14.25" customHeight="1">
      <c r="B551" s="43"/>
      <c r="C551" s="43"/>
      <c r="D551" s="44"/>
      <c r="E551" s="44"/>
      <c r="F551" s="44"/>
      <c r="G551" s="44"/>
      <c r="H551" s="44"/>
      <c r="I551" s="44"/>
      <c r="J551" s="44"/>
      <c r="K551" s="44"/>
      <c r="L551" s="44"/>
    </row>
    <row r="552" ht="14.25" customHeight="1">
      <c r="B552" s="43"/>
      <c r="C552" s="43"/>
      <c r="D552" s="44"/>
      <c r="E552" s="44"/>
      <c r="F552" s="44"/>
      <c r="G552" s="44"/>
      <c r="H552" s="44"/>
      <c r="I552" s="44"/>
      <c r="J552" s="44"/>
      <c r="K552" s="44"/>
      <c r="L552" s="44"/>
    </row>
    <row r="553" ht="14.25" customHeight="1">
      <c r="B553" s="43"/>
      <c r="C553" s="43"/>
      <c r="D553" s="44"/>
      <c r="E553" s="44"/>
      <c r="F553" s="44"/>
      <c r="G553" s="44"/>
      <c r="H553" s="44"/>
      <c r="I553" s="44"/>
      <c r="J553" s="44"/>
      <c r="K553" s="44"/>
      <c r="L553" s="44"/>
    </row>
    <row r="554" ht="14.25" customHeight="1">
      <c r="B554" s="43"/>
      <c r="C554" s="43"/>
      <c r="D554" s="44"/>
      <c r="E554" s="44"/>
      <c r="F554" s="44"/>
      <c r="G554" s="44"/>
      <c r="H554" s="44"/>
      <c r="I554" s="44"/>
      <c r="J554" s="44"/>
      <c r="K554" s="44"/>
      <c r="L554" s="44"/>
    </row>
    <row r="555" ht="14.25" customHeight="1">
      <c r="B555" s="43"/>
      <c r="C555" s="43"/>
      <c r="D555" s="44"/>
      <c r="E555" s="44"/>
      <c r="F555" s="44"/>
      <c r="G555" s="44"/>
      <c r="H555" s="44"/>
      <c r="I555" s="44"/>
      <c r="J555" s="44"/>
      <c r="K555" s="44"/>
      <c r="L555" s="44"/>
    </row>
    <row r="556" ht="14.25" customHeight="1">
      <c r="B556" s="43"/>
      <c r="C556" s="43"/>
      <c r="D556" s="44"/>
      <c r="E556" s="44"/>
      <c r="F556" s="44"/>
      <c r="G556" s="44"/>
      <c r="H556" s="44"/>
      <c r="I556" s="44"/>
      <c r="J556" s="44"/>
      <c r="K556" s="44"/>
      <c r="L556" s="44"/>
    </row>
    <row r="557" ht="14.25" customHeight="1">
      <c r="B557" s="43"/>
      <c r="C557" s="43"/>
      <c r="D557" s="44"/>
      <c r="E557" s="44"/>
      <c r="F557" s="44"/>
      <c r="G557" s="44"/>
      <c r="H557" s="44"/>
      <c r="I557" s="44"/>
      <c r="J557" s="44"/>
      <c r="K557" s="44"/>
      <c r="L557" s="44"/>
    </row>
    <row r="558" ht="14.25" customHeight="1">
      <c r="B558" s="43"/>
      <c r="C558" s="43"/>
      <c r="D558" s="44"/>
      <c r="E558" s="44"/>
      <c r="F558" s="44"/>
      <c r="G558" s="44"/>
      <c r="H558" s="44"/>
      <c r="I558" s="44"/>
      <c r="J558" s="44"/>
      <c r="K558" s="44"/>
      <c r="L558" s="44"/>
    </row>
    <row r="559" ht="14.25" customHeight="1">
      <c r="B559" s="43"/>
      <c r="C559" s="43"/>
      <c r="D559" s="44"/>
      <c r="E559" s="44"/>
      <c r="F559" s="44"/>
      <c r="G559" s="44"/>
      <c r="H559" s="44"/>
      <c r="I559" s="44"/>
      <c r="J559" s="44"/>
      <c r="K559" s="44"/>
      <c r="L559" s="44"/>
    </row>
    <row r="560" ht="14.25" customHeight="1">
      <c r="B560" s="43"/>
      <c r="C560" s="43"/>
      <c r="D560" s="44"/>
      <c r="E560" s="44"/>
      <c r="F560" s="44"/>
      <c r="G560" s="44"/>
      <c r="H560" s="44"/>
      <c r="I560" s="44"/>
      <c r="J560" s="44"/>
      <c r="K560" s="44"/>
      <c r="L560" s="44"/>
    </row>
    <row r="561" ht="14.25" customHeight="1">
      <c r="B561" s="43"/>
      <c r="C561" s="43"/>
      <c r="D561" s="44"/>
      <c r="E561" s="44"/>
      <c r="F561" s="44"/>
      <c r="G561" s="44"/>
      <c r="H561" s="44"/>
      <c r="I561" s="44"/>
      <c r="J561" s="44"/>
      <c r="K561" s="44"/>
      <c r="L561" s="44"/>
    </row>
    <row r="562" ht="14.25" customHeight="1">
      <c r="B562" s="43"/>
      <c r="C562" s="43"/>
      <c r="D562" s="44"/>
      <c r="E562" s="44"/>
      <c r="F562" s="44"/>
      <c r="G562" s="44"/>
      <c r="H562" s="44"/>
      <c r="I562" s="44"/>
      <c r="J562" s="44"/>
      <c r="K562" s="44"/>
      <c r="L562" s="44"/>
    </row>
    <row r="563" ht="14.25" customHeight="1">
      <c r="B563" s="43"/>
      <c r="C563" s="43"/>
      <c r="D563" s="44"/>
      <c r="E563" s="44"/>
      <c r="F563" s="44"/>
      <c r="G563" s="44"/>
      <c r="H563" s="44"/>
      <c r="I563" s="44"/>
      <c r="J563" s="44"/>
      <c r="K563" s="44"/>
      <c r="L563" s="44"/>
    </row>
    <row r="564" ht="14.25" customHeight="1">
      <c r="B564" s="43"/>
      <c r="C564" s="43"/>
      <c r="D564" s="44"/>
      <c r="E564" s="44"/>
      <c r="F564" s="44"/>
      <c r="G564" s="44"/>
      <c r="H564" s="44"/>
      <c r="I564" s="44"/>
      <c r="J564" s="44"/>
      <c r="K564" s="44"/>
      <c r="L564" s="44"/>
    </row>
    <row r="565" ht="14.25" customHeight="1">
      <c r="B565" s="43"/>
      <c r="C565" s="43"/>
      <c r="D565" s="44"/>
      <c r="E565" s="44"/>
      <c r="F565" s="44"/>
      <c r="G565" s="44"/>
      <c r="H565" s="44"/>
      <c r="I565" s="44"/>
      <c r="J565" s="44"/>
      <c r="K565" s="44"/>
      <c r="L565" s="44"/>
    </row>
    <row r="566" ht="14.25" customHeight="1">
      <c r="B566" s="43"/>
      <c r="C566" s="43"/>
      <c r="D566" s="44"/>
      <c r="E566" s="44"/>
      <c r="F566" s="44"/>
      <c r="G566" s="44"/>
      <c r="H566" s="44"/>
      <c r="I566" s="44"/>
      <c r="J566" s="44"/>
      <c r="K566" s="44"/>
      <c r="L566" s="44"/>
    </row>
    <row r="567" ht="14.25" customHeight="1">
      <c r="B567" s="43"/>
      <c r="C567" s="43"/>
      <c r="D567" s="44"/>
      <c r="E567" s="44"/>
      <c r="F567" s="44"/>
      <c r="G567" s="44"/>
      <c r="H567" s="44"/>
      <c r="I567" s="44"/>
      <c r="J567" s="44"/>
      <c r="K567" s="44"/>
      <c r="L567" s="44"/>
    </row>
    <row r="568" ht="15.75" customHeight="1">
      <c r="B568" s="43"/>
      <c r="C568" s="43"/>
      <c r="D568" s="44"/>
      <c r="E568" s="44"/>
      <c r="F568" s="44"/>
      <c r="G568" s="44"/>
      <c r="H568" s="44"/>
      <c r="I568" s="44"/>
      <c r="J568" s="44"/>
      <c r="K568" s="44"/>
      <c r="L568" s="44"/>
    </row>
    <row r="569" ht="15.75" customHeight="1">
      <c r="B569" s="43"/>
      <c r="C569" s="43"/>
      <c r="D569" s="44"/>
      <c r="E569" s="44"/>
      <c r="F569" s="44"/>
      <c r="G569" s="44"/>
      <c r="H569" s="44"/>
      <c r="I569" s="44"/>
      <c r="J569" s="44"/>
      <c r="K569" s="44"/>
      <c r="L569" s="44"/>
    </row>
    <row r="570" ht="15.75" customHeight="1">
      <c r="B570" s="43"/>
      <c r="C570" s="43"/>
      <c r="D570" s="44"/>
      <c r="E570" s="44"/>
      <c r="F570" s="44"/>
      <c r="G570" s="44"/>
      <c r="H570" s="44"/>
      <c r="I570" s="44"/>
      <c r="J570" s="44"/>
      <c r="K570" s="44"/>
      <c r="L570" s="44"/>
    </row>
    <row r="571" ht="15.75" customHeight="1">
      <c r="B571" s="43"/>
      <c r="C571" s="43"/>
      <c r="D571" s="44"/>
      <c r="E571" s="44"/>
      <c r="F571" s="44"/>
      <c r="G571" s="44"/>
      <c r="H571" s="44"/>
      <c r="I571" s="44"/>
      <c r="J571" s="44"/>
      <c r="K571" s="44"/>
      <c r="L571" s="44"/>
    </row>
    <row r="572" ht="15.75" customHeight="1">
      <c r="B572" s="43"/>
      <c r="C572" s="43"/>
      <c r="D572" s="44"/>
      <c r="E572" s="44"/>
      <c r="F572" s="44"/>
      <c r="G572" s="44"/>
      <c r="H572" s="44"/>
      <c r="I572" s="44"/>
      <c r="J572" s="44"/>
      <c r="K572" s="44"/>
      <c r="L572" s="44"/>
    </row>
    <row r="573" ht="15.75" customHeight="1">
      <c r="B573" s="43"/>
      <c r="C573" s="43"/>
      <c r="D573" s="44"/>
      <c r="E573" s="44"/>
      <c r="F573" s="44"/>
      <c r="G573" s="44"/>
      <c r="H573" s="44"/>
      <c r="I573" s="44"/>
      <c r="J573" s="44"/>
      <c r="K573" s="44"/>
      <c r="L573" s="44"/>
    </row>
    <row r="574" ht="15.75" customHeight="1">
      <c r="B574" s="43"/>
      <c r="C574" s="43"/>
      <c r="D574" s="44"/>
      <c r="E574" s="44"/>
      <c r="F574" s="44"/>
      <c r="G574" s="44"/>
      <c r="H574" s="44"/>
      <c r="I574" s="44"/>
      <c r="J574" s="44"/>
      <c r="K574" s="44"/>
      <c r="L574" s="44"/>
    </row>
    <row r="575" ht="15.75" customHeight="1">
      <c r="B575" s="43"/>
      <c r="C575" s="43"/>
      <c r="D575" s="44"/>
      <c r="E575" s="44"/>
      <c r="F575" s="44"/>
      <c r="G575" s="44"/>
      <c r="H575" s="44"/>
      <c r="I575" s="44"/>
      <c r="J575" s="44"/>
      <c r="K575" s="44"/>
      <c r="L575" s="44"/>
    </row>
    <row r="576" ht="15.75" customHeight="1">
      <c r="B576" s="43"/>
      <c r="C576" s="43"/>
      <c r="D576" s="44"/>
      <c r="E576" s="44"/>
      <c r="F576" s="44"/>
      <c r="G576" s="44"/>
      <c r="H576" s="44"/>
      <c r="I576" s="44"/>
      <c r="J576" s="44"/>
      <c r="K576" s="44"/>
      <c r="L576" s="44"/>
    </row>
    <row r="577" ht="15.75" customHeight="1">
      <c r="B577" s="43"/>
      <c r="C577" s="43"/>
      <c r="D577" s="44"/>
      <c r="E577" s="44"/>
      <c r="F577" s="44"/>
      <c r="G577" s="44"/>
      <c r="H577" s="44"/>
      <c r="I577" s="44"/>
      <c r="J577" s="44"/>
      <c r="K577" s="44"/>
      <c r="L577" s="44"/>
    </row>
    <row r="578" ht="15.75" customHeight="1">
      <c r="B578" s="43"/>
      <c r="C578" s="43"/>
      <c r="D578" s="44"/>
      <c r="E578" s="44"/>
      <c r="F578" s="44"/>
      <c r="G578" s="44"/>
      <c r="H578" s="44"/>
      <c r="I578" s="44"/>
      <c r="J578" s="44"/>
      <c r="K578" s="44"/>
      <c r="L578" s="44"/>
    </row>
    <row r="579" ht="15.75" customHeight="1">
      <c r="B579" s="43"/>
      <c r="C579" s="43"/>
      <c r="D579" s="44"/>
      <c r="E579" s="44"/>
      <c r="F579" s="44"/>
      <c r="G579" s="44"/>
      <c r="H579" s="44"/>
      <c r="I579" s="44"/>
      <c r="J579" s="44"/>
      <c r="K579" s="44"/>
      <c r="L579" s="44"/>
    </row>
    <row r="580" ht="15.75" customHeight="1">
      <c r="B580" s="43"/>
      <c r="C580" s="43"/>
      <c r="D580" s="44"/>
      <c r="E580" s="44"/>
      <c r="F580" s="44"/>
      <c r="G580" s="44"/>
      <c r="H580" s="44"/>
      <c r="I580" s="44"/>
      <c r="J580" s="44"/>
      <c r="K580" s="44"/>
      <c r="L580" s="44"/>
    </row>
    <row r="581" ht="15.75" customHeight="1">
      <c r="B581" s="43"/>
      <c r="C581" s="43"/>
      <c r="D581" s="44"/>
      <c r="E581" s="44"/>
      <c r="F581" s="44"/>
      <c r="G581" s="44"/>
      <c r="H581" s="44"/>
      <c r="I581" s="44"/>
      <c r="J581" s="44"/>
      <c r="K581" s="44"/>
      <c r="L581" s="44"/>
    </row>
    <row r="582" ht="15.75" customHeight="1">
      <c r="B582" s="43"/>
      <c r="C582" s="43"/>
      <c r="D582" s="44"/>
      <c r="E582" s="44"/>
      <c r="F582" s="44"/>
      <c r="G582" s="44"/>
      <c r="H582" s="44"/>
      <c r="I582" s="44"/>
      <c r="J582" s="44"/>
      <c r="K582" s="44"/>
      <c r="L582" s="44"/>
    </row>
    <row r="583" ht="15.75" customHeight="1">
      <c r="B583" s="43"/>
      <c r="C583" s="43"/>
      <c r="D583" s="44"/>
      <c r="E583" s="44"/>
      <c r="F583" s="44"/>
      <c r="G583" s="44"/>
      <c r="H583" s="44"/>
      <c r="I583" s="44"/>
      <c r="J583" s="44"/>
      <c r="K583" s="44"/>
      <c r="L583" s="44"/>
    </row>
    <row r="584" ht="15.75" customHeight="1">
      <c r="B584" s="43"/>
      <c r="C584" s="43"/>
      <c r="D584" s="44"/>
      <c r="E584" s="44"/>
      <c r="F584" s="44"/>
      <c r="G584" s="44"/>
      <c r="H584" s="44"/>
      <c r="I584" s="44"/>
      <c r="J584" s="44"/>
      <c r="K584" s="44"/>
      <c r="L584" s="44"/>
    </row>
    <row r="585" ht="15.75" customHeight="1">
      <c r="B585" s="43"/>
      <c r="C585" s="43"/>
      <c r="D585" s="44"/>
      <c r="E585" s="44"/>
      <c r="F585" s="44"/>
      <c r="G585" s="44"/>
      <c r="H585" s="44"/>
      <c r="I585" s="44"/>
      <c r="J585" s="44"/>
      <c r="K585" s="44"/>
      <c r="L585" s="44"/>
    </row>
    <row r="586" ht="15.75" customHeight="1">
      <c r="B586" s="43"/>
      <c r="C586" s="43"/>
      <c r="D586" s="44"/>
      <c r="E586" s="44"/>
      <c r="F586" s="44"/>
      <c r="G586" s="44"/>
      <c r="H586" s="44"/>
      <c r="I586" s="44"/>
      <c r="J586" s="44"/>
      <c r="K586" s="44"/>
      <c r="L586" s="44"/>
    </row>
    <row r="587" ht="15.75" customHeight="1">
      <c r="B587" s="43"/>
      <c r="C587" s="43"/>
      <c r="D587" s="44"/>
      <c r="E587" s="44"/>
      <c r="F587" s="44"/>
      <c r="G587" s="44"/>
      <c r="H587" s="44"/>
      <c r="I587" s="44"/>
      <c r="J587" s="44"/>
      <c r="K587" s="44"/>
      <c r="L587" s="44"/>
    </row>
    <row r="588" ht="15.75" customHeight="1">
      <c r="B588" s="43"/>
      <c r="C588" s="43"/>
      <c r="D588" s="44"/>
      <c r="E588" s="44"/>
      <c r="F588" s="44"/>
      <c r="G588" s="44"/>
      <c r="H588" s="44"/>
      <c r="I588" s="44"/>
      <c r="J588" s="44"/>
      <c r="K588" s="44"/>
      <c r="L588" s="44"/>
    </row>
    <row r="589" ht="15.75" customHeight="1">
      <c r="B589" s="43"/>
      <c r="C589" s="43"/>
      <c r="D589" s="44"/>
      <c r="E589" s="44"/>
      <c r="F589" s="44"/>
      <c r="G589" s="44"/>
      <c r="H589" s="44"/>
      <c r="I589" s="44"/>
      <c r="J589" s="44"/>
      <c r="K589" s="44"/>
      <c r="L589" s="44"/>
    </row>
    <row r="590" ht="15.75" customHeight="1">
      <c r="B590" s="43"/>
      <c r="C590" s="43"/>
      <c r="D590" s="44"/>
      <c r="E590" s="44"/>
      <c r="F590" s="44"/>
      <c r="G590" s="44"/>
      <c r="H590" s="44"/>
      <c r="I590" s="44"/>
      <c r="J590" s="44"/>
      <c r="K590" s="44"/>
      <c r="L590" s="44"/>
    </row>
    <row r="591" ht="15.75" customHeight="1">
      <c r="B591" s="43"/>
      <c r="C591" s="43"/>
      <c r="D591" s="44"/>
      <c r="E591" s="44"/>
      <c r="F591" s="44"/>
      <c r="G591" s="44"/>
      <c r="H591" s="44"/>
      <c r="I591" s="44"/>
      <c r="J591" s="44"/>
      <c r="K591" s="44"/>
      <c r="L591" s="44"/>
    </row>
    <row r="592" ht="15.75" customHeight="1">
      <c r="B592" s="43"/>
      <c r="C592" s="43"/>
      <c r="D592" s="44"/>
      <c r="E592" s="44"/>
      <c r="F592" s="44"/>
      <c r="G592" s="44"/>
      <c r="H592" s="44"/>
      <c r="I592" s="44"/>
      <c r="J592" s="44"/>
      <c r="K592" s="44"/>
      <c r="L592" s="44"/>
    </row>
    <row r="593" ht="15.75" customHeight="1">
      <c r="B593" s="43"/>
      <c r="C593" s="43"/>
      <c r="D593" s="44"/>
      <c r="E593" s="44"/>
      <c r="F593" s="44"/>
      <c r="G593" s="44"/>
      <c r="H593" s="44"/>
      <c r="I593" s="44"/>
      <c r="J593" s="44"/>
      <c r="K593" s="44"/>
      <c r="L593" s="44"/>
    </row>
    <row r="594" ht="15.75" customHeight="1">
      <c r="B594" s="43"/>
      <c r="C594" s="43"/>
      <c r="D594" s="44"/>
      <c r="E594" s="44"/>
      <c r="F594" s="44"/>
      <c r="G594" s="44"/>
      <c r="H594" s="44"/>
      <c r="I594" s="44"/>
      <c r="J594" s="44"/>
      <c r="K594" s="44"/>
      <c r="L594" s="44"/>
    </row>
    <row r="595" ht="15.75" customHeight="1">
      <c r="B595" s="43"/>
      <c r="C595" s="43"/>
      <c r="D595" s="44"/>
      <c r="E595" s="44"/>
      <c r="F595" s="44"/>
      <c r="G595" s="44"/>
      <c r="H595" s="44"/>
      <c r="I595" s="44"/>
      <c r="J595" s="44"/>
      <c r="K595" s="44"/>
      <c r="L595" s="44"/>
    </row>
    <row r="596" ht="15.75" customHeight="1">
      <c r="B596" s="43"/>
      <c r="C596" s="43"/>
      <c r="D596" s="44"/>
      <c r="E596" s="44"/>
      <c r="F596" s="44"/>
      <c r="G596" s="44"/>
      <c r="H596" s="44"/>
      <c r="I596" s="44"/>
      <c r="J596" s="44"/>
      <c r="K596" s="44"/>
      <c r="L596" s="44"/>
    </row>
    <row r="597" ht="15.75" customHeight="1">
      <c r="B597" s="43"/>
      <c r="C597" s="43"/>
      <c r="D597" s="44"/>
      <c r="E597" s="44"/>
      <c r="F597" s="44"/>
      <c r="G597" s="44"/>
      <c r="H597" s="44"/>
      <c r="I597" s="44"/>
      <c r="J597" s="44"/>
      <c r="K597" s="44"/>
      <c r="L597" s="44"/>
    </row>
    <row r="598" ht="15.75" customHeight="1">
      <c r="B598" s="43"/>
      <c r="C598" s="43"/>
      <c r="D598" s="44"/>
      <c r="E598" s="44"/>
      <c r="F598" s="44"/>
      <c r="G598" s="44"/>
      <c r="H598" s="44"/>
      <c r="I598" s="44"/>
      <c r="J598" s="44"/>
      <c r="K598" s="44"/>
      <c r="L598" s="44"/>
    </row>
    <row r="599" ht="15.75" customHeight="1">
      <c r="B599" s="43"/>
      <c r="C599" s="43"/>
      <c r="D599" s="44"/>
      <c r="E599" s="44"/>
      <c r="F599" s="44"/>
      <c r="G599" s="44"/>
      <c r="H599" s="44"/>
      <c r="I599" s="44"/>
      <c r="J599" s="44"/>
      <c r="K599" s="44"/>
      <c r="L599" s="44"/>
    </row>
    <row r="600" ht="15.75" customHeight="1">
      <c r="B600" s="43"/>
      <c r="C600" s="43"/>
      <c r="D600" s="44"/>
      <c r="E600" s="44"/>
      <c r="F600" s="44"/>
      <c r="G600" s="44"/>
      <c r="H600" s="44"/>
      <c r="I600" s="44"/>
      <c r="J600" s="44"/>
      <c r="K600" s="44"/>
      <c r="L600" s="44"/>
    </row>
    <row r="601" ht="15.75" customHeight="1">
      <c r="B601" s="43"/>
      <c r="C601" s="43"/>
      <c r="D601" s="44"/>
      <c r="E601" s="44"/>
      <c r="F601" s="44"/>
      <c r="G601" s="44"/>
      <c r="H601" s="44"/>
      <c r="I601" s="44"/>
      <c r="J601" s="44"/>
      <c r="K601" s="44"/>
      <c r="L601" s="44"/>
    </row>
    <row r="602" ht="15.75" customHeight="1">
      <c r="B602" s="43"/>
      <c r="C602" s="43"/>
      <c r="D602" s="44"/>
      <c r="E602" s="44"/>
      <c r="F602" s="44"/>
      <c r="G602" s="44"/>
      <c r="H602" s="44"/>
      <c r="I602" s="44"/>
      <c r="J602" s="44"/>
      <c r="K602" s="44"/>
      <c r="L602" s="44"/>
    </row>
    <row r="603" ht="15.75" customHeight="1">
      <c r="B603" s="43"/>
      <c r="C603" s="43"/>
      <c r="D603" s="44"/>
      <c r="E603" s="44"/>
      <c r="F603" s="44"/>
      <c r="G603" s="44"/>
      <c r="H603" s="44"/>
      <c r="I603" s="44"/>
      <c r="J603" s="44"/>
      <c r="K603" s="44"/>
      <c r="L603" s="44"/>
    </row>
    <row r="604" ht="15.75" customHeight="1">
      <c r="B604" s="43"/>
      <c r="C604" s="43"/>
      <c r="D604" s="44"/>
      <c r="E604" s="44"/>
      <c r="F604" s="44"/>
      <c r="G604" s="44"/>
      <c r="H604" s="44"/>
      <c r="I604" s="44"/>
      <c r="J604" s="44"/>
      <c r="K604" s="44"/>
      <c r="L604" s="44"/>
    </row>
    <row r="605" ht="15.75" customHeight="1">
      <c r="B605" s="43"/>
      <c r="C605" s="43"/>
      <c r="D605" s="44"/>
      <c r="E605" s="44"/>
      <c r="F605" s="44"/>
      <c r="G605" s="44"/>
      <c r="H605" s="44"/>
      <c r="I605" s="44"/>
      <c r="J605" s="44"/>
      <c r="K605" s="44"/>
      <c r="L605" s="44"/>
    </row>
    <row r="606" ht="15.75" customHeight="1">
      <c r="B606" s="43"/>
      <c r="C606" s="43"/>
      <c r="D606" s="44"/>
      <c r="E606" s="44"/>
      <c r="F606" s="44"/>
      <c r="G606" s="44"/>
      <c r="H606" s="44"/>
      <c r="I606" s="44"/>
      <c r="J606" s="44"/>
      <c r="K606" s="44"/>
      <c r="L606" s="44"/>
    </row>
    <row r="607" ht="15.75" customHeight="1">
      <c r="B607" s="43"/>
      <c r="C607" s="43"/>
      <c r="D607" s="44"/>
      <c r="E607" s="44"/>
      <c r="F607" s="44"/>
      <c r="G607" s="44"/>
      <c r="H607" s="44"/>
      <c r="I607" s="44"/>
      <c r="J607" s="44"/>
      <c r="K607" s="44"/>
      <c r="L607" s="44"/>
    </row>
    <row r="608" ht="15.75" customHeight="1">
      <c r="B608" s="43"/>
      <c r="C608" s="43"/>
      <c r="D608" s="44"/>
      <c r="E608" s="44"/>
      <c r="F608" s="44"/>
      <c r="G608" s="44"/>
      <c r="H608" s="44"/>
      <c r="I608" s="44"/>
      <c r="J608" s="44"/>
      <c r="K608" s="44"/>
      <c r="L608" s="44"/>
    </row>
    <row r="609" ht="15.75" customHeight="1">
      <c r="B609" s="43"/>
      <c r="C609" s="43"/>
      <c r="D609" s="44"/>
      <c r="E609" s="44"/>
      <c r="F609" s="44"/>
      <c r="G609" s="44"/>
      <c r="H609" s="44"/>
      <c r="I609" s="44"/>
      <c r="J609" s="44"/>
      <c r="K609" s="44"/>
      <c r="L609" s="44"/>
    </row>
    <row r="610" ht="15.75" customHeight="1">
      <c r="B610" s="43"/>
      <c r="C610" s="43"/>
      <c r="D610" s="44"/>
      <c r="E610" s="44"/>
      <c r="F610" s="44"/>
      <c r="G610" s="44"/>
      <c r="H610" s="44"/>
      <c r="I610" s="44"/>
      <c r="J610" s="44"/>
      <c r="K610" s="44"/>
      <c r="L610" s="44"/>
    </row>
    <row r="611" ht="15.75" customHeight="1">
      <c r="B611" s="43"/>
      <c r="C611" s="43"/>
      <c r="D611" s="44"/>
      <c r="E611" s="44"/>
      <c r="F611" s="44"/>
      <c r="G611" s="44"/>
      <c r="H611" s="44"/>
      <c r="I611" s="44"/>
      <c r="J611" s="44"/>
      <c r="K611" s="44"/>
      <c r="L611" s="44"/>
    </row>
    <row r="612" ht="15.75" customHeight="1">
      <c r="B612" s="43"/>
      <c r="C612" s="43"/>
      <c r="D612" s="44"/>
      <c r="E612" s="44"/>
      <c r="F612" s="44"/>
      <c r="G612" s="44"/>
      <c r="H612" s="44"/>
      <c r="I612" s="44"/>
      <c r="J612" s="44"/>
      <c r="K612" s="44"/>
      <c r="L612" s="44"/>
    </row>
    <row r="613" ht="15.75" customHeight="1">
      <c r="B613" s="43"/>
      <c r="C613" s="43"/>
      <c r="D613" s="44"/>
      <c r="E613" s="44"/>
      <c r="F613" s="44"/>
      <c r="G613" s="44"/>
      <c r="H613" s="44"/>
      <c r="I613" s="44"/>
      <c r="J613" s="44"/>
      <c r="K613" s="44"/>
      <c r="L613" s="44"/>
    </row>
    <row r="614" ht="15.75" customHeight="1">
      <c r="B614" s="43"/>
      <c r="C614" s="43"/>
      <c r="D614" s="44"/>
      <c r="E614" s="44"/>
      <c r="F614" s="44"/>
      <c r="G614" s="44"/>
      <c r="H614" s="44"/>
      <c r="I614" s="44"/>
      <c r="J614" s="44"/>
      <c r="K614" s="44"/>
      <c r="L614" s="44"/>
    </row>
    <row r="615" ht="15.75" customHeight="1">
      <c r="B615" s="43"/>
      <c r="C615" s="43"/>
      <c r="D615" s="44"/>
      <c r="E615" s="44"/>
      <c r="F615" s="44"/>
      <c r="G615" s="44"/>
      <c r="H615" s="44"/>
      <c r="I615" s="44"/>
      <c r="J615" s="44"/>
      <c r="K615" s="44"/>
      <c r="L615" s="44"/>
    </row>
    <row r="616" ht="15.75" customHeight="1">
      <c r="B616" s="43"/>
      <c r="C616" s="43"/>
      <c r="D616" s="44"/>
      <c r="E616" s="44"/>
      <c r="F616" s="44"/>
      <c r="G616" s="44"/>
      <c r="H616" s="44"/>
      <c r="I616" s="44"/>
      <c r="J616" s="44"/>
      <c r="K616" s="44"/>
      <c r="L616" s="44"/>
    </row>
    <row r="617" ht="15.75" customHeight="1">
      <c r="B617" s="43"/>
      <c r="C617" s="43"/>
      <c r="D617" s="44"/>
      <c r="E617" s="44"/>
      <c r="F617" s="44"/>
      <c r="G617" s="44"/>
      <c r="H617" s="44"/>
      <c r="I617" s="44"/>
      <c r="J617" s="44"/>
      <c r="K617" s="44"/>
      <c r="L617" s="44"/>
    </row>
    <row r="618" ht="15.75" customHeight="1">
      <c r="B618" s="43"/>
      <c r="C618" s="43"/>
      <c r="D618" s="44"/>
      <c r="E618" s="44"/>
      <c r="F618" s="44"/>
      <c r="G618" s="44"/>
      <c r="H618" s="44"/>
      <c r="I618" s="44"/>
      <c r="J618" s="44"/>
      <c r="K618" s="44"/>
      <c r="L618" s="44"/>
    </row>
    <row r="619" ht="15.75" customHeight="1">
      <c r="B619" s="43"/>
      <c r="C619" s="43"/>
      <c r="D619" s="44"/>
      <c r="E619" s="44"/>
      <c r="F619" s="44"/>
      <c r="G619" s="44"/>
      <c r="H619" s="44"/>
      <c r="I619" s="44"/>
      <c r="J619" s="44"/>
      <c r="K619" s="44"/>
      <c r="L619" s="44"/>
    </row>
    <row r="620" ht="15.75" customHeight="1">
      <c r="B620" s="43"/>
      <c r="C620" s="43"/>
      <c r="D620" s="44"/>
      <c r="E620" s="44"/>
      <c r="F620" s="44"/>
      <c r="G620" s="44"/>
      <c r="H620" s="44"/>
      <c r="I620" s="44"/>
      <c r="J620" s="44"/>
      <c r="K620" s="44"/>
      <c r="L620" s="44"/>
    </row>
    <row r="621" ht="15.75" customHeight="1">
      <c r="B621" s="43"/>
      <c r="C621" s="43"/>
      <c r="D621" s="44"/>
      <c r="E621" s="44"/>
      <c r="F621" s="44"/>
      <c r="G621" s="44"/>
      <c r="H621" s="44"/>
      <c r="I621" s="44"/>
      <c r="J621" s="44"/>
      <c r="K621" s="44"/>
      <c r="L621" s="44"/>
    </row>
    <row r="622" ht="15.75" customHeight="1">
      <c r="B622" s="43"/>
      <c r="C622" s="43"/>
      <c r="D622" s="44"/>
      <c r="E622" s="44"/>
      <c r="F622" s="44"/>
      <c r="G622" s="44"/>
      <c r="H622" s="44"/>
      <c r="I622" s="44"/>
      <c r="J622" s="44"/>
      <c r="K622" s="44"/>
      <c r="L622" s="44"/>
    </row>
    <row r="623" ht="15.75" customHeight="1">
      <c r="B623" s="43"/>
      <c r="C623" s="43"/>
      <c r="D623" s="44"/>
      <c r="E623" s="44"/>
      <c r="F623" s="44"/>
      <c r="G623" s="44"/>
      <c r="H623" s="44"/>
      <c r="I623" s="44"/>
      <c r="J623" s="44"/>
      <c r="K623" s="44"/>
      <c r="L623" s="44"/>
    </row>
    <row r="624" ht="15.75" customHeight="1">
      <c r="B624" s="43"/>
      <c r="C624" s="43"/>
      <c r="D624" s="44"/>
      <c r="E624" s="44"/>
      <c r="F624" s="44"/>
      <c r="G624" s="44"/>
      <c r="H624" s="44"/>
      <c r="I624" s="44"/>
      <c r="J624" s="44"/>
      <c r="K624" s="44"/>
      <c r="L624" s="44"/>
    </row>
    <row r="625" ht="15.75" customHeight="1">
      <c r="B625" s="43"/>
      <c r="C625" s="43"/>
      <c r="D625" s="44"/>
      <c r="E625" s="44"/>
      <c r="F625" s="44"/>
      <c r="G625" s="44"/>
      <c r="H625" s="44"/>
      <c r="I625" s="44"/>
      <c r="J625" s="44"/>
      <c r="K625" s="44"/>
      <c r="L625" s="44"/>
    </row>
    <row r="626" ht="15.75" customHeight="1">
      <c r="B626" s="43"/>
      <c r="C626" s="43"/>
      <c r="D626" s="44"/>
      <c r="E626" s="44"/>
      <c r="F626" s="44"/>
      <c r="G626" s="44"/>
      <c r="H626" s="44"/>
      <c r="I626" s="44"/>
      <c r="J626" s="44"/>
      <c r="K626" s="44"/>
      <c r="L626" s="44"/>
    </row>
    <row r="627" ht="15.75" customHeight="1">
      <c r="B627" s="43"/>
      <c r="C627" s="43"/>
      <c r="D627" s="44"/>
      <c r="E627" s="44"/>
      <c r="F627" s="44"/>
      <c r="G627" s="44"/>
      <c r="H627" s="44"/>
      <c r="I627" s="44"/>
      <c r="J627" s="44"/>
      <c r="K627" s="44"/>
      <c r="L627" s="44"/>
    </row>
    <row r="628" ht="15.75" customHeight="1">
      <c r="B628" s="43"/>
      <c r="C628" s="43"/>
      <c r="D628" s="44"/>
      <c r="E628" s="44"/>
      <c r="F628" s="44"/>
      <c r="G628" s="44"/>
      <c r="H628" s="44"/>
      <c r="I628" s="44"/>
      <c r="J628" s="44"/>
      <c r="K628" s="44"/>
      <c r="L628" s="44"/>
    </row>
    <row r="629" ht="15.75" customHeight="1">
      <c r="B629" s="43"/>
      <c r="C629" s="43"/>
      <c r="D629" s="44"/>
      <c r="E629" s="44"/>
      <c r="F629" s="44"/>
      <c r="G629" s="44"/>
      <c r="H629" s="44"/>
      <c r="I629" s="44"/>
      <c r="J629" s="44"/>
      <c r="K629" s="44"/>
      <c r="L629" s="44"/>
    </row>
    <row r="630" ht="15.75" customHeight="1">
      <c r="B630" s="43"/>
      <c r="C630" s="43"/>
      <c r="D630" s="44"/>
      <c r="E630" s="44"/>
      <c r="F630" s="44"/>
      <c r="G630" s="44"/>
      <c r="H630" s="44"/>
      <c r="I630" s="44"/>
      <c r="J630" s="44"/>
      <c r="K630" s="44"/>
      <c r="L630" s="44"/>
    </row>
    <row r="631" ht="15.75" customHeight="1">
      <c r="B631" s="43"/>
      <c r="C631" s="43"/>
      <c r="D631" s="44"/>
      <c r="E631" s="44"/>
      <c r="F631" s="44"/>
      <c r="G631" s="44"/>
      <c r="H631" s="44"/>
      <c r="I631" s="44"/>
      <c r="J631" s="44"/>
      <c r="K631" s="44"/>
      <c r="L631" s="44"/>
    </row>
    <row r="632" ht="15.75" customHeight="1">
      <c r="B632" s="43"/>
      <c r="C632" s="43"/>
      <c r="D632" s="44"/>
      <c r="E632" s="44"/>
      <c r="F632" s="44"/>
      <c r="G632" s="44"/>
      <c r="H632" s="44"/>
      <c r="I632" s="44"/>
      <c r="J632" s="44"/>
      <c r="K632" s="44"/>
      <c r="L632" s="44"/>
    </row>
    <row r="633" ht="15.75" customHeight="1">
      <c r="B633" s="43"/>
      <c r="C633" s="43"/>
      <c r="D633" s="44"/>
      <c r="E633" s="44"/>
      <c r="F633" s="44"/>
      <c r="G633" s="44"/>
      <c r="H633" s="44"/>
      <c r="I633" s="44"/>
      <c r="J633" s="44"/>
      <c r="K633" s="44"/>
      <c r="L633" s="44"/>
    </row>
    <row r="634" ht="15.75" customHeight="1">
      <c r="B634" s="43"/>
      <c r="C634" s="43"/>
      <c r="D634" s="44"/>
      <c r="E634" s="44"/>
      <c r="F634" s="44"/>
      <c r="G634" s="44"/>
      <c r="H634" s="44"/>
      <c r="I634" s="44"/>
      <c r="J634" s="44"/>
      <c r="K634" s="44"/>
      <c r="L634" s="44"/>
    </row>
    <row r="635" ht="15.75" customHeight="1">
      <c r="B635" s="43"/>
      <c r="C635" s="43"/>
      <c r="D635" s="44"/>
      <c r="E635" s="44"/>
      <c r="F635" s="44"/>
      <c r="G635" s="44"/>
      <c r="H635" s="44"/>
      <c r="I635" s="44"/>
      <c r="J635" s="44"/>
      <c r="K635" s="44"/>
      <c r="L635" s="44"/>
    </row>
    <row r="636" ht="15.75" customHeight="1">
      <c r="B636" s="43"/>
      <c r="C636" s="43"/>
      <c r="D636" s="44"/>
      <c r="E636" s="44"/>
      <c r="F636" s="44"/>
      <c r="G636" s="44"/>
      <c r="H636" s="44"/>
      <c r="I636" s="44"/>
      <c r="J636" s="44"/>
      <c r="K636" s="44"/>
      <c r="L636" s="44"/>
    </row>
    <row r="637" ht="15.75" customHeight="1">
      <c r="B637" s="43"/>
      <c r="C637" s="43"/>
      <c r="D637" s="44"/>
      <c r="E637" s="44"/>
      <c r="F637" s="44"/>
      <c r="G637" s="44"/>
      <c r="H637" s="44"/>
      <c r="I637" s="44"/>
      <c r="J637" s="44"/>
      <c r="K637" s="44"/>
      <c r="L637" s="44"/>
    </row>
    <row r="638" ht="15.75" customHeight="1">
      <c r="B638" s="43"/>
      <c r="C638" s="43"/>
      <c r="D638" s="44"/>
      <c r="E638" s="44"/>
      <c r="F638" s="44"/>
      <c r="G638" s="44"/>
      <c r="H638" s="44"/>
      <c r="I638" s="44"/>
      <c r="J638" s="44"/>
      <c r="K638" s="44"/>
      <c r="L638" s="44"/>
    </row>
    <row r="639" ht="15.75" customHeight="1">
      <c r="B639" s="43"/>
      <c r="C639" s="43"/>
      <c r="D639" s="44"/>
      <c r="E639" s="44"/>
      <c r="F639" s="44"/>
      <c r="G639" s="44"/>
      <c r="H639" s="44"/>
      <c r="I639" s="44"/>
      <c r="J639" s="44"/>
      <c r="K639" s="44"/>
      <c r="L639" s="44"/>
    </row>
    <row r="640" ht="15.75" customHeight="1">
      <c r="B640" s="43"/>
      <c r="C640" s="43"/>
      <c r="D640" s="44"/>
      <c r="E640" s="44"/>
      <c r="F640" s="44"/>
      <c r="G640" s="44"/>
      <c r="H640" s="44"/>
      <c r="I640" s="44"/>
      <c r="J640" s="44"/>
      <c r="K640" s="44"/>
      <c r="L640" s="44"/>
    </row>
    <row r="641" ht="15.75" customHeight="1">
      <c r="B641" s="43"/>
      <c r="C641" s="43"/>
      <c r="D641" s="44"/>
      <c r="E641" s="44"/>
      <c r="F641" s="44"/>
      <c r="G641" s="44"/>
      <c r="H641" s="44"/>
      <c r="I641" s="44"/>
      <c r="J641" s="44"/>
      <c r="K641" s="44"/>
      <c r="L641" s="44"/>
    </row>
    <row r="642" ht="15.75" customHeight="1">
      <c r="B642" s="43"/>
      <c r="C642" s="43"/>
      <c r="D642" s="44"/>
      <c r="E642" s="44"/>
      <c r="F642" s="44"/>
      <c r="G642" s="44"/>
      <c r="H642" s="44"/>
      <c r="I642" s="44"/>
      <c r="J642" s="44"/>
      <c r="K642" s="44"/>
      <c r="L642" s="44"/>
    </row>
    <row r="643" ht="15.75" customHeight="1">
      <c r="B643" s="43"/>
      <c r="C643" s="43"/>
      <c r="D643" s="44"/>
      <c r="E643" s="44"/>
      <c r="F643" s="44"/>
      <c r="G643" s="44"/>
      <c r="H643" s="44"/>
      <c r="I643" s="44"/>
      <c r="J643" s="44"/>
      <c r="K643" s="44"/>
      <c r="L643" s="44"/>
    </row>
    <row r="644" ht="15.75" customHeight="1">
      <c r="B644" s="43"/>
      <c r="C644" s="43"/>
      <c r="D644" s="44"/>
      <c r="E644" s="44"/>
      <c r="F644" s="44"/>
      <c r="G644" s="44"/>
      <c r="H644" s="44"/>
      <c r="I644" s="44"/>
      <c r="J644" s="44"/>
      <c r="K644" s="44"/>
      <c r="L644" s="44"/>
    </row>
    <row r="645" ht="15.75" customHeight="1">
      <c r="B645" s="43"/>
      <c r="C645" s="43"/>
      <c r="D645" s="44"/>
      <c r="E645" s="44"/>
      <c r="F645" s="44"/>
      <c r="G645" s="44"/>
      <c r="H645" s="44"/>
      <c r="I645" s="44"/>
      <c r="J645" s="44"/>
      <c r="K645" s="44"/>
      <c r="L645" s="44"/>
    </row>
    <row r="646" ht="15.75" customHeight="1">
      <c r="B646" s="43"/>
      <c r="C646" s="43"/>
      <c r="D646" s="44"/>
      <c r="E646" s="44"/>
      <c r="F646" s="44"/>
      <c r="G646" s="44"/>
      <c r="H646" s="44"/>
      <c r="I646" s="44"/>
      <c r="J646" s="44"/>
      <c r="K646" s="44"/>
      <c r="L646" s="44"/>
    </row>
    <row r="647" ht="15.75" customHeight="1">
      <c r="B647" s="43"/>
      <c r="C647" s="43"/>
      <c r="D647" s="44"/>
      <c r="E647" s="44"/>
      <c r="F647" s="44"/>
      <c r="G647" s="44"/>
      <c r="H647" s="44"/>
      <c r="I647" s="44"/>
      <c r="J647" s="44"/>
      <c r="K647" s="44"/>
      <c r="L647" s="44"/>
    </row>
    <row r="648" ht="15.75" customHeight="1">
      <c r="B648" s="43"/>
      <c r="C648" s="43"/>
      <c r="D648" s="44"/>
      <c r="E648" s="44"/>
      <c r="F648" s="44"/>
      <c r="G648" s="44"/>
      <c r="H648" s="44"/>
      <c r="I648" s="44"/>
      <c r="J648" s="44"/>
      <c r="K648" s="44"/>
      <c r="L648" s="44"/>
    </row>
    <row r="649" ht="15.75" customHeight="1">
      <c r="B649" s="43"/>
      <c r="C649" s="43"/>
      <c r="D649" s="44"/>
      <c r="E649" s="44"/>
      <c r="F649" s="44"/>
      <c r="G649" s="44"/>
      <c r="H649" s="44"/>
      <c r="I649" s="44"/>
      <c r="J649" s="44"/>
      <c r="K649" s="44"/>
      <c r="L649" s="44"/>
    </row>
    <row r="650" ht="15.75" customHeight="1">
      <c r="B650" s="43"/>
      <c r="C650" s="43"/>
      <c r="D650" s="44"/>
      <c r="E650" s="44"/>
      <c r="F650" s="44"/>
      <c r="G650" s="44"/>
      <c r="H650" s="44"/>
      <c r="I650" s="44"/>
      <c r="J650" s="44"/>
      <c r="K650" s="44"/>
      <c r="L650" s="44"/>
    </row>
    <row r="651" ht="15.75" customHeight="1">
      <c r="B651" s="43"/>
      <c r="C651" s="43"/>
      <c r="D651" s="44"/>
      <c r="E651" s="44"/>
      <c r="F651" s="44"/>
      <c r="G651" s="44"/>
      <c r="H651" s="44"/>
      <c r="I651" s="44"/>
      <c r="J651" s="44"/>
      <c r="K651" s="44"/>
      <c r="L651" s="44"/>
    </row>
    <row r="652" ht="15.75" customHeight="1">
      <c r="B652" s="43"/>
      <c r="C652" s="43"/>
      <c r="D652" s="44"/>
      <c r="E652" s="44"/>
      <c r="F652" s="44"/>
      <c r="G652" s="44"/>
      <c r="H652" s="44"/>
      <c r="I652" s="44"/>
      <c r="J652" s="44"/>
      <c r="K652" s="44"/>
      <c r="L652" s="44"/>
    </row>
    <row r="653" ht="15.75" customHeight="1">
      <c r="B653" s="43"/>
      <c r="C653" s="43"/>
      <c r="D653" s="44"/>
      <c r="E653" s="44"/>
      <c r="F653" s="44"/>
      <c r="G653" s="44"/>
      <c r="H653" s="44"/>
      <c r="I653" s="44"/>
      <c r="J653" s="44"/>
      <c r="K653" s="44"/>
      <c r="L653" s="44"/>
    </row>
    <row r="654" ht="15.75" customHeight="1">
      <c r="B654" s="43"/>
      <c r="C654" s="43"/>
      <c r="D654" s="44"/>
      <c r="E654" s="44"/>
      <c r="F654" s="44"/>
      <c r="G654" s="44"/>
      <c r="H654" s="44"/>
      <c r="I654" s="44"/>
      <c r="J654" s="44"/>
      <c r="K654" s="44"/>
      <c r="L654" s="44"/>
    </row>
    <row r="655" ht="15.75" customHeight="1">
      <c r="B655" s="43"/>
      <c r="C655" s="43"/>
      <c r="D655" s="44"/>
      <c r="E655" s="44"/>
      <c r="F655" s="44"/>
      <c r="G655" s="44"/>
      <c r="H655" s="44"/>
      <c r="I655" s="44"/>
      <c r="J655" s="44"/>
      <c r="K655" s="44"/>
      <c r="L655" s="44"/>
    </row>
    <row r="656" ht="15.75" customHeight="1">
      <c r="B656" s="43"/>
      <c r="C656" s="43"/>
      <c r="D656" s="44"/>
      <c r="E656" s="44"/>
      <c r="F656" s="44"/>
      <c r="G656" s="44"/>
      <c r="H656" s="44"/>
      <c r="I656" s="44"/>
      <c r="J656" s="44"/>
      <c r="K656" s="44"/>
      <c r="L656" s="44"/>
    </row>
    <row r="657" ht="15.75" customHeight="1">
      <c r="B657" s="43"/>
      <c r="C657" s="43"/>
      <c r="D657" s="44"/>
      <c r="E657" s="44"/>
      <c r="F657" s="44"/>
      <c r="G657" s="44"/>
      <c r="H657" s="44"/>
      <c r="I657" s="44"/>
      <c r="J657" s="44"/>
      <c r="K657" s="44"/>
      <c r="L657" s="44"/>
    </row>
    <row r="658" ht="15.75" customHeight="1">
      <c r="B658" s="43"/>
      <c r="C658" s="43"/>
      <c r="D658" s="44"/>
      <c r="E658" s="44"/>
      <c r="F658" s="44"/>
      <c r="G658" s="44"/>
      <c r="H658" s="44"/>
      <c r="I658" s="44"/>
      <c r="J658" s="44"/>
      <c r="K658" s="44"/>
      <c r="L658" s="44"/>
    </row>
    <row r="659" ht="15.75" customHeight="1">
      <c r="B659" s="43"/>
      <c r="C659" s="43"/>
      <c r="D659" s="44"/>
      <c r="E659" s="44"/>
      <c r="F659" s="44"/>
      <c r="G659" s="44"/>
      <c r="H659" s="44"/>
      <c r="I659" s="44"/>
      <c r="J659" s="44"/>
      <c r="K659" s="44"/>
      <c r="L659" s="44"/>
    </row>
    <row r="660" ht="15.75" customHeight="1">
      <c r="B660" s="43"/>
      <c r="C660" s="43"/>
      <c r="D660" s="44"/>
      <c r="E660" s="44"/>
      <c r="F660" s="44"/>
      <c r="G660" s="44"/>
      <c r="H660" s="44"/>
      <c r="I660" s="44"/>
      <c r="J660" s="44"/>
      <c r="K660" s="44"/>
      <c r="L660" s="44"/>
    </row>
    <row r="661" ht="15.75" customHeight="1">
      <c r="B661" s="43"/>
      <c r="C661" s="43"/>
      <c r="D661" s="44"/>
      <c r="E661" s="44"/>
      <c r="F661" s="44"/>
      <c r="G661" s="44"/>
      <c r="H661" s="44"/>
      <c r="I661" s="44"/>
      <c r="J661" s="44"/>
      <c r="K661" s="44"/>
      <c r="L661" s="44"/>
    </row>
    <row r="662" ht="15.75" customHeight="1">
      <c r="B662" s="43"/>
      <c r="C662" s="43"/>
      <c r="D662" s="44"/>
      <c r="E662" s="44"/>
      <c r="F662" s="44"/>
      <c r="G662" s="44"/>
      <c r="H662" s="44"/>
      <c r="I662" s="44"/>
      <c r="J662" s="44"/>
      <c r="K662" s="44"/>
      <c r="L662" s="44"/>
    </row>
    <row r="663" ht="15.75" customHeight="1">
      <c r="B663" s="43"/>
      <c r="C663" s="43"/>
      <c r="D663" s="44"/>
      <c r="E663" s="44"/>
      <c r="F663" s="44"/>
      <c r="G663" s="44"/>
      <c r="H663" s="44"/>
      <c r="I663" s="44"/>
      <c r="J663" s="44"/>
      <c r="K663" s="44"/>
      <c r="L663" s="44"/>
    </row>
    <row r="664" ht="15.75" customHeight="1">
      <c r="B664" s="43"/>
      <c r="C664" s="43"/>
      <c r="D664" s="44"/>
      <c r="E664" s="44"/>
      <c r="F664" s="44"/>
      <c r="G664" s="44"/>
      <c r="H664" s="44"/>
      <c r="I664" s="44"/>
      <c r="J664" s="44"/>
      <c r="K664" s="44"/>
      <c r="L664" s="44"/>
    </row>
    <row r="665" ht="15.75" customHeight="1">
      <c r="B665" s="43"/>
      <c r="C665" s="43"/>
      <c r="D665" s="44"/>
      <c r="E665" s="44"/>
      <c r="F665" s="44"/>
      <c r="G665" s="44"/>
      <c r="H665" s="44"/>
      <c r="I665" s="44"/>
      <c r="J665" s="44"/>
      <c r="K665" s="44"/>
      <c r="L665" s="44"/>
    </row>
    <row r="666" ht="15.75" customHeight="1">
      <c r="B666" s="43"/>
      <c r="C666" s="43"/>
      <c r="D666" s="44"/>
      <c r="E666" s="44"/>
      <c r="F666" s="44"/>
      <c r="G666" s="44"/>
      <c r="H666" s="44"/>
      <c r="I666" s="44"/>
      <c r="J666" s="44"/>
      <c r="K666" s="44"/>
      <c r="L666" s="44"/>
    </row>
    <row r="667" ht="15.75" customHeight="1">
      <c r="B667" s="43"/>
      <c r="C667" s="43"/>
      <c r="D667" s="44"/>
      <c r="E667" s="44"/>
      <c r="F667" s="44"/>
      <c r="G667" s="44"/>
      <c r="H667" s="44"/>
      <c r="I667" s="44"/>
      <c r="J667" s="44"/>
      <c r="K667" s="44"/>
      <c r="L667" s="44"/>
    </row>
    <row r="668" ht="15.75" customHeight="1">
      <c r="B668" s="43"/>
      <c r="C668" s="43"/>
      <c r="D668" s="44"/>
      <c r="E668" s="44"/>
      <c r="F668" s="44"/>
      <c r="G668" s="44"/>
      <c r="H668" s="44"/>
      <c r="I668" s="44"/>
      <c r="J668" s="44"/>
      <c r="K668" s="44"/>
      <c r="L668" s="44"/>
    </row>
    <row r="669" ht="15.75" customHeight="1">
      <c r="B669" s="43"/>
      <c r="C669" s="43"/>
      <c r="D669" s="44"/>
      <c r="E669" s="44"/>
      <c r="F669" s="44"/>
      <c r="G669" s="44"/>
      <c r="H669" s="44"/>
      <c r="I669" s="44"/>
      <c r="J669" s="44"/>
      <c r="K669" s="44"/>
      <c r="L669" s="44"/>
    </row>
    <row r="670" ht="15.75" customHeight="1">
      <c r="B670" s="43"/>
      <c r="C670" s="43"/>
      <c r="D670" s="44"/>
      <c r="E670" s="44"/>
      <c r="F670" s="44"/>
      <c r="G670" s="44"/>
      <c r="H670" s="44"/>
      <c r="I670" s="44"/>
      <c r="J670" s="44"/>
      <c r="K670" s="44"/>
      <c r="L670" s="44"/>
    </row>
    <row r="671" ht="15.75" customHeight="1">
      <c r="B671" s="43"/>
      <c r="C671" s="43"/>
      <c r="D671" s="44"/>
      <c r="E671" s="44"/>
      <c r="F671" s="44"/>
      <c r="G671" s="44"/>
      <c r="H671" s="44"/>
      <c r="I671" s="44"/>
      <c r="J671" s="44"/>
      <c r="K671" s="44"/>
      <c r="L671" s="44"/>
    </row>
    <row r="672" ht="15.75" customHeight="1">
      <c r="B672" s="43"/>
      <c r="C672" s="43"/>
      <c r="D672" s="44"/>
      <c r="E672" s="44"/>
      <c r="F672" s="44"/>
      <c r="G672" s="44"/>
      <c r="H672" s="44"/>
      <c r="I672" s="44"/>
      <c r="J672" s="44"/>
      <c r="K672" s="44"/>
      <c r="L672" s="44"/>
    </row>
    <row r="673" ht="15.75" customHeight="1">
      <c r="B673" s="43"/>
      <c r="C673" s="43"/>
      <c r="D673" s="44"/>
      <c r="E673" s="44"/>
      <c r="F673" s="44"/>
      <c r="G673" s="44"/>
      <c r="H673" s="44"/>
      <c r="I673" s="44"/>
      <c r="J673" s="44"/>
      <c r="K673" s="44"/>
      <c r="L673" s="44"/>
    </row>
    <row r="674" ht="15.75" customHeight="1">
      <c r="B674" s="43"/>
      <c r="C674" s="43"/>
      <c r="D674" s="44"/>
      <c r="E674" s="44"/>
      <c r="F674" s="44"/>
      <c r="G674" s="44"/>
      <c r="H674" s="44"/>
      <c r="I674" s="44"/>
      <c r="J674" s="44"/>
      <c r="K674" s="44"/>
      <c r="L674" s="44"/>
    </row>
    <row r="675" ht="15.75" customHeight="1">
      <c r="B675" s="43"/>
      <c r="C675" s="43"/>
      <c r="D675" s="44"/>
      <c r="E675" s="44"/>
      <c r="F675" s="44"/>
      <c r="G675" s="44"/>
      <c r="H675" s="44"/>
      <c r="I675" s="44"/>
      <c r="J675" s="44"/>
      <c r="K675" s="44"/>
      <c r="L675" s="44"/>
    </row>
    <row r="676" ht="15.75" customHeight="1">
      <c r="B676" s="43"/>
      <c r="C676" s="43"/>
      <c r="D676" s="44"/>
      <c r="E676" s="44"/>
      <c r="F676" s="44"/>
      <c r="G676" s="44"/>
      <c r="H676" s="44"/>
      <c r="I676" s="44"/>
      <c r="J676" s="44"/>
      <c r="K676" s="44"/>
      <c r="L676" s="44"/>
    </row>
    <row r="677" ht="15.75" customHeight="1">
      <c r="B677" s="43"/>
      <c r="C677" s="43"/>
      <c r="D677" s="44"/>
      <c r="E677" s="44"/>
      <c r="F677" s="44"/>
      <c r="G677" s="44"/>
      <c r="H677" s="44"/>
      <c r="I677" s="44"/>
      <c r="J677" s="44"/>
      <c r="K677" s="44"/>
      <c r="L677" s="44"/>
    </row>
    <row r="678" ht="15.75" customHeight="1">
      <c r="B678" s="43"/>
      <c r="C678" s="43"/>
      <c r="D678" s="44"/>
      <c r="E678" s="44"/>
      <c r="F678" s="44"/>
      <c r="G678" s="44"/>
      <c r="H678" s="44"/>
      <c r="I678" s="44"/>
      <c r="J678" s="44"/>
      <c r="K678" s="44"/>
      <c r="L678" s="44"/>
    </row>
    <row r="679" ht="15.75" customHeight="1">
      <c r="B679" s="43"/>
      <c r="C679" s="43"/>
      <c r="D679" s="44"/>
      <c r="E679" s="44"/>
      <c r="F679" s="44"/>
      <c r="G679" s="44"/>
      <c r="H679" s="44"/>
      <c r="I679" s="44"/>
      <c r="J679" s="44"/>
      <c r="K679" s="44"/>
      <c r="L679" s="44"/>
    </row>
    <row r="680" ht="15.75" customHeight="1">
      <c r="B680" s="43"/>
      <c r="C680" s="43"/>
      <c r="D680" s="44"/>
      <c r="E680" s="44"/>
      <c r="F680" s="44"/>
      <c r="G680" s="44"/>
      <c r="H680" s="44"/>
      <c r="I680" s="44"/>
      <c r="J680" s="44"/>
      <c r="K680" s="44"/>
      <c r="L680" s="44"/>
    </row>
    <row r="681" ht="15.75" customHeight="1">
      <c r="B681" s="43"/>
      <c r="C681" s="43"/>
      <c r="D681" s="44"/>
      <c r="E681" s="44"/>
      <c r="F681" s="44"/>
      <c r="G681" s="44"/>
      <c r="H681" s="44"/>
      <c r="I681" s="44"/>
      <c r="J681" s="44"/>
      <c r="K681" s="44"/>
      <c r="L681" s="44"/>
    </row>
    <row r="682" ht="15.75" customHeight="1">
      <c r="B682" s="43"/>
      <c r="C682" s="43"/>
      <c r="D682" s="44"/>
      <c r="E682" s="44"/>
      <c r="F682" s="44"/>
      <c r="G682" s="44"/>
      <c r="H682" s="44"/>
      <c r="I682" s="44"/>
      <c r="J682" s="44"/>
      <c r="K682" s="44"/>
      <c r="L682" s="44"/>
    </row>
    <row r="683" ht="15.75" customHeight="1">
      <c r="B683" s="43"/>
      <c r="C683" s="43"/>
      <c r="D683" s="44"/>
      <c r="E683" s="44"/>
      <c r="F683" s="44"/>
      <c r="G683" s="44"/>
      <c r="H683" s="44"/>
      <c r="I683" s="44"/>
      <c r="J683" s="44"/>
      <c r="K683" s="44"/>
      <c r="L683" s="44"/>
    </row>
    <row r="684" ht="15.75" customHeight="1">
      <c r="B684" s="43"/>
      <c r="C684" s="43"/>
      <c r="D684" s="44"/>
      <c r="E684" s="44"/>
      <c r="F684" s="44"/>
      <c r="G684" s="44"/>
      <c r="H684" s="44"/>
      <c r="I684" s="44"/>
      <c r="J684" s="44"/>
      <c r="K684" s="44"/>
      <c r="L684" s="44"/>
    </row>
    <row r="685" ht="15.75" customHeight="1">
      <c r="B685" s="43"/>
      <c r="C685" s="43"/>
      <c r="D685" s="44"/>
      <c r="E685" s="44"/>
      <c r="F685" s="44"/>
      <c r="G685" s="44"/>
      <c r="H685" s="44"/>
      <c r="I685" s="44"/>
      <c r="J685" s="44"/>
      <c r="K685" s="44"/>
      <c r="L685" s="44"/>
    </row>
    <row r="686" ht="15.75" customHeight="1">
      <c r="B686" s="43"/>
      <c r="C686" s="43"/>
      <c r="D686" s="44"/>
      <c r="E686" s="44"/>
      <c r="F686" s="44"/>
      <c r="G686" s="44"/>
      <c r="H686" s="44"/>
      <c r="I686" s="44"/>
      <c r="J686" s="44"/>
      <c r="K686" s="44"/>
      <c r="L686" s="44"/>
    </row>
    <row r="687" ht="15.75" customHeight="1">
      <c r="B687" s="43"/>
      <c r="C687" s="43"/>
      <c r="D687" s="44"/>
      <c r="E687" s="44"/>
      <c r="F687" s="44"/>
      <c r="G687" s="44"/>
      <c r="H687" s="44"/>
      <c r="I687" s="44"/>
      <c r="J687" s="44"/>
      <c r="K687" s="44"/>
      <c r="L687" s="44"/>
    </row>
    <row r="688" ht="15.75" customHeight="1">
      <c r="B688" s="43"/>
      <c r="C688" s="43"/>
      <c r="D688" s="44"/>
      <c r="E688" s="44"/>
      <c r="F688" s="44"/>
      <c r="G688" s="44"/>
      <c r="H688" s="44"/>
      <c r="I688" s="44"/>
      <c r="J688" s="44"/>
      <c r="K688" s="44"/>
      <c r="L688" s="44"/>
    </row>
    <row r="689" ht="15.75" customHeight="1">
      <c r="B689" s="43"/>
      <c r="C689" s="43"/>
      <c r="D689" s="44"/>
      <c r="E689" s="44"/>
      <c r="F689" s="44"/>
      <c r="G689" s="44"/>
      <c r="H689" s="44"/>
      <c r="I689" s="44"/>
      <c r="J689" s="44"/>
      <c r="K689" s="44"/>
      <c r="L689" s="44"/>
    </row>
    <row r="690" ht="15.75" customHeight="1">
      <c r="B690" s="43"/>
      <c r="C690" s="43"/>
      <c r="D690" s="44"/>
      <c r="E690" s="44"/>
      <c r="F690" s="44"/>
      <c r="G690" s="44"/>
      <c r="H690" s="44"/>
      <c r="I690" s="44"/>
      <c r="J690" s="44"/>
      <c r="K690" s="44"/>
      <c r="L690" s="44"/>
    </row>
    <row r="691" ht="15.75" customHeight="1">
      <c r="B691" s="43"/>
      <c r="C691" s="43"/>
      <c r="D691" s="44"/>
      <c r="E691" s="44"/>
      <c r="F691" s="44"/>
      <c r="G691" s="44"/>
      <c r="H691" s="44"/>
      <c r="I691" s="44"/>
      <c r="J691" s="44"/>
      <c r="K691" s="44"/>
      <c r="L691" s="44"/>
    </row>
    <row r="692" ht="15.75" customHeight="1">
      <c r="B692" s="43"/>
      <c r="C692" s="43"/>
      <c r="D692" s="44"/>
      <c r="E692" s="44"/>
      <c r="F692" s="44"/>
      <c r="G692" s="44"/>
      <c r="H692" s="44"/>
      <c r="I692" s="44"/>
      <c r="J692" s="44"/>
      <c r="K692" s="44"/>
      <c r="L692" s="44"/>
    </row>
    <row r="693" ht="15.75" customHeight="1">
      <c r="B693" s="43"/>
      <c r="C693" s="43"/>
      <c r="D693" s="44"/>
      <c r="E693" s="44"/>
      <c r="F693" s="44"/>
      <c r="G693" s="44"/>
      <c r="H693" s="44"/>
      <c r="I693" s="44"/>
      <c r="J693" s="44"/>
      <c r="K693" s="44"/>
      <c r="L693" s="44"/>
    </row>
    <row r="694" ht="15.75" customHeight="1">
      <c r="B694" s="43"/>
      <c r="C694" s="43"/>
      <c r="D694" s="44"/>
      <c r="E694" s="44"/>
      <c r="F694" s="44"/>
      <c r="G694" s="44"/>
      <c r="H694" s="44"/>
      <c r="I694" s="44"/>
      <c r="J694" s="44"/>
      <c r="K694" s="44"/>
      <c r="L694" s="44"/>
    </row>
    <row r="695" ht="15.75" customHeight="1">
      <c r="B695" s="43"/>
      <c r="C695" s="43"/>
      <c r="D695" s="44"/>
      <c r="E695" s="44"/>
      <c r="F695" s="44"/>
      <c r="G695" s="44"/>
      <c r="H695" s="44"/>
      <c r="I695" s="44"/>
      <c r="J695" s="44"/>
      <c r="K695" s="44"/>
      <c r="L695" s="44"/>
    </row>
    <row r="696" ht="15.75" customHeight="1">
      <c r="B696" s="43"/>
      <c r="C696" s="43"/>
      <c r="D696" s="44"/>
      <c r="E696" s="44"/>
      <c r="F696" s="44"/>
      <c r="G696" s="44"/>
      <c r="H696" s="44"/>
      <c r="I696" s="44"/>
      <c r="J696" s="44"/>
      <c r="K696" s="44"/>
      <c r="L696" s="44"/>
    </row>
    <row r="697" ht="15.75" customHeight="1">
      <c r="B697" s="43"/>
      <c r="C697" s="43"/>
      <c r="D697" s="44"/>
      <c r="E697" s="44"/>
      <c r="F697" s="44"/>
      <c r="G697" s="44"/>
      <c r="H697" s="44"/>
      <c r="I697" s="44"/>
      <c r="J697" s="44"/>
      <c r="K697" s="44"/>
      <c r="L697" s="44"/>
    </row>
    <row r="698" ht="15.75" customHeight="1">
      <c r="B698" s="43"/>
      <c r="C698" s="43"/>
      <c r="D698" s="44"/>
      <c r="E698" s="44"/>
      <c r="F698" s="44"/>
      <c r="G698" s="44"/>
      <c r="H698" s="44"/>
      <c r="I698" s="44"/>
      <c r="J698" s="44"/>
      <c r="K698" s="44"/>
      <c r="L698" s="44"/>
    </row>
    <row r="699" ht="15.75" customHeight="1">
      <c r="B699" s="43"/>
      <c r="C699" s="43"/>
      <c r="D699" s="44"/>
      <c r="E699" s="44"/>
      <c r="F699" s="44"/>
      <c r="G699" s="44"/>
      <c r="H699" s="44"/>
      <c r="I699" s="44"/>
      <c r="J699" s="44"/>
      <c r="K699" s="44"/>
      <c r="L699" s="44"/>
    </row>
    <row r="700" ht="15.75" customHeight="1">
      <c r="B700" s="43"/>
      <c r="C700" s="43"/>
      <c r="D700" s="44"/>
      <c r="E700" s="44"/>
      <c r="F700" s="44"/>
      <c r="G700" s="44"/>
      <c r="H700" s="44"/>
      <c r="I700" s="44"/>
      <c r="J700" s="44"/>
      <c r="K700" s="44"/>
      <c r="L700" s="44"/>
    </row>
    <row r="701" ht="15.75" customHeight="1">
      <c r="B701" s="43"/>
      <c r="C701" s="43"/>
      <c r="D701" s="44"/>
      <c r="E701" s="44"/>
      <c r="F701" s="44"/>
      <c r="G701" s="44"/>
      <c r="H701" s="44"/>
      <c r="I701" s="44"/>
      <c r="J701" s="44"/>
      <c r="K701" s="44"/>
      <c r="L701" s="44"/>
    </row>
    <row r="702" ht="15.75" customHeight="1">
      <c r="B702" s="43"/>
      <c r="C702" s="43"/>
      <c r="D702" s="44"/>
      <c r="E702" s="44"/>
      <c r="F702" s="44"/>
      <c r="G702" s="44"/>
      <c r="H702" s="44"/>
      <c r="I702" s="44"/>
      <c r="J702" s="44"/>
      <c r="K702" s="44"/>
      <c r="L702" s="44"/>
    </row>
    <row r="703" ht="15.75" customHeight="1">
      <c r="B703" s="43"/>
      <c r="C703" s="43"/>
      <c r="D703" s="44"/>
      <c r="E703" s="44"/>
      <c r="F703" s="44"/>
      <c r="G703" s="44"/>
      <c r="H703" s="44"/>
      <c r="I703" s="44"/>
      <c r="J703" s="44"/>
      <c r="K703" s="44"/>
      <c r="L703" s="44"/>
    </row>
    <row r="704" ht="15.75" customHeight="1">
      <c r="B704" s="43"/>
      <c r="C704" s="43"/>
      <c r="D704" s="44"/>
      <c r="E704" s="44"/>
      <c r="F704" s="44"/>
      <c r="G704" s="44"/>
      <c r="H704" s="44"/>
      <c r="I704" s="44"/>
      <c r="J704" s="44"/>
      <c r="K704" s="44"/>
      <c r="L704" s="44"/>
    </row>
    <row r="705" ht="15.75" customHeight="1">
      <c r="B705" s="43"/>
      <c r="C705" s="43"/>
      <c r="D705" s="44"/>
      <c r="E705" s="44"/>
      <c r="F705" s="44"/>
      <c r="G705" s="44"/>
      <c r="H705" s="44"/>
      <c r="I705" s="44"/>
      <c r="J705" s="44"/>
      <c r="K705" s="44"/>
      <c r="L705" s="44"/>
    </row>
    <row r="706" ht="15.75" customHeight="1">
      <c r="B706" s="43"/>
      <c r="C706" s="43"/>
      <c r="D706" s="44"/>
      <c r="E706" s="44"/>
      <c r="F706" s="44"/>
      <c r="G706" s="44"/>
      <c r="H706" s="44"/>
      <c r="I706" s="44"/>
      <c r="J706" s="44"/>
      <c r="K706" s="44"/>
      <c r="L706" s="44"/>
    </row>
    <row r="707" ht="15.75" customHeight="1">
      <c r="B707" s="43"/>
      <c r="C707" s="43"/>
      <c r="D707" s="44"/>
      <c r="E707" s="44"/>
      <c r="F707" s="44"/>
      <c r="G707" s="44"/>
      <c r="H707" s="44"/>
      <c r="I707" s="44"/>
      <c r="J707" s="44"/>
      <c r="K707" s="44"/>
      <c r="L707" s="44"/>
    </row>
    <row r="708" ht="15.75" customHeight="1">
      <c r="B708" s="43"/>
      <c r="C708" s="43"/>
      <c r="D708" s="44"/>
      <c r="E708" s="44"/>
      <c r="F708" s="44"/>
      <c r="G708" s="44"/>
      <c r="H708" s="44"/>
      <c r="I708" s="44"/>
      <c r="J708" s="44"/>
      <c r="K708" s="44"/>
      <c r="L708" s="44"/>
    </row>
    <row r="709" ht="15.75" customHeight="1">
      <c r="B709" s="43"/>
      <c r="C709" s="43"/>
      <c r="D709" s="44"/>
      <c r="E709" s="44"/>
      <c r="F709" s="44"/>
      <c r="G709" s="44"/>
      <c r="H709" s="44"/>
      <c r="I709" s="44"/>
      <c r="J709" s="44"/>
      <c r="K709" s="44"/>
      <c r="L709" s="44"/>
    </row>
    <row r="710" ht="15.75" customHeight="1">
      <c r="B710" s="43"/>
      <c r="C710" s="43"/>
      <c r="D710" s="44"/>
      <c r="E710" s="44"/>
      <c r="F710" s="44"/>
      <c r="G710" s="44"/>
      <c r="H710" s="44"/>
      <c r="I710" s="44"/>
      <c r="J710" s="44"/>
      <c r="K710" s="44"/>
      <c r="L710" s="44"/>
    </row>
    <row r="711" ht="15.75" customHeight="1">
      <c r="B711" s="43"/>
      <c r="C711" s="43"/>
      <c r="D711" s="44"/>
      <c r="E711" s="44"/>
      <c r="F711" s="44"/>
      <c r="G711" s="44"/>
      <c r="H711" s="44"/>
      <c r="I711" s="44"/>
      <c r="J711" s="44"/>
      <c r="K711" s="44"/>
      <c r="L711" s="44"/>
    </row>
    <row r="712" ht="15.75" customHeight="1">
      <c r="B712" s="43"/>
      <c r="C712" s="43"/>
      <c r="D712" s="44"/>
      <c r="E712" s="44"/>
      <c r="F712" s="44"/>
      <c r="G712" s="44"/>
      <c r="H712" s="44"/>
      <c r="I712" s="44"/>
      <c r="J712" s="44"/>
      <c r="K712" s="44"/>
      <c r="L712" s="44"/>
    </row>
    <row r="713" ht="15.75" customHeight="1">
      <c r="B713" s="43"/>
      <c r="C713" s="43"/>
      <c r="D713" s="44"/>
      <c r="E713" s="44"/>
      <c r="F713" s="44"/>
      <c r="G713" s="44"/>
      <c r="H713" s="44"/>
      <c r="I713" s="44"/>
      <c r="J713" s="44"/>
      <c r="K713" s="44"/>
      <c r="L713" s="44"/>
    </row>
    <row r="714" ht="15.75" customHeight="1">
      <c r="B714" s="43"/>
      <c r="C714" s="43"/>
      <c r="D714" s="44"/>
      <c r="E714" s="44"/>
      <c r="F714" s="44"/>
      <c r="G714" s="44"/>
      <c r="H714" s="44"/>
      <c r="I714" s="44"/>
      <c r="J714" s="44"/>
      <c r="K714" s="44"/>
      <c r="L714" s="44"/>
    </row>
    <row r="715" ht="15.75" customHeight="1">
      <c r="B715" s="43"/>
      <c r="C715" s="43"/>
      <c r="D715" s="44"/>
      <c r="E715" s="44"/>
      <c r="F715" s="44"/>
      <c r="G715" s="44"/>
      <c r="H715" s="44"/>
      <c r="I715" s="44"/>
      <c r="J715" s="44"/>
      <c r="K715" s="44"/>
      <c r="L715" s="44"/>
    </row>
    <row r="716" ht="15.75" customHeight="1">
      <c r="B716" s="43"/>
      <c r="C716" s="43"/>
      <c r="D716" s="44"/>
      <c r="E716" s="44"/>
      <c r="F716" s="44"/>
      <c r="G716" s="44"/>
      <c r="H716" s="44"/>
      <c r="I716" s="44"/>
      <c r="J716" s="44"/>
      <c r="K716" s="44"/>
      <c r="L716" s="44"/>
    </row>
    <row r="717" ht="15.75" customHeight="1">
      <c r="B717" s="43"/>
      <c r="C717" s="43"/>
      <c r="D717" s="44"/>
      <c r="E717" s="44"/>
      <c r="F717" s="44"/>
      <c r="G717" s="44"/>
      <c r="H717" s="44"/>
      <c r="I717" s="44"/>
      <c r="J717" s="44"/>
      <c r="K717" s="44"/>
      <c r="L717" s="44"/>
    </row>
    <row r="718" ht="15.75" customHeight="1">
      <c r="B718" s="43"/>
      <c r="C718" s="43"/>
      <c r="D718" s="44"/>
      <c r="E718" s="44"/>
      <c r="F718" s="44"/>
      <c r="G718" s="44"/>
      <c r="H718" s="44"/>
      <c r="I718" s="44"/>
      <c r="J718" s="44"/>
      <c r="K718" s="44"/>
      <c r="L718" s="44"/>
    </row>
    <row r="719" ht="15.75" customHeight="1">
      <c r="B719" s="43"/>
      <c r="C719" s="43"/>
      <c r="D719" s="44"/>
      <c r="E719" s="44"/>
      <c r="F719" s="44"/>
      <c r="G719" s="44"/>
      <c r="H719" s="44"/>
      <c r="I719" s="44"/>
      <c r="J719" s="44"/>
      <c r="K719" s="44"/>
      <c r="L719" s="44"/>
    </row>
    <row r="720" ht="15.75" customHeight="1">
      <c r="B720" s="43"/>
      <c r="C720" s="43"/>
      <c r="D720" s="44"/>
      <c r="E720" s="44"/>
      <c r="F720" s="44"/>
      <c r="G720" s="44"/>
      <c r="H720" s="44"/>
      <c r="I720" s="44"/>
      <c r="J720" s="44"/>
      <c r="K720" s="44"/>
      <c r="L720" s="44"/>
    </row>
    <row r="721" ht="15.75" customHeight="1">
      <c r="B721" s="43"/>
      <c r="C721" s="43"/>
      <c r="D721" s="44"/>
      <c r="E721" s="44"/>
      <c r="F721" s="44"/>
      <c r="G721" s="44"/>
      <c r="H721" s="44"/>
      <c r="I721" s="44"/>
      <c r="J721" s="44"/>
      <c r="K721" s="44"/>
      <c r="L721" s="44"/>
    </row>
    <row r="722" ht="15.75" customHeight="1">
      <c r="B722" s="43"/>
      <c r="C722" s="43"/>
      <c r="D722" s="44"/>
      <c r="E722" s="44"/>
      <c r="F722" s="44"/>
      <c r="G722" s="44"/>
      <c r="H722" s="44"/>
      <c r="I722" s="44"/>
      <c r="J722" s="44"/>
      <c r="K722" s="44"/>
      <c r="L722" s="44"/>
    </row>
    <row r="723" ht="15.75" customHeight="1">
      <c r="B723" s="43"/>
      <c r="C723" s="43"/>
      <c r="D723" s="44"/>
      <c r="E723" s="44"/>
      <c r="F723" s="44"/>
      <c r="G723" s="44"/>
      <c r="H723" s="44"/>
      <c r="I723" s="44"/>
      <c r="J723" s="44"/>
      <c r="K723" s="44"/>
      <c r="L723" s="44"/>
    </row>
    <row r="724" ht="15.75" customHeight="1">
      <c r="B724" s="43"/>
      <c r="C724" s="43"/>
      <c r="D724" s="44"/>
      <c r="E724" s="44"/>
      <c r="F724" s="44"/>
      <c r="G724" s="44"/>
      <c r="H724" s="44"/>
      <c r="I724" s="44"/>
      <c r="J724" s="44"/>
      <c r="K724" s="44"/>
      <c r="L724" s="44"/>
    </row>
    <row r="725" ht="15.75" customHeight="1">
      <c r="B725" s="43"/>
      <c r="C725" s="43"/>
      <c r="D725" s="44"/>
      <c r="E725" s="44"/>
      <c r="F725" s="44"/>
      <c r="G725" s="44"/>
      <c r="H725" s="44"/>
      <c r="I725" s="44"/>
      <c r="J725" s="44"/>
      <c r="K725" s="44"/>
      <c r="L725" s="44"/>
    </row>
    <row r="726" ht="15.75" customHeight="1">
      <c r="B726" s="43"/>
      <c r="C726" s="43"/>
      <c r="D726" s="44"/>
      <c r="E726" s="44"/>
      <c r="F726" s="44"/>
      <c r="G726" s="44"/>
      <c r="H726" s="44"/>
      <c r="I726" s="44"/>
      <c r="J726" s="44"/>
      <c r="K726" s="44"/>
      <c r="L726" s="44"/>
    </row>
    <row r="727" ht="15.75" customHeight="1">
      <c r="B727" s="43"/>
      <c r="C727" s="43"/>
      <c r="D727" s="44"/>
      <c r="E727" s="44"/>
      <c r="F727" s="44"/>
      <c r="G727" s="44"/>
      <c r="H727" s="44"/>
      <c r="I727" s="44"/>
      <c r="J727" s="44"/>
      <c r="K727" s="44"/>
      <c r="L727" s="44"/>
    </row>
    <row r="728" ht="15.75" customHeight="1">
      <c r="B728" s="43"/>
      <c r="C728" s="43"/>
      <c r="D728" s="44"/>
      <c r="E728" s="44"/>
      <c r="F728" s="44"/>
      <c r="G728" s="44"/>
      <c r="H728" s="44"/>
      <c r="I728" s="44"/>
      <c r="J728" s="44"/>
      <c r="K728" s="44"/>
      <c r="L728" s="44"/>
    </row>
    <row r="729" ht="15.75" customHeight="1">
      <c r="B729" s="43"/>
      <c r="C729" s="43"/>
      <c r="D729" s="44"/>
      <c r="E729" s="44"/>
      <c r="F729" s="44"/>
      <c r="G729" s="44"/>
      <c r="H729" s="44"/>
      <c r="I729" s="44"/>
      <c r="J729" s="44"/>
      <c r="K729" s="44"/>
      <c r="L729" s="44"/>
    </row>
    <row r="730" ht="15.75" customHeight="1">
      <c r="B730" s="43"/>
      <c r="C730" s="43"/>
      <c r="D730" s="44"/>
      <c r="E730" s="44"/>
      <c r="F730" s="44"/>
      <c r="G730" s="44"/>
      <c r="H730" s="44"/>
      <c r="I730" s="44"/>
      <c r="J730" s="44"/>
      <c r="K730" s="44"/>
      <c r="L730" s="44"/>
    </row>
    <row r="731" ht="15.75" customHeight="1">
      <c r="B731" s="43"/>
      <c r="C731" s="43"/>
      <c r="D731" s="44"/>
      <c r="E731" s="44"/>
      <c r="F731" s="44"/>
      <c r="G731" s="44"/>
      <c r="H731" s="44"/>
      <c r="I731" s="44"/>
      <c r="J731" s="44"/>
      <c r="K731" s="44"/>
      <c r="L731" s="44"/>
    </row>
    <row r="732" ht="15.75" customHeight="1">
      <c r="B732" s="43"/>
      <c r="C732" s="43"/>
      <c r="D732" s="44"/>
      <c r="E732" s="44"/>
      <c r="F732" s="44"/>
      <c r="G732" s="44"/>
      <c r="H732" s="44"/>
      <c r="I732" s="44"/>
      <c r="J732" s="44"/>
      <c r="K732" s="44"/>
      <c r="L732" s="44"/>
    </row>
    <row r="733" ht="15.75" customHeight="1">
      <c r="B733" s="43"/>
      <c r="C733" s="43"/>
      <c r="D733" s="44"/>
      <c r="E733" s="44"/>
      <c r="F733" s="44"/>
      <c r="G733" s="44"/>
      <c r="H733" s="44"/>
      <c r="I733" s="44"/>
      <c r="J733" s="44"/>
      <c r="K733" s="44"/>
      <c r="L733" s="44"/>
    </row>
    <row r="734" ht="15.75" customHeight="1">
      <c r="B734" s="43"/>
      <c r="C734" s="43"/>
      <c r="D734" s="44"/>
      <c r="E734" s="44"/>
      <c r="F734" s="44"/>
      <c r="G734" s="44"/>
      <c r="H734" s="44"/>
      <c r="I734" s="44"/>
      <c r="J734" s="44"/>
      <c r="K734" s="44"/>
      <c r="L734" s="44"/>
    </row>
    <row r="735" ht="15.75" customHeight="1">
      <c r="B735" s="43"/>
      <c r="C735" s="43"/>
      <c r="D735" s="44"/>
      <c r="E735" s="44"/>
      <c r="F735" s="44"/>
      <c r="G735" s="44"/>
      <c r="H735" s="44"/>
      <c r="I735" s="44"/>
      <c r="J735" s="44"/>
      <c r="K735" s="44"/>
      <c r="L735" s="44"/>
    </row>
    <row r="736" ht="15.75" customHeight="1">
      <c r="B736" s="43"/>
      <c r="C736" s="43"/>
      <c r="D736" s="44"/>
      <c r="E736" s="44"/>
      <c r="F736" s="44"/>
      <c r="G736" s="44"/>
      <c r="H736" s="44"/>
      <c r="I736" s="44"/>
      <c r="J736" s="44"/>
      <c r="K736" s="44"/>
      <c r="L736" s="44"/>
    </row>
    <row r="737" ht="15.75" customHeight="1">
      <c r="B737" s="43"/>
      <c r="C737" s="43"/>
      <c r="D737" s="44"/>
      <c r="E737" s="44"/>
      <c r="F737" s="44"/>
      <c r="G737" s="44"/>
      <c r="H737" s="44"/>
      <c r="I737" s="44"/>
      <c r="J737" s="44"/>
      <c r="K737" s="44"/>
      <c r="L737" s="44"/>
    </row>
    <row r="738" ht="15.75" customHeight="1">
      <c r="B738" s="43"/>
      <c r="C738" s="43"/>
      <c r="D738" s="44"/>
      <c r="E738" s="44"/>
      <c r="F738" s="44"/>
      <c r="G738" s="44"/>
      <c r="H738" s="44"/>
      <c r="I738" s="44"/>
      <c r="J738" s="44"/>
      <c r="K738" s="44"/>
      <c r="L738" s="44"/>
    </row>
    <row r="739" ht="15.75" customHeight="1">
      <c r="B739" s="43"/>
      <c r="C739" s="43"/>
      <c r="D739" s="44"/>
      <c r="E739" s="44"/>
      <c r="F739" s="44"/>
      <c r="G739" s="44"/>
      <c r="H739" s="44"/>
      <c r="I739" s="44"/>
      <c r="J739" s="44"/>
      <c r="K739" s="44"/>
      <c r="L739" s="44"/>
    </row>
    <row r="740" ht="15.75" customHeight="1">
      <c r="B740" s="43"/>
      <c r="C740" s="43"/>
      <c r="D740" s="44"/>
      <c r="E740" s="44"/>
      <c r="F740" s="44"/>
      <c r="G740" s="44"/>
      <c r="H740" s="44"/>
      <c r="I740" s="44"/>
      <c r="J740" s="44"/>
      <c r="K740" s="44"/>
      <c r="L740" s="44"/>
    </row>
    <row r="741" ht="15.75" customHeight="1">
      <c r="B741" s="43"/>
      <c r="C741" s="43"/>
      <c r="D741" s="44"/>
      <c r="E741" s="44"/>
      <c r="F741" s="44"/>
      <c r="G741" s="44"/>
      <c r="H741" s="44"/>
      <c r="I741" s="44"/>
      <c r="J741" s="44"/>
      <c r="K741" s="44"/>
      <c r="L741" s="44"/>
    </row>
    <row r="742" ht="15.75" customHeight="1">
      <c r="B742" s="43"/>
      <c r="C742" s="43"/>
      <c r="D742" s="44"/>
      <c r="E742" s="44"/>
      <c r="F742" s="44"/>
      <c r="G742" s="44"/>
      <c r="H742" s="44"/>
      <c r="I742" s="44"/>
      <c r="J742" s="44"/>
      <c r="K742" s="44"/>
      <c r="L742" s="44"/>
    </row>
    <row r="743" ht="15.75" customHeight="1">
      <c r="B743" s="43"/>
      <c r="C743" s="43"/>
      <c r="D743" s="44"/>
      <c r="E743" s="44"/>
      <c r="F743" s="44"/>
      <c r="G743" s="44"/>
      <c r="H743" s="44"/>
      <c r="I743" s="44"/>
      <c r="J743" s="44"/>
      <c r="K743" s="44"/>
      <c r="L743" s="44"/>
    </row>
    <row r="744" ht="15.75" customHeight="1">
      <c r="B744" s="43"/>
      <c r="C744" s="43"/>
      <c r="D744" s="44"/>
      <c r="E744" s="44"/>
      <c r="F744" s="44"/>
      <c r="G744" s="44"/>
      <c r="H744" s="44"/>
      <c r="I744" s="44"/>
      <c r="J744" s="44"/>
      <c r="K744" s="44"/>
      <c r="L744" s="44"/>
    </row>
    <row r="745" ht="15.75" customHeight="1">
      <c r="B745" s="43"/>
      <c r="C745" s="43"/>
      <c r="D745" s="44"/>
      <c r="E745" s="44"/>
      <c r="F745" s="44"/>
      <c r="G745" s="44"/>
      <c r="H745" s="44"/>
      <c r="I745" s="44"/>
      <c r="J745" s="44"/>
      <c r="K745" s="44"/>
      <c r="L745" s="44"/>
    </row>
    <row r="746" ht="15.75" customHeight="1">
      <c r="B746" s="43"/>
      <c r="C746" s="43"/>
      <c r="D746" s="44"/>
      <c r="E746" s="44"/>
      <c r="F746" s="44"/>
      <c r="G746" s="44"/>
      <c r="H746" s="44"/>
      <c r="I746" s="44"/>
      <c r="J746" s="44"/>
      <c r="K746" s="44"/>
      <c r="L746" s="44"/>
    </row>
    <row r="747" ht="15.75" customHeight="1">
      <c r="B747" s="43"/>
      <c r="C747" s="43"/>
      <c r="D747" s="44"/>
      <c r="E747" s="44"/>
      <c r="F747" s="44"/>
      <c r="G747" s="44"/>
      <c r="H747" s="44"/>
      <c r="I747" s="44"/>
      <c r="J747" s="44"/>
      <c r="K747" s="44"/>
      <c r="L747" s="44"/>
    </row>
    <row r="748" ht="15.75" customHeight="1">
      <c r="B748" s="43"/>
      <c r="C748" s="43"/>
      <c r="D748" s="44"/>
      <c r="E748" s="44"/>
      <c r="F748" s="44"/>
      <c r="G748" s="44"/>
      <c r="H748" s="44"/>
      <c r="I748" s="44"/>
      <c r="J748" s="44"/>
      <c r="K748" s="44"/>
      <c r="L748" s="44"/>
    </row>
    <row r="749" ht="15.75" customHeight="1">
      <c r="B749" s="43"/>
      <c r="C749" s="43"/>
      <c r="D749" s="44"/>
      <c r="E749" s="44"/>
      <c r="F749" s="44"/>
      <c r="G749" s="44"/>
      <c r="H749" s="44"/>
      <c r="I749" s="44"/>
      <c r="J749" s="44"/>
      <c r="K749" s="44"/>
      <c r="L749" s="44"/>
    </row>
    <row r="750" ht="15.75" customHeight="1">
      <c r="B750" s="43"/>
      <c r="C750" s="43"/>
      <c r="D750" s="44"/>
      <c r="E750" s="44"/>
      <c r="F750" s="44"/>
      <c r="G750" s="44"/>
      <c r="H750" s="44"/>
      <c r="I750" s="44"/>
      <c r="J750" s="44"/>
      <c r="K750" s="44"/>
      <c r="L750" s="44"/>
    </row>
    <row r="751" ht="15.75" customHeight="1">
      <c r="B751" s="43"/>
      <c r="C751" s="43"/>
      <c r="D751" s="44"/>
      <c r="E751" s="44"/>
      <c r="F751" s="44"/>
      <c r="G751" s="44"/>
      <c r="H751" s="44"/>
      <c r="I751" s="44"/>
      <c r="J751" s="44"/>
      <c r="K751" s="44"/>
      <c r="L751" s="44"/>
    </row>
    <row r="752" ht="15.75" customHeight="1">
      <c r="B752" s="43"/>
      <c r="C752" s="43"/>
      <c r="D752" s="44"/>
      <c r="E752" s="44"/>
      <c r="F752" s="44"/>
      <c r="G752" s="44"/>
      <c r="H752" s="44"/>
      <c r="I752" s="44"/>
      <c r="J752" s="44"/>
      <c r="K752" s="44"/>
      <c r="L752" s="44"/>
    </row>
    <row r="753" ht="15.75" customHeight="1">
      <c r="B753" s="43"/>
      <c r="C753" s="43"/>
      <c r="D753" s="44"/>
      <c r="E753" s="44"/>
      <c r="F753" s="44"/>
      <c r="G753" s="44"/>
      <c r="H753" s="44"/>
      <c r="I753" s="44"/>
      <c r="J753" s="44"/>
      <c r="K753" s="44"/>
      <c r="L753" s="44"/>
    </row>
    <row r="754" ht="15.75" customHeight="1">
      <c r="B754" s="43"/>
      <c r="C754" s="43"/>
      <c r="D754" s="44"/>
      <c r="E754" s="44"/>
      <c r="F754" s="44"/>
      <c r="G754" s="44"/>
      <c r="H754" s="44"/>
      <c r="I754" s="44"/>
      <c r="J754" s="44"/>
      <c r="K754" s="44"/>
      <c r="L754" s="44"/>
    </row>
    <row r="755" ht="15.75" customHeight="1">
      <c r="B755" s="43"/>
      <c r="C755" s="43"/>
      <c r="D755" s="44"/>
      <c r="E755" s="44"/>
      <c r="F755" s="44"/>
      <c r="G755" s="44"/>
      <c r="H755" s="44"/>
      <c r="I755" s="44"/>
      <c r="J755" s="44"/>
      <c r="K755" s="44"/>
      <c r="L755" s="44"/>
    </row>
    <row r="756" ht="15.75" customHeight="1">
      <c r="B756" s="43"/>
      <c r="C756" s="43"/>
      <c r="D756" s="44"/>
      <c r="E756" s="44"/>
      <c r="F756" s="44"/>
      <c r="G756" s="44"/>
      <c r="H756" s="44"/>
      <c r="I756" s="44"/>
      <c r="J756" s="44"/>
      <c r="K756" s="44"/>
      <c r="L756" s="44"/>
    </row>
    <row r="757" ht="15.75" customHeight="1">
      <c r="B757" s="43"/>
      <c r="C757" s="43"/>
      <c r="D757" s="44"/>
      <c r="E757" s="44"/>
      <c r="F757" s="44"/>
      <c r="G757" s="44"/>
      <c r="H757" s="44"/>
      <c r="I757" s="44"/>
      <c r="J757" s="44"/>
      <c r="K757" s="44"/>
      <c r="L757" s="44"/>
    </row>
    <row r="758" ht="15.75" customHeight="1">
      <c r="B758" s="43"/>
      <c r="C758" s="43"/>
      <c r="D758" s="44"/>
      <c r="E758" s="44"/>
      <c r="F758" s="44"/>
      <c r="G758" s="44"/>
      <c r="H758" s="44"/>
      <c r="I758" s="44"/>
      <c r="J758" s="44"/>
      <c r="K758" s="44"/>
      <c r="L758" s="44"/>
    </row>
    <row r="759" ht="15.75" customHeight="1">
      <c r="B759" s="43"/>
      <c r="C759" s="43"/>
      <c r="D759" s="44"/>
      <c r="E759" s="44"/>
      <c r="F759" s="44"/>
      <c r="G759" s="44"/>
      <c r="H759" s="44"/>
      <c r="I759" s="44"/>
      <c r="J759" s="44"/>
      <c r="K759" s="44"/>
      <c r="L759" s="44"/>
    </row>
    <row r="760" ht="15.75" customHeight="1">
      <c r="B760" s="43"/>
      <c r="C760" s="43"/>
      <c r="D760" s="44"/>
      <c r="E760" s="44"/>
      <c r="F760" s="44"/>
      <c r="G760" s="44"/>
      <c r="H760" s="44"/>
      <c r="I760" s="44"/>
      <c r="J760" s="44"/>
      <c r="K760" s="44"/>
      <c r="L760" s="44"/>
    </row>
    <row r="761" ht="15.75" customHeight="1">
      <c r="B761" s="43"/>
      <c r="C761" s="43"/>
      <c r="D761" s="44"/>
      <c r="E761" s="44"/>
      <c r="F761" s="44"/>
      <c r="G761" s="44"/>
      <c r="H761" s="44"/>
      <c r="I761" s="44"/>
      <c r="J761" s="44"/>
      <c r="K761" s="44"/>
      <c r="L761" s="44"/>
    </row>
    <row r="762" ht="15.75" customHeight="1">
      <c r="B762" s="43"/>
      <c r="C762" s="43"/>
      <c r="D762" s="44"/>
      <c r="E762" s="44"/>
      <c r="F762" s="44"/>
      <c r="G762" s="44"/>
      <c r="H762" s="44"/>
      <c r="I762" s="44"/>
      <c r="J762" s="44"/>
      <c r="K762" s="44"/>
      <c r="L762" s="44"/>
    </row>
    <row r="763" ht="15.75" customHeight="1">
      <c r="B763" s="43"/>
      <c r="C763" s="43"/>
      <c r="D763" s="44"/>
      <c r="E763" s="44"/>
      <c r="F763" s="44"/>
      <c r="G763" s="44"/>
      <c r="H763" s="44"/>
      <c r="I763" s="44"/>
      <c r="J763" s="44"/>
      <c r="K763" s="44"/>
      <c r="L763" s="44"/>
    </row>
    <row r="764" ht="15.75" customHeight="1">
      <c r="B764" s="43"/>
      <c r="C764" s="43"/>
      <c r="D764" s="44"/>
      <c r="E764" s="44"/>
      <c r="F764" s="44"/>
      <c r="G764" s="44"/>
      <c r="H764" s="44"/>
      <c r="I764" s="44"/>
      <c r="J764" s="44"/>
      <c r="K764" s="44"/>
      <c r="L764" s="44"/>
    </row>
    <row r="765" ht="15.75" customHeight="1">
      <c r="B765" s="43"/>
      <c r="C765" s="43"/>
      <c r="D765" s="44"/>
      <c r="E765" s="44"/>
      <c r="F765" s="44"/>
      <c r="G765" s="44"/>
      <c r="H765" s="44"/>
      <c r="I765" s="44"/>
      <c r="J765" s="44"/>
      <c r="K765" s="44"/>
      <c r="L765" s="44"/>
    </row>
    <row r="766" ht="15.75" customHeight="1">
      <c r="B766" s="43"/>
      <c r="C766" s="43"/>
      <c r="D766" s="44"/>
      <c r="E766" s="44"/>
      <c r="F766" s="44"/>
      <c r="G766" s="44"/>
      <c r="H766" s="44"/>
      <c r="I766" s="44"/>
      <c r="J766" s="44"/>
      <c r="K766" s="44"/>
      <c r="L766" s="44"/>
    </row>
    <row r="767" ht="15.75" customHeight="1">
      <c r="B767" s="43"/>
      <c r="C767" s="43"/>
      <c r="D767" s="44"/>
      <c r="E767" s="44"/>
      <c r="F767" s="44"/>
      <c r="G767" s="44"/>
      <c r="H767" s="44"/>
      <c r="I767" s="44"/>
      <c r="J767" s="44"/>
      <c r="K767" s="44"/>
      <c r="L767" s="44"/>
    </row>
    <row r="768" ht="15.75" customHeight="1">
      <c r="B768" s="43"/>
      <c r="C768" s="43"/>
      <c r="D768" s="44"/>
      <c r="E768" s="44"/>
      <c r="F768" s="44"/>
      <c r="G768" s="44"/>
      <c r="H768" s="44"/>
      <c r="I768" s="44"/>
      <c r="J768" s="44"/>
      <c r="K768" s="44"/>
      <c r="L768" s="44"/>
    </row>
    <row r="769" ht="15.75" customHeight="1">
      <c r="B769" s="43"/>
      <c r="C769" s="43"/>
      <c r="D769" s="44"/>
      <c r="E769" s="44"/>
      <c r="F769" s="44"/>
      <c r="G769" s="44"/>
      <c r="H769" s="44"/>
      <c r="I769" s="44"/>
      <c r="J769" s="44"/>
      <c r="K769" s="44"/>
      <c r="L769" s="44"/>
    </row>
    <row r="770" ht="15.75" customHeight="1">
      <c r="B770" s="43"/>
      <c r="C770" s="43"/>
      <c r="D770" s="44"/>
      <c r="E770" s="44"/>
      <c r="F770" s="44"/>
      <c r="G770" s="44"/>
      <c r="H770" s="44"/>
      <c r="I770" s="44"/>
      <c r="J770" s="44"/>
      <c r="K770" s="44"/>
      <c r="L770" s="44"/>
    </row>
    <row r="771" ht="15.75" customHeight="1">
      <c r="B771" s="43"/>
      <c r="C771" s="43"/>
      <c r="D771" s="44"/>
      <c r="E771" s="44"/>
      <c r="F771" s="44"/>
      <c r="G771" s="44"/>
      <c r="H771" s="44"/>
      <c r="I771" s="44"/>
      <c r="J771" s="44"/>
      <c r="K771" s="44"/>
      <c r="L771" s="44"/>
    </row>
    <row r="772" ht="15.75" customHeight="1">
      <c r="B772" s="43"/>
      <c r="C772" s="43"/>
      <c r="D772" s="44"/>
      <c r="E772" s="44"/>
      <c r="F772" s="44"/>
      <c r="G772" s="44"/>
      <c r="H772" s="44"/>
      <c r="I772" s="44"/>
      <c r="J772" s="44"/>
      <c r="K772" s="44"/>
      <c r="L772" s="44"/>
    </row>
    <row r="773" ht="15.75" customHeight="1">
      <c r="B773" s="43"/>
      <c r="C773" s="43"/>
      <c r="D773" s="44"/>
      <c r="E773" s="44"/>
      <c r="F773" s="44"/>
      <c r="G773" s="44"/>
      <c r="H773" s="44"/>
      <c r="I773" s="44"/>
      <c r="J773" s="44"/>
      <c r="K773" s="44"/>
      <c r="L773" s="44"/>
    </row>
    <row r="774" ht="15.75" customHeight="1">
      <c r="B774" s="43"/>
      <c r="C774" s="43"/>
      <c r="D774" s="44"/>
      <c r="E774" s="44"/>
      <c r="F774" s="44"/>
      <c r="G774" s="44"/>
      <c r="H774" s="44"/>
      <c r="I774" s="44"/>
      <c r="J774" s="44"/>
      <c r="K774" s="44"/>
      <c r="L774" s="44"/>
    </row>
    <row r="775" ht="15.75" customHeight="1">
      <c r="B775" s="43"/>
      <c r="C775" s="43"/>
      <c r="D775" s="44"/>
      <c r="E775" s="44"/>
      <c r="F775" s="44"/>
      <c r="G775" s="44"/>
      <c r="H775" s="44"/>
      <c r="I775" s="44"/>
      <c r="J775" s="44"/>
      <c r="K775" s="44"/>
      <c r="L775" s="44"/>
    </row>
    <row r="776" ht="15.75" customHeight="1">
      <c r="B776" s="43"/>
      <c r="C776" s="43"/>
      <c r="D776" s="44"/>
      <c r="E776" s="44"/>
      <c r="F776" s="44"/>
      <c r="G776" s="44"/>
      <c r="H776" s="44"/>
      <c r="I776" s="44"/>
      <c r="J776" s="44"/>
      <c r="K776" s="44"/>
      <c r="L776" s="44"/>
    </row>
    <row r="777" ht="15.75" customHeight="1">
      <c r="B777" s="43"/>
      <c r="C777" s="43"/>
      <c r="D777" s="44"/>
      <c r="E777" s="44"/>
      <c r="F777" s="44"/>
      <c r="G777" s="44"/>
      <c r="H777" s="44"/>
      <c r="I777" s="44"/>
      <c r="J777" s="44"/>
      <c r="K777" s="44"/>
      <c r="L777" s="44"/>
    </row>
    <row r="778" ht="15.75" customHeight="1">
      <c r="B778" s="43"/>
      <c r="C778" s="43"/>
      <c r="D778" s="44"/>
      <c r="E778" s="44"/>
      <c r="F778" s="44"/>
      <c r="G778" s="44"/>
      <c r="H778" s="44"/>
      <c r="I778" s="44"/>
      <c r="J778" s="44"/>
      <c r="K778" s="44"/>
      <c r="L778" s="44"/>
    </row>
    <row r="779" ht="15.75" customHeight="1">
      <c r="B779" s="43"/>
      <c r="C779" s="43"/>
      <c r="D779" s="44"/>
      <c r="E779" s="44"/>
      <c r="F779" s="44"/>
      <c r="G779" s="44"/>
      <c r="H779" s="44"/>
      <c r="I779" s="44"/>
      <c r="J779" s="44"/>
      <c r="K779" s="44"/>
      <c r="L779" s="44"/>
    </row>
    <row r="780" ht="15.75" customHeight="1">
      <c r="B780" s="43"/>
      <c r="C780" s="43"/>
      <c r="D780" s="44"/>
      <c r="E780" s="44"/>
      <c r="F780" s="44"/>
      <c r="G780" s="44"/>
      <c r="H780" s="44"/>
      <c r="I780" s="44"/>
      <c r="J780" s="44"/>
      <c r="K780" s="44"/>
      <c r="L780" s="44"/>
    </row>
    <row r="781" ht="15.75" customHeight="1">
      <c r="B781" s="43"/>
      <c r="C781" s="43"/>
      <c r="D781" s="44"/>
      <c r="E781" s="44"/>
      <c r="F781" s="44"/>
      <c r="G781" s="44"/>
      <c r="H781" s="44"/>
      <c r="I781" s="44"/>
      <c r="J781" s="44"/>
      <c r="K781" s="44"/>
      <c r="L781" s="44"/>
    </row>
    <row r="782" ht="15.75" customHeight="1">
      <c r="B782" s="43"/>
      <c r="C782" s="43"/>
      <c r="D782" s="44"/>
      <c r="E782" s="44"/>
      <c r="F782" s="44"/>
      <c r="G782" s="44"/>
      <c r="H782" s="44"/>
      <c r="I782" s="44"/>
      <c r="J782" s="44"/>
      <c r="K782" s="44"/>
      <c r="L782" s="44"/>
    </row>
    <row r="783" ht="15.75" customHeight="1">
      <c r="B783" s="43"/>
      <c r="C783" s="43"/>
      <c r="D783" s="44"/>
      <c r="E783" s="44"/>
      <c r="F783" s="44"/>
      <c r="G783" s="44"/>
      <c r="H783" s="44"/>
      <c r="I783" s="44"/>
      <c r="J783" s="44"/>
      <c r="K783" s="44"/>
      <c r="L783" s="44"/>
    </row>
    <row r="784" ht="15.75" customHeight="1">
      <c r="B784" s="43"/>
      <c r="C784" s="43"/>
      <c r="D784" s="44"/>
      <c r="E784" s="44"/>
      <c r="F784" s="44"/>
      <c r="G784" s="44"/>
      <c r="H784" s="44"/>
      <c r="I784" s="44"/>
      <c r="J784" s="44"/>
      <c r="K784" s="44"/>
      <c r="L784" s="44"/>
    </row>
    <row r="785" ht="15.75" customHeight="1">
      <c r="B785" s="43"/>
      <c r="C785" s="43"/>
      <c r="D785" s="44"/>
      <c r="E785" s="44"/>
      <c r="F785" s="44"/>
      <c r="G785" s="44"/>
      <c r="H785" s="44"/>
      <c r="I785" s="44"/>
      <c r="J785" s="44"/>
      <c r="K785" s="44"/>
      <c r="L785" s="44"/>
    </row>
    <row r="786" ht="15.75" customHeight="1">
      <c r="B786" s="43"/>
      <c r="C786" s="43"/>
      <c r="D786" s="44"/>
      <c r="E786" s="44"/>
      <c r="F786" s="44"/>
      <c r="G786" s="44"/>
      <c r="H786" s="44"/>
      <c r="I786" s="44"/>
      <c r="J786" s="44"/>
      <c r="K786" s="44"/>
      <c r="L786" s="44"/>
    </row>
    <row r="787" ht="15.75" customHeight="1">
      <c r="B787" s="43"/>
      <c r="C787" s="43"/>
      <c r="D787" s="44"/>
      <c r="E787" s="44"/>
      <c r="F787" s="44"/>
      <c r="G787" s="44"/>
      <c r="H787" s="44"/>
      <c r="I787" s="44"/>
      <c r="J787" s="44"/>
      <c r="K787" s="44"/>
      <c r="L787" s="44"/>
    </row>
    <row r="788" ht="15.75" customHeight="1">
      <c r="B788" s="43"/>
      <c r="C788" s="43"/>
      <c r="D788" s="44"/>
      <c r="E788" s="44"/>
      <c r="F788" s="44"/>
      <c r="G788" s="44"/>
      <c r="H788" s="44"/>
      <c r="I788" s="44"/>
      <c r="J788" s="44"/>
      <c r="K788" s="44"/>
      <c r="L788" s="44"/>
    </row>
    <row r="789" ht="15.75" customHeight="1">
      <c r="B789" s="43"/>
      <c r="C789" s="43"/>
      <c r="D789" s="44"/>
      <c r="E789" s="44"/>
      <c r="F789" s="44"/>
      <c r="G789" s="44"/>
      <c r="H789" s="44"/>
      <c r="I789" s="44"/>
      <c r="J789" s="44"/>
      <c r="K789" s="44"/>
      <c r="L789" s="44"/>
    </row>
    <row r="790" ht="15.75" customHeight="1">
      <c r="B790" s="43"/>
      <c r="C790" s="43"/>
      <c r="D790" s="44"/>
      <c r="E790" s="44"/>
      <c r="F790" s="44"/>
      <c r="G790" s="44"/>
      <c r="H790" s="44"/>
      <c r="I790" s="44"/>
      <c r="J790" s="44"/>
      <c r="K790" s="44"/>
      <c r="L790" s="44"/>
    </row>
    <row r="791" ht="15.75" customHeight="1">
      <c r="B791" s="43"/>
      <c r="C791" s="43"/>
      <c r="D791" s="44"/>
      <c r="E791" s="44"/>
      <c r="F791" s="44"/>
      <c r="G791" s="44"/>
      <c r="H791" s="44"/>
      <c r="I791" s="44"/>
      <c r="J791" s="44"/>
      <c r="K791" s="44"/>
      <c r="L791" s="44"/>
    </row>
    <row r="792" ht="15.75" customHeight="1">
      <c r="B792" s="43"/>
      <c r="C792" s="43"/>
      <c r="D792" s="44"/>
      <c r="E792" s="44"/>
      <c r="F792" s="44"/>
      <c r="G792" s="44"/>
      <c r="H792" s="44"/>
      <c r="I792" s="44"/>
      <c r="J792" s="44"/>
      <c r="K792" s="44"/>
      <c r="L792" s="44"/>
    </row>
    <row r="793" ht="15.75" customHeight="1">
      <c r="B793" s="43"/>
      <c r="C793" s="43"/>
      <c r="D793" s="44"/>
      <c r="E793" s="44"/>
      <c r="F793" s="44"/>
      <c r="G793" s="44"/>
      <c r="H793" s="44"/>
      <c r="I793" s="44"/>
      <c r="J793" s="44"/>
      <c r="K793" s="44"/>
      <c r="L793" s="44"/>
    </row>
    <row r="794" ht="15.75" customHeight="1">
      <c r="B794" s="43"/>
      <c r="C794" s="43"/>
      <c r="D794" s="44"/>
      <c r="E794" s="44"/>
      <c r="F794" s="44"/>
      <c r="G794" s="44"/>
      <c r="H794" s="44"/>
      <c r="I794" s="44"/>
      <c r="J794" s="44"/>
      <c r="K794" s="44"/>
      <c r="L794" s="44"/>
    </row>
    <row r="795" ht="15.75" customHeight="1">
      <c r="B795" s="43"/>
      <c r="C795" s="43"/>
      <c r="D795" s="44"/>
      <c r="E795" s="44"/>
      <c r="F795" s="44"/>
      <c r="G795" s="44"/>
      <c r="H795" s="44"/>
      <c r="I795" s="44"/>
      <c r="J795" s="44"/>
      <c r="K795" s="44"/>
      <c r="L795" s="44"/>
    </row>
    <row r="796" ht="15.75" customHeight="1">
      <c r="B796" s="43"/>
      <c r="C796" s="43"/>
      <c r="D796" s="44"/>
      <c r="E796" s="44"/>
      <c r="F796" s="44"/>
      <c r="G796" s="44"/>
      <c r="H796" s="44"/>
      <c r="I796" s="44"/>
      <c r="J796" s="44"/>
      <c r="K796" s="44"/>
      <c r="L796" s="44"/>
    </row>
    <row r="797" ht="15.75" customHeight="1">
      <c r="B797" s="43"/>
      <c r="C797" s="43"/>
      <c r="D797" s="44"/>
      <c r="E797" s="44"/>
      <c r="F797" s="44"/>
      <c r="G797" s="44"/>
      <c r="H797" s="44"/>
      <c r="I797" s="44"/>
      <c r="J797" s="44"/>
      <c r="K797" s="44"/>
      <c r="L797" s="44"/>
    </row>
    <row r="798" ht="15.75" customHeight="1">
      <c r="B798" s="43"/>
      <c r="C798" s="43"/>
      <c r="D798" s="44"/>
      <c r="E798" s="44"/>
      <c r="F798" s="44"/>
      <c r="G798" s="44"/>
      <c r="H798" s="44"/>
      <c r="I798" s="44"/>
      <c r="J798" s="44"/>
      <c r="K798" s="44"/>
      <c r="L798" s="44"/>
    </row>
    <row r="799" ht="15.75" customHeight="1">
      <c r="B799" s="43"/>
      <c r="C799" s="43"/>
      <c r="D799" s="44"/>
      <c r="E799" s="44"/>
      <c r="F799" s="44"/>
      <c r="G799" s="44"/>
      <c r="H799" s="44"/>
      <c r="I799" s="44"/>
      <c r="J799" s="44"/>
      <c r="K799" s="44"/>
      <c r="L799" s="44"/>
    </row>
    <row r="800" ht="15.75" customHeight="1">
      <c r="B800" s="43"/>
      <c r="C800" s="43"/>
      <c r="D800" s="44"/>
      <c r="E800" s="44"/>
      <c r="F800" s="44"/>
      <c r="G800" s="44"/>
      <c r="H800" s="44"/>
      <c r="I800" s="44"/>
      <c r="J800" s="44"/>
      <c r="K800" s="44"/>
      <c r="L800" s="44"/>
    </row>
    <row r="801" ht="15.75" customHeight="1">
      <c r="B801" s="43"/>
      <c r="C801" s="43"/>
      <c r="D801" s="44"/>
      <c r="E801" s="44"/>
      <c r="F801" s="44"/>
      <c r="G801" s="44"/>
      <c r="H801" s="44"/>
      <c r="I801" s="44"/>
      <c r="J801" s="44"/>
      <c r="K801" s="44"/>
      <c r="L801" s="44"/>
    </row>
    <row r="802" ht="15.75" customHeight="1">
      <c r="B802" s="43"/>
      <c r="C802" s="43"/>
      <c r="D802" s="44"/>
      <c r="E802" s="44"/>
      <c r="F802" s="44"/>
      <c r="G802" s="44"/>
      <c r="H802" s="44"/>
      <c r="I802" s="44"/>
      <c r="J802" s="44"/>
      <c r="K802" s="44"/>
      <c r="L802" s="44"/>
    </row>
    <row r="803" ht="15.75" customHeight="1">
      <c r="B803" s="43"/>
      <c r="C803" s="43"/>
      <c r="D803" s="44"/>
      <c r="E803" s="44"/>
      <c r="F803" s="44"/>
      <c r="G803" s="44"/>
      <c r="H803" s="44"/>
      <c r="I803" s="44"/>
      <c r="J803" s="44"/>
      <c r="K803" s="44"/>
      <c r="L803" s="44"/>
    </row>
    <row r="804" ht="15.75" customHeight="1">
      <c r="B804" s="43"/>
      <c r="C804" s="43"/>
      <c r="D804" s="44"/>
      <c r="E804" s="44"/>
      <c r="F804" s="44"/>
      <c r="G804" s="44"/>
      <c r="H804" s="44"/>
      <c r="I804" s="44"/>
      <c r="J804" s="44"/>
      <c r="K804" s="44"/>
      <c r="L804" s="44"/>
    </row>
    <row r="805" ht="15.75" customHeight="1">
      <c r="B805" s="43"/>
      <c r="C805" s="43"/>
      <c r="D805" s="44"/>
      <c r="E805" s="44"/>
      <c r="F805" s="44"/>
      <c r="G805" s="44"/>
      <c r="H805" s="44"/>
      <c r="I805" s="44"/>
      <c r="J805" s="44"/>
      <c r="K805" s="44"/>
      <c r="L805" s="44"/>
    </row>
    <row r="806" ht="15.75" customHeight="1">
      <c r="B806" s="43"/>
      <c r="C806" s="43"/>
      <c r="D806" s="44"/>
      <c r="E806" s="44"/>
      <c r="F806" s="44"/>
      <c r="G806" s="44"/>
      <c r="H806" s="44"/>
      <c r="I806" s="44"/>
      <c r="J806" s="44"/>
      <c r="K806" s="44"/>
      <c r="L806" s="44"/>
    </row>
    <row r="807" ht="15.75" customHeight="1">
      <c r="B807" s="43"/>
      <c r="C807" s="43"/>
      <c r="D807" s="44"/>
      <c r="E807" s="44"/>
      <c r="F807" s="44"/>
      <c r="G807" s="44"/>
      <c r="H807" s="44"/>
      <c r="I807" s="44"/>
      <c r="J807" s="44"/>
      <c r="K807" s="44"/>
      <c r="L807" s="44"/>
    </row>
    <row r="808" ht="15.75" customHeight="1">
      <c r="B808" s="43"/>
      <c r="C808" s="43"/>
      <c r="D808" s="44"/>
      <c r="E808" s="44"/>
      <c r="F808" s="44"/>
      <c r="G808" s="44"/>
      <c r="H808" s="44"/>
      <c r="I808" s="44"/>
      <c r="J808" s="44"/>
      <c r="K808" s="44"/>
      <c r="L808" s="44"/>
    </row>
    <row r="809" ht="15.75" customHeight="1">
      <c r="B809" s="43"/>
      <c r="C809" s="43"/>
      <c r="D809" s="44"/>
      <c r="E809" s="44"/>
      <c r="F809" s="44"/>
      <c r="G809" s="44"/>
      <c r="H809" s="44"/>
      <c r="I809" s="44"/>
      <c r="J809" s="44"/>
      <c r="K809" s="44"/>
      <c r="L809" s="44"/>
    </row>
    <row r="810" ht="15.75" customHeight="1">
      <c r="B810" s="43"/>
      <c r="C810" s="43"/>
      <c r="D810" s="44"/>
      <c r="E810" s="44"/>
      <c r="F810" s="44"/>
      <c r="G810" s="44"/>
      <c r="H810" s="44"/>
      <c r="I810" s="44"/>
      <c r="J810" s="44"/>
      <c r="K810" s="44"/>
      <c r="L810" s="44"/>
    </row>
    <row r="811" ht="15.75" customHeight="1">
      <c r="B811" s="43"/>
      <c r="C811" s="43"/>
      <c r="D811" s="44"/>
      <c r="E811" s="44"/>
      <c r="F811" s="44"/>
      <c r="G811" s="44"/>
      <c r="H811" s="44"/>
      <c r="I811" s="44"/>
      <c r="J811" s="44"/>
      <c r="K811" s="44"/>
      <c r="L811" s="44"/>
    </row>
    <row r="812" ht="15.75" customHeight="1">
      <c r="B812" s="43"/>
      <c r="C812" s="43"/>
      <c r="D812" s="44"/>
      <c r="E812" s="44"/>
      <c r="F812" s="44"/>
      <c r="G812" s="44"/>
      <c r="H812" s="44"/>
      <c r="I812" s="44"/>
      <c r="J812" s="44"/>
      <c r="K812" s="44"/>
      <c r="L812" s="44"/>
    </row>
    <row r="813" ht="15.75" customHeight="1">
      <c r="B813" s="43"/>
      <c r="C813" s="43"/>
      <c r="D813" s="44"/>
      <c r="E813" s="44"/>
      <c r="F813" s="44"/>
      <c r="G813" s="44"/>
      <c r="H813" s="44"/>
      <c r="I813" s="44"/>
      <c r="J813" s="44"/>
      <c r="K813" s="44"/>
      <c r="L813" s="44"/>
    </row>
    <row r="814" ht="15.75" customHeight="1">
      <c r="B814" s="43"/>
      <c r="C814" s="43"/>
      <c r="D814" s="44"/>
      <c r="E814" s="44"/>
      <c r="F814" s="44"/>
      <c r="G814" s="44"/>
      <c r="H814" s="44"/>
      <c r="I814" s="44"/>
      <c r="J814" s="44"/>
      <c r="K814" s="44"/>
      <c r="L814" s="44"/>
    </row>
    <row r="815" ht="15.75" customHeight="1">
      <c r="B815" s="43"/>
      <c r="C815" s="43"/>
      <c r="D815" s="44"/>
      <c r="E815" s="44"/>
      <c r="F815" s="44"/>
      <c r="G815" s="44"/>
      <c r="H815" s="44"/>
      <c r="I815" s="44"/>
      <c r="J815" s="44"/>
      <c r="K815" s="44"/>
      <c r="L815" s="44"/>
    </row>
    <row r="816" ht="15.75" customHeight="1">
      <c r="B816" s="43"/>
      <c r="C816" s="43"/>
      <c r="D816" s="44"/>
      <c r="E816" s="44"/>
      <c r="F816" s="44"/>
      <c r="G816" s="44"/>
      <c r="H816" s="44"/>
      <c r="I816" s="44"/>
      <c r="J816" s="44"/>
      <c r="K816" s="44"/>
      <c r="L816" s="44"/>
    </row>
    <row r="817" ht="15.75" customHeight="1">
      <c r="B817" s="43"/>
      <c r="C817" s="43"/>
      <c r="D817" s="44"/>
      <c r="E817" s="44"/>
      <c r="F817" s="44"/>
      <c r="G817" s="44"/>
      <c r="H817" s="44"/>
      <c r="I817" s="44"/>
      <c r="J817" s="44"/>
      <c r="K817" s="44"/>
      <c r="L817" s="44"/>
    </row>
    <row r="818" ht="15.75" customHeight="1">
      <c r="B818" s="43"/>
      <c r="C818" s="43"/>
      <c r="D818" s="44"/>
      <c r="E818" s="44"/>
      <c r="F818" s="44"/>
      <c r="G818" s="44"/>
      <c r="H818" s="44"/>
      <c r="I818" s="44"/>
      <c r="J818" s="44"/>
      <c r="K818" s="44"/>
      <c r="L818" s="44"/>
    </row>
    <row r="819" ht="15.75" customHeight="1">
      <c r="B819" s="43"/>
      <c r="C819" s="43"/>
      <c r="D819" s="44"/>
      <c r="E819" s="44"/>
      <c r="F819" s="44"/>
      <c r="G819" s="44"/>
      <c r="H819" s="44"/>
      <c r="I819" s="44"/>
      <c r="J819" s="44"/>
      <c r="K819" s="44"/>
      <c r="L819" s="44"/>
    </row>
    <row r="820" ht="15.75" customHeight="1">
      <c r="B820" s="43"/>
      <c r="C820" s="43"/>
      <c r="D820" s="44"/>
      <c r="E820" s="44"/>
      <c r="F820" s="44"/>
      <c r="G820" s="44"/>
      <c r="H820" s="44"/>
      <c r="I820" s="44"/>
      <c r="J820" s="44"/>
      <c r="K820" s="44"/>
      <c r="L820" s="44"/>
    </row>
    <row r="821" ht="15.75" customHeight="1">
      <c r="B821" s="43"/>
      <c r="C821" s="43"/>
      <c r="D821" s="44"/>
      <c r="E821" s="44"/>
      <c r="F821" s="44"/>
      <c r="G821" s="44"/>
      <c r="H821" s="44"/>
      <c r="I821" s="44"/>
      <c r="J821" s="44"/>
      <c r="K821" s="44"/>
      <c r="L821" s="44"/>
    </row>
    <row r="822" ht="15.75" customHeight="1">
      <c r="B822" s="43"/>
      <c r="C822" s="43"/>
      <c r="D822" s="44"/>
      <c r="E822" s="44"/>
      <c r="F822" s="44"/>
      <c r="G822" s="44"/>
      <c r="H822" s="44"/>
      <c r="I822" s="44"/>
      <c r="J822" s="44"/>
      <c r="K822" s="44"/>
      <c r="L822" s="44"/>
    </row>
    <row r="823" ht="15.75" customHeight="1">
      <c r="B823" s="43"/>
      <c r="C823" s="43"/>
      <c r="D823" s="44"/>
      <c r="E823" s="44"/>
      <c r="F823" s="44"/>
      <c r="G823" s="44"/>
      <c r="H823" s="44"/>
      <c r="I823" s="44"/>
      <c r="J823" s="44"/>
      <c r="K823" s="44"/>
      <c r="L823" s="44"/>
    </row>
    <row r="824" ht="15.75" customHeight="1">
      <c r="B824" s="43"/>
      <c r="C824" s="43"/>
      <c r="D824" s="44"/>
      <c r="E824" s="44"/>
      <c r="F824" s="44"/>
      <c r="G824" s="44"/>
      <c r="H824" s="44"/>
      <c r="I824" s="44"/>
      <c r="J824" s="44"/>
      <c r="K824" s="44"/>
      <c r="L824" s="44"/>
    </row>
    <row r="825" ht="15.75" customHeight="1">
      <c r="B825" s="43"/>
      <c r="C825" s="43"/>
      <c r="D825" s="44"/>
      <c r="E825" s="44"/>
      <c r="F825" s="44"/>
      <c r="G825" s="44"/>
      <c r="H825" s="44"/>
      <c r="I825" s="44"/>
      <c r="J825" s="44"/>
      <c r="K825" s="44"/>
      <c r="L825" s="44"/>
    </row>
    <row r="826" ht="15.75" customHeight="1">
      <c r="B826" s="43"/>
      <c r="C826" s="43"/>
      <c r="D826" s="44"/>
      <c r="E826" s="44"/>
      <c r="F826" s="44"/>
      <c r="G826" s="44"/>
      <c r="H826" s="44"/>
      <c r="I826" s="44"/>
      <c r="J826" s="44"/>
      <c r="K826" s="44"/>
      <c r="L826" s="44"/>
    </row>
    <row r="827" ht="15.75" customHeight="1">
      <c r="B827" s="43"/>
      <c r="C827" s="43"/>
      <c r="D827" s="44"/>
      <c r="E827" s="44"/>
      <c r="F827" s="44"/>
      <c r="G827" s="44"/>
      <c r="H827" s="44"/>
      <c r="I827" s="44"/>
      <c r="J827" s="44"/>
      <c r="K827" s="44"/>
      <c r="L827" s="44"/>
    </row>
    <row r="828" ht="15.75" customHeight="1">
      <c r="B828" s="43"/>
      <c r="C828" s="43"/>
      <c r="D828" s="44"/>
      <c r="E828" s="44"/>
      <c r="F828" s="44"/>
      <c r="G828" s="44"/>
      <c r="H828" s="44"/>
      <c r="I828" s="44"/>
      <c r="J828" s="44"/>
      <c r="K828" s="44"/>
      <c r="L828" s="44"/>
    </row>
    <row r="829" ht="15.75" customHeight="1">
      <c r="B829" s="43"/>
      <c r="C829" s="43"/>
      <c r="D829" s="44"/>
      <c r="E829" s="44"/>
      <c r="F829" s="44"/>
      <c r="G829" s="44"/>
      <c r="H829" s="44"/>
      <c r="I829" s="44"/>
      <c r="J829" s="44"/>
      <c r="K829" s="44"/>
      <c r="L829" s="44"/>
    </row>
    <row r="830" ht="15.75" customHeight="1">
      <c r="B830" s="43"/>
      <c r="C830" s="43"/>
      <c r="D830" s="44"/>
      <c r="E830" s="44"/>
      <c r="F830" s="44"/>
      <c r="G830" s="44"/>
      <c r="H830" s="44"/>
      <c r="I830" s="44"/>
      <c r="J830" s="44"/>
      <c r="K830" s="44"/>
      <c r="L830" s="44"/>
    </row>
    <row r="831" ht="15.75" customHeight="1">
      <c r="B831" s="43"/>
      <c r="C831" s="43"/>
      <c r="D831" s="44"/>
      <c r="E831" s="44"/>
      <c r="F831" s="44"/>
      <c r="G831" s="44"/>
      <c r="H831" s="44"/>
      <c r="I831" s="44"/>
      <c r="J831" s="44"/>
      <c r="K831" s="44"/>
      <c r="L831" s="44"/>
    </row>
    <row r="832" ht="15.75" customHeight="1">
      <c r="B832" s="43"/>
      <c r="C832" s="43"/>
      <c r="D832" s="44"/>
      <c r="E832" s="44"/>
      <c r="F832" s="44"/>
      <c r="G832" s="44"/>
      <c r="H832" s="44"/>
      <c r="I832" s="44"/>
      <c r="J832" s="44"/>
      <c r="K832" s="44"/>
      <c r="L832" s="44"/>
    </row>
    <row r="833" ht="15.75" customHeight="1">
      <c r="B833" s="43"/>
      <c r="C833" s="43"/>
      <c r="D833" s="44"/>
      <c r="E833" s="44"/>
      <c r="F833" s="44"/>
      <c r="G833" s="44"/>
      <c r="H833" s="44"/>
      <c r="I833" s="44"/>
      <c r="J833" s="44"/>
      <c r="K833" s="44"/>
      <c r="L833" s="44"/>
    </row>
    <row r="834" ht="15.75" customHeight="1">
      <c r="B834" s="43"/>
      <c r="C834" s="43"/>
      <c r="D834" s="44"/>
      <c r="E834" s="44"/>
      <c r="F834" s="44"/>
      <c r="G834" s="44"/>
      <c r="H834" s="44"/>
      <c r="I834" s="44"/>
      <c r="J834" s="44"/>
      <c r="K834" s="44"/>
      <c r="L834" s="44"/>
    </row>
    <row r="835" ht="15.75" customHeight="1">
      <c r="B835" s="43"/>
      <c r="C835" s="43"/>
      <c r="D835" s="44"/>
      <c r="E835" s="44"/>
      <c r="F835" s="44"/>
      <c r="G835" s="44"/>
      <c r="H835" s="44"/>
      <c r="I835" s="44"/>
      <c r="J835" s="44"/>
      <c r="K835" s="44"/>
      <c r="L835" s="44"/>
    </row>
    <row r="836" ht="15.75" customHeight="1">
      <c r="B836" s="43"/>
      <c r="C836" s="43"/>
      <c r="D836" s="44"/>
      <c r="E836" s="44"/>
      <c r="F836" s="44"/>
      <c r="G836" s="44"/>
      <c r="H836" s="44"/>
      <c r="I836" s="44"/>
      <c r="J836" s="44"/>
      <c r="K836" s="44"/>
      <c r="L836" s="44"/>
    </row>
    <row r="837" ht="15.75" customHeight="1">
      <c r="B837" s="43"/>
      <c r="C837" s="43"/>
      <c r="D837" s="44"/>
      <c r="E837" s="44"/>
      <c r="F837" s="44"/>
      <c r="G837" s="44"/>
      <c r="H837" s="44"/>
      <c r="I837" s="44"/>
      <c r="J837" s="44"/>
      <c r="K837" s="44"/>
      <c r="L837" s="44"/>
    </row>
    <row r="838" ht="15.75" customHeight="1">
      <c r="B838" s="43"/>
      <c r="C838" s="43"/>
      <c r="D838" s="44"/>
      <c r="E838" s="44"/>
      <c r="F838" s="44"/>
      <c r="G838" s="44"/>
      <c r="H838" s="44"/>
      <c r="I838" s="44"/>
      <c r="J838" s="44"/>
      <c r="K838" s="44"/>
      <c r="L838" s="44"/>
    </row>
    <row r="839" ht="15.75" customHeight="1">
      <c r="B839" s="43"/>
      <c r="C839" s="43"/>
      <c r="D839" s="44"/>
      <c r="E839" s="44"/>
      <c r="F839" s="44"/>
      <c r="G839" s="44"/>
      <c r="H839" s="44"/>
      <c r="I839" s="44"/>
      <c r="J839" s="44"/>
      <c r="K839" s="44"/>
      <c r="L839" s="44"/>
    </row>
    <row r="840" ht="15.75" customHeight="1">
      <c r="B840" s="43"/>
      <c r="C840" s="43"/>
      <c r="D840" s="44"/>
      <c r="E840" s="44"/>
      <c r="F840" s="44"/>
      <c r="G840" s="44"/>
      <c r="H840" s="44"/>
      <c r="I840" s="44"/>
      <c r="J840" s="44"/>
      <c r="K840" s="44"/>
      <c r="L840" s="44"/>
    </row>
    <row r="841" ht="15.75" customHeight="1">
      <c r="B841" s="43"/>
      <c r="C841" s="43"/>
      <c r="D841" s="44"/>
      <c r="E841" s="44"/>
      <c r="F841" s="44"/>
      <c r="G841" s="44"/>
      <c r="H841" s="44"/>
      <c r="I841" s="44"/>
      <c r="J841" s="44"/>
      <c r="K841" s="44"/>
      <c r="L841" s="44"/>
    </row>
    <row r="842" ht="15.75" customHeight="1">
      <c r="B842" s="43"/>
      <c r="C842" s="43"/>
      <c r="D842" s="44"/>
      <c r="E842" s="44"/>
      <c r="F842" s="44"/>
      <c r="G842" s="44"/>
      <c r="H842" s="44"/>
      <c r="I842" s="44"/>
      <c r="J842" s="44"/>
      <c r="K842" s="44"/>
      <c r="L842" s="44"/>
    </row>
    <row r="843" ht="15.75" customHeight="1">
      <c r="B843" s="43"/>
      <c r="C843" s="43"/>
      <c r="D843" s="44"/>
      <c r="E843" s="44"/>
      <c r="F843" s="44"/>
      <c r="G843" s="44"/>
      <c r="H843" s="44"/>
      <c r="I843" s="44"/>
      <c r="J843" s="44"/>
      <c r="K843" s="44"/>
      <c r="L843" s="44"/>
    </row>
    <row r="844" ht="15.75" customHeight="1">
      <c r="B844" s="43"/>
      <c r="C844" s="43"/>
      <c r="D844" s="44"/>
      <c r="E844" s="44"/>
      <c r="F844" s="44"/>
      <c r="G844" s="44"/>
      <c r="H844" s="44"/>
      <c r="I844" s="44"/>
      <c r="J844" s="44"/>
      <c r="K844" s="44"/>
      <c r="L844" s="44"/>
    </row>
    <row r="845" ht="15.75" customHeight="1">
      <c r="B845" s="43"/>
      <c r="C845" s="43"/>
      <c r="D845" s="44"/>
      <c r="E845" s="44"/>
      <c r="F845" s="44"/>
      <c r="G845" s="44"/>
      <c r="H845" s="44"/>
      <c r="I845" s="44"/>
      <c r="J845" s="44"/>
      <c r="K845" s="44"/>
      <c r="L845" s="44"/>
    </row>
    <row r="846" ht="15.75" customHeight="1">
      <c r="B846" s="43"/>
      <c r="C846" s="43"/>
      <c r="D846" s="44"/>
      <c r="E846" s="44"/>
      <c r="F846" s="44"/>
      <c r="G846" s="44"/>
      <c r="H846" s="44"/>
      <c r="I846" s="44"/>
      <c r="J846" s="44"/>
      <c r="K846" s="44"/>
      <c r="L846" s="44"/>
    </row>
    <row r="847" ht="15.75" customHeight="1">
      <c r="B847" s="43"/>
      <c r="C847" s="43"/>
      <c r="D847" s="44"/>
      <c r="E847" s="44"/>
      <c r="F847" s="44"/>
      <c r="G847" s="44"/>
      <c r="H847" s="44"/>
      <c r="I847" s="44"/>
      <c r="J847" s="44"/>
      <c r="K847" s="44"/>
      <c r="L847" s="44"/>
    </row>
    <row r="848" ht="15.75" customHeight="1">
      <c r="B848" s="43"/>
      <c r="C848" s="43"/>
      <c r="D848" s="44"/>
      <c r="E848" s="44"/>
      <c r="F848" s="44"/>
      <c r="G848" s="44"/>
      <c r="H848" s="44"/>
      <c r="I848" s="44"/>
      <c r="J848" s="44"/>
      <c r="K848" s="44"/>
      <c r="L848" s="44"/>
    </row>
    <row r="849" ht="15.75" customHeight="1">
      <c r="B849" s="43"/>
      <c r="C849" s="43"/>
      <c r="D849" s="44"/>
      <c r="E849" s="44"/>
      <c r="F849" s="44"/>
      <c r="G849" s="44"/>
      <c r="H849" s="44"/>
      <c r="I849" s="44"/>
      <c r="J849" s="44"/>
      <c r="K849" s="44"/>
      <c r="L849" s="44"/>
    </row>
    <row r="850" ht="15.75" customHeight="1">
      <c r="B850" s="43"/>
      <c r="C850" s="43"/>
      <c r="D850" s="44"/>
      <c r="E850" s="44"/>
      <c r="F850" s="44"/>
      <c r="G850" s="44"/>
      <c r="H850" s="44"/>
      <c r="I850" s="44"/>
      <c r="J850" s="44"/>
      <c r="K850" s="44"/>
      <c r="L850" s="44"/>
    </row>
    <row r="851" ht="15.75" customHeight="1">
      <c r="B851" s="43"/>
      <c r="C851" s="43"/>
      <c r="D851" s="44"/>
      <c r="E851" s="44"/>
      <c r="F851" s="44"/>
      <c r="G851" s="44"/>
      <c r="H851" s="44"/>
      <c r="I851" s="44"/>
      <c r="J851" s="44"/>
      <c r="K851" s="44"/>
      <c r="L851" s="44"/>
    </row>
    <row r="852" ht="15.75" customHeight="1">
      <c r="B852" s="43"/>
      <c r="C852" s="43"/>
      <c r="D852" s="44"/>
      <c r="E852" s="44"/>
      <c r="F852" s="44"/>
      <c r="G852" s="44"/>
      <c r="H852" s="44"/>
      <c r="I852" s="44"/>
      <c r="J852" s="44"/>
      <c r="K852" s="44"/>
      <c r="L852" s="44"/>
    </row>
    <row r="853" ht="15.75" customHeight="1">
      <c r="B853" s="43"/>
      <c r="C853" s="43"/>
      <c r="D853" s="44"/>
      <c r="E853" s="44"/>
      <c r="F853" s="44"/>
      <c r="G853" s="44"/>
      <c r="H853" s="44"/>
      <c r="I853" s="44"/>
      <c r="J853" s="44"/>
      <c r="K853" s="44"/>
      <c r="L853" s="44"/>
    </row>
    <row r="854" ht="15.75" customHeight="1">
      <c r="B854" s="43"/>
      <c r="C854" s="43"/>
      <c r="D854" s="44"/>
      <c r="E854" s="44"/>
      <c r="F854" s="44"/>
      <c r="G854" s="44"/>
      <c r="H854" s="44"/>
      <c r="I854" s="44"/>
      <c r="J854" s="44"/>
      <c r="K854" s="44"/>
      <c r="L854" s="44"/>
    </row>
    <row r="855" ht="15.75" customHeight="1">
      <c r="B855" s="43"/>
      <c r="C855" s="43"/>
      <c r="D855" s="44"/>
      <c r="E855" s="44"/>
      <c r="F855" s="44"/>
      <c r="G855" s="44"/>
      <c r="H855" s="44"/>
      <c r="I855" s="44"/>
      <c r="J855" s="44"/>
      <c r="K855" s="44"/>
      <c r="L855" s="44"/>
    </row>
    <row r="856" ht="15.75" customHeight="1">
      <c r="B856" s="43"/>
      <c r="C856" s="43"/>
      <c r="D856" s="44"/>
      <c r="E856" s="44"/>
      <c r="F856" s="44"/>
      <c r="G856" s="44"/>
      <c r="H856" s="44"/>
      <c r="I856" s="44"/>
      <c r="J856" s="44"/>
      <c r="K856" s="44"/>
      <c r="L856" s="44"/>
    </row>
    <row r="857" ht="15.75" customHeight="1">
      <c r="B857" s="43"/>
      <c r="C857" s="43"/>
      <c r="D857" s="44"/>
      <c r="E857" s="44"/>
      <c r="F857" s="44"/>
      <c r="G857" s="44"/>
      <c r="H857" s="44"/>
      <c r="I857" s="44"/>
      <c r="J857" s="44"/>
      <c r="K857" s="44"/>
      <c r="L857" s="44"/>
    </row>
    <row r="858" ht="15.75" customHeight="1">
      <c r="B858" s="43"/>
      <c r="C858" s="43"/>
      <c r="D858" s="44"/>
      <c r="E858" s="44"/>
      <c r="F858" s="44"/>
      <c r="G858" s="44"/>
      <c r="H858" s="44"/>
      <c r="I858" s="44"/>
      <c r="J858" s="44"/>
      <c r="K858" s="44"/>
      <c r="L858" s="44"/>
    </row>
    <row r="859" ht="15.75" customHeight="1">
      <c r="B859" s="43"/>
      <c r="C859" s="43"/>
      <c r="D859" s="44"/>
      <c r="E859" s="44"/>
      <c r="F859" s="44"/>
      <c r="G859" s="44"/>
      <c r="H859" s="44"/>
      <c r="I859" s="44"/>
      <c r="J859" s="44"/>
      <c r="K859" s="44"/>
      <c r="L859" s="44"/>
    </row>
    <row r="860" ht="15.75" customHeight="1">
      <c r="B860" s="43"/>
      <c r="C860" s="43"/>
      <c r="D860" s="44"/>
      <c r="E860" s="44"/>
      <c r="F860" s="44"/>
      <c r="G860" s="44"/>
      <c r="H860" s="44"/>
      <c r="I860" s="44"/>
      <c r="J860" s="44"/>
      <c r="K860" s="44"/>
      <c r="L860" s="44"/>
    </row>
    <row r="861" ht="15.75" customHeight="1">
      <c r="B861" s="43"/>
      <c r="C861" s="43"/>
      <c r="D861" s="44"/>
      <c r="E861" s="44"/>
      <c r="F861" s="44"/>
      <c r="G861" s="44"/>
      <c r="H861" s="44"/>
      <c r="I861" s="44"/>
      <c r="J861" s="44"/>
      <c r="K861" s="44"/>
      <c r="L861" s="44"/>
    </row>
    <row r="862" ht="15.75" customHeight="1">
      <c r="B862" s="43"/>
      <c r="C862" s="43"/>
      <c r="D862" s="44"/>
      <c r="E862" s="44"/>
      <c r="F862" s="44"/>
      <c r="G862" s="44"/>
      <c r="H862" s="44"/>
      <c r="I862" s="44"/>
      <c r="J862" s="44"/>
      <c r="K862" s="44"/>
      <c r="L862" s="44"/>
    </row>
    <row r="863" ht="15.75" customHeight="1">
      <c r="B863" s="43"/>
      <c r="C863" s="43"/>
      <c r="D863" s="44"/>
      <c r="E863" s="44"/>
      <c r="F863" s="44"/>
      <c r="G863" s="44"/>
      <c r="H863" s="44"/>
      <c r="I863" s="44"/>
      <c r="J863" s="44"/>
      <c r="K863" s="44"/>
      <c r="L863" s="44"/>
    </row>
    <row r="864" ht="15.75" customHeight="1">
      <c r="B864" s="43"/>
      <c r="C864" s="43"/>
      <c r="D864" s="44"/>
      <c r="E864" s="44"/>
      <c r="F864" s="44"/>
      <c r="G864" s="44"/>
      <c r="H864" s="44"/>
      <c r="I864" s="44"/>
      <c r="J864" s="44"/>
      <c r="K864" s="44"/>
      <c r="L864" s="44"/>
    </row>
    <row r="865" ht="15.75" customHeight="1">
      <c r="B865" s="43"/>
      <c r="C865" s="43"/>
      <c r="D865" s="44"/>
      <c r="E865" s="44"/>
      <c r="F865" s="44"/>
      <c r="G865" s="44"/>
      <c r="H865" s="44"/>
      <c r="I865" s="44"/>
      <c r="J865" s="44"/>
      <c r="K865" s="44"/>
      <c r="L865" s="44"/>
    </row>
    <row r="866" ht="15.75" customHeight="1">
      <c r="B866" s="43"/>
      <c r="C866" s="43"/>
      <c r="D866" s="44"/>
      <c r="E866" s="44"/>
      <c r="F866" s="44"/>
      <c r="G866" s="44"/>
      <c r="H866" s="44"/>
      <c r="I866" s="44"/>
      <c r="J866" s="44"/>
      <c r="K866" s="44"/>
      <c r="L866" s="44"/>
    </row>
    <row r="867" ht="15.75" customHeight="1">
      <c r="B867" s="43"/>
      <c r="C867" s="43"/>
      <c r="D867" s="44"/>
      <c r="E867" s="44"/>
      <c r="F867" s="44"/>
      <c r="G867" s="44"/>
      <c r="H867" s="44"/>
      <c r="I867" s="44"/>
      <c r="J867" s="44"/>
      <c r="K867" s="44"/>
      <c r="L867" s="44"/>
    </row>
    <row r="868" ht="15.75" customHeight="1">
      <c r="B868" s="43"/>
      <c r="C868" s="43"/>
      <c r="D868" s="44"/>
      <c r="E868" s="44"/>
      <c r="F868" s="44"/>
      <c r="G868" s="44"/>
      <c r="H868" s="44"/>
      <c r="I868" s="44"/>
      <c r="J868" s="44"/>
      <c r="K868" s="44"/>
      <c r="L868" s="44"/>
    </row>
    <row r="869" ht="15.75" customHeight="1">
      <c r="B869" s="43"/>
      <c r="C869" s="43"/>
      <c r="D869" s="44"/>
      <c r="E869" s="44"/>
      <c r="F869" s="44"/>
      <c r="G869" s="44"/>
      <c r="H869" s="44"/>
      <c r="I869" s="44"/>
      <c r="J869" s="44"/>
      <c r="K869" s="44"/>
      <c r="L869" s="44"/>
    </row>
    <row r="870" ht="15.75" customHeight="1">
      <c r="B870" s="43"/>
      <c r="C870" s="43"/>
      <c r="D870" s="44"/>
      <c r="E870" s="44"/>
      <c r="F870" s="44"/>
      <c r="G870" s="44"/>
      <c r="H870" s="44"/>
      <c r="I870" s="44"/>
      <c r="J870" s="44"/>
      <c r="K870" s="44"/>
      <c r="L870" s="44"/>
    </row>
    <row r="871" ht="15.75" customHeight="1">
      <c r="B871" s="43"/>
      <c r="C871" s="43"/>
      <c r="D871" s="44"/>
      <c r="E871" s="44"/>
      <c r="F871" s="44"/>
      <c r="G871" s="44"/>
      <c r="H871" s="44"/>
      <c r="I871" s="44"/>
      <c r="J871" s="44"/>
      <c r="K871" s="44"/>
      <c r="L871" s="44"/>
    </row>
    <row r="872" ht="15.75" customHeight="1">
      <c r="B872" s="43"/>
      <c r="C872" s="43"/>
      <c r="D872" s="44"/>
      <c r="E872" s="44"/>
      <c r="F872" s="44"/>
      <c r="G872" s="44"/>
      <c r="H872" s="44"/>
      <c r="I872" s="44"/>
      <c r="J872" s="44"/>
      <c r="K872" s="44"/>
      <c r="L872" s="44"/>
    </row>
    <row r="873" ht="15.75" customHeight="1">
      <c r="B873" s="43"/>
      <c r="C873" s="43"/>
      <c r="D873" s="44"/>
      <c r="E873" s="44"/>
      <c r="F873" s="44"/>
      <c r="G873" s="44"/>
      <c r="H873" s="44"/>
      <c r="I873" s="44"/>
      <c r="J873" s="44"/>
      <c r="K873" s="44"/>
      <c r="L873" s="44"/>
    </row>
    <row r="874" ht="15.75" customHeight="1">
      <c r="B874" s="43"/>
      <c r="C874" s="43"/>
      <c r="D874" s="44"/>
      <c r="E874" s="44"/>
      <c r="F874" s="44"/>
      <c r="G874" s="44"/>
      <c r="H874" s="44"/>
      <c r="I874" s="44"/>
      <c r="J874" s="44"/>
      <c r="K874" s="44"/>
      <c r="L874" s="44"/>
    </row>
    <row r="875" ht="15.75" customHeight="1">
      <c r="B875" s="43"/>
      <c r="C875" s="43"/>
      <c r="D875" s="44"/>
      <c r="E875" s="44"/>
      <c r="F875" s="44"/>
      <c r="G875" s="44"/>
      <c r="H875" s="44"/>
      <c r="I875" s="44"/>
      <c r="J875" s="44"/>
      <c r="K875" s="44"/>
      <c r="L875" s="44"/>
    </row>
    <row r="876" ht="15.75" customHeight="1">
      <c r="B876" s="43"/>
      <c r="C876" s="43"/>
      <c r="D876" s="44"/>
      <c r="E876" s="44"/>
      <c r="F876" s="44"/>
      <c r="G876" s="44"/>
      <c r="H876" s="44"/>
      <c r="I876" s="44"/>
      <c r="J876" s="44"/>
      <c r="K876" s="44"/>
      <c r="L876" s="44"/>
    </row>
    <row r="877" ht="15.75" customHeight="1">
      <c r="B877" s="43"/>
      <c r="C877" s="43"/>
      <c r="D877" s="44"/>
      <c r="E877" s="44"/>
      <c r="F877" s="44"/>
      <c r="G877" s="44"/>
      <c r="H877" s="44"/>
      <c r="I877" s="44"/>
      <c r="J877" s="44"/>
      <c r="K877" s="44"/>
      <c r="L877" s="44"/>
    </row>
    <row r="878" ht="15.75" customHeight="1">
      <c r="B878" s="43"/>
      <c r="C878" s="43"/>
      <c r="D878" s="44"/>
      <c r="E878" s="44"/>
      <c r="F878" s="44"/>
      <c r="G878" s="44"/>
      <c r="H878" s="44"/>
      <c r="I878" s="44"/>
      <c r="J878" s="44"/>
      <c r="K878" s="44"/>
      <c r="L878" s="44"/>
    </row>
    <row r="879" ht="15.75" customHeight="1">
      <c r="B879" s="43"/>
      <c r="C879" s="43"/>
      <c r="D879" s="44"/>
      <c r="E879" s="44"/>
      <c r="F879" s="44"/>
      <c r="G879" s="44"/>
      <c r="H879" s="44"/>
      <c r="I879" s="44"/>
      <c r="J879" s="44"/>
      <c r="K879" s="44"/>
      <c r="L879" s="44"/>
    </row>
    <row r="880" ht="15.75" customHeight="1">
      <c r="B880" s="43"/>
      <c r="C880" s="43"/>
      <c r="D880" s="44"/>
      <c r="E880" s="44"/>
      <c r="F880" s="44"/>
      <c r="G880" s="44"/>
      <c r="H880" s="44"/>
      <c r="I880" s="44"/>
      <c r="J880" s="44"/>
      <c r="K880" s="44"/>
      <c r="L880" s="44"/>
    </row>
    <row r="881" ht="15.75" customHeight="1">
      <c r="B881" s="43"/>
      <c r="C881" s="43"/>
      <c r="D881" s="44"/>
      <c r="E881" s="44"/>
      <c r="F881" s="44"/>
      <c r="G881" s="44"/>
      <c r="H881" s="44"/>
      <c r="I881" s="44"/>
      <c r="J881" s="44"/>
      <c r="K881" s="44"/>
      <c r="L881" s="44"/>
    </row>
    <row r="882" ht="15.75" customHeight="1">
      <c r="B882" s="43"/>
      <c r="C882" s="43"/>
      <c r="D882" s="44"/>
      <c r="E882" s="44"/>
      <c r="F882" s="44"/>
      <c r="G882" s="44"/>
      <c r="H882" s="44"/>
      <c r="I882" s="44"/>
      <c r="J882" s="44"/>
      <c r="K882" s="44"/>
      <c r="L882" s="44"/>
    </row>
    <row r="883" ht="15.75" customHeight="1">
      <c r="B883" s="43"/>
      <c r="C883" s="43"/>
      <c r="D883" s="44"/>
      <c r="E883" s="44"/>
      <c r="F883" s="44"/>
      <c r="G883" s="44"/>
      <c r="H883" s="44"/>
      <c r="I883" s="44"/>
      <c r="J883" s="44"/>
      <c r="K883" s="44"/>
      <c r="L883" s="44"/>
    </row>
    <row r="884" ht="15.75" customHeight="1">
      <c r="B884" s="43"/>
      <c r="C884" s="43"/>
      <c r="D884" s="44"/>
      <c r="E884" s="44"/>
      <c r="F884" s="44"/>
      <c r="G884" s="44"/>
      <c r="H884" s="44"/>
      <c r="I884" s="44"/>
      <c r="J884" s="44"/>
      <c r="K884" s="44"/>
      <c r="L884" s="44"/>
    </row>
    <row r="885" ht="15.75" customHeight="1">
      <c r="B885" s="43"/>
      <c r="C885" s="43"/>
      <c r="D885" s="44"/>
      <c r="E885" s="44"/>
      <c r="F885" s="44"/>
      <c r="G885" s="44"/>
      <c r="H885" s="44"/>
      <c r="I885" s="44"/>
      <c r="J885" s="44"/>
      <c r="K885" s="44"/>
      <c r="L885" s="44"/>
    </row>
    <row r="886" ht="15.75" customHeight="1">
      <c r="B886" s="43"/>
      <c r="C886" s="43"/>
      <c r="D886" s="44"/>
      <c r="E886" s="44"/>
      <c r="F886" s="44"/>
      <c r="G886" s="44"/>
      <c r="H886" s="44"/>
      <c r="I886" s="44"/>
      <c r="J886" s="44"/>
      <c r="K886" s="44"/>
      <c r="L886" s="44"/>
    </row>
    <row r="887" ht="15.75" customHeight="1">
      <c r="B887" s="43"/>
      <c r="C887" s="43"/>
      <c r="D887" s="44"/>
      <c r="E887" s="44"/>
      <c r="F887" s="44"/>
      <c r="G887" s="44"/>
      <c r="H887" s="44"/>
      <c r="I887" s="44"/>
      <c r="J887" s="44"/>
      <c r="K887" s="44"/>
      <c r="L887" s="44"/>
    </row>
    <row r="888" ht="15.75" customHeight="1">
      <c r="B888" s="43"/>
      <c r="C888" s="43"/>
      <c r="D888" s="44"/>
      <c r="E888" s="44"/>
      <c r="F888" s="44"/>
      <c r="G888" s="44"/>
      <c r="H888" s="44"/>
      <c r="I888" s="44"/>
      <c r="J888" s="44"/>
      <c r="K888" s="44"/>
      <c r="L888" s="44"/>
    </row>
    <row r="889" ht="15.75" customHeight="1">
      <c r="B889" s="43"/>
      <c r="C889" s="43"/>
      <c r="D889" s="44"/>
      <c r="E889" s="44"/>
      <c r="F889" s="44"/>
      <c r="G889" s="44"/>
      <c r="H889" s="44"/>
      <c r="I889" s="44"/>
      <c r="J889" s="44"/>
      <c r="K889" s="44"/>
      <c r="L889" s="44"/>
    </row>
    <row r="890" ht="15.75" customHeight="1">
      <c r="B890" s="43"/>
      <c r="C890" s="43"/>
      <c r="D890" s="44"/>
      <c r="E890" s="44"/>
      <c r="F890" s="44"/>
      <c r="G890" s="44"/>
      <c r="H890" s="44"/>
      <c r="I890" s="44"/>
      <c r="J890" s="44"/>
      <c r="K890" s="44"/>
      <c r="L890" s="44"/>
    </row>
    <row r="891" ht="15.75" customHeight="1">
      <c r="B891" s="43"/>
      <c r="C891" s="43"/>
      <c r="D891" s="44"/>
      <c r="E891" s="44"/>
      <c r="F891" s="44"/>
      <c r="G891" s="44"/>
      <c r="H891" s="44"/>
      <c r="I891" s="44"/>
      <c r="J891" s="44"/>
      <c r="K891" s="44"/>
      <c r="L891" s="44"/>
    </row>
    <row r="892" ht="15.75" customHeight="1">
      <c r="B892" s="43"/>
      <c r="C892" s="43"/>
      <c r="D892" s="44"/>
      <c r="E892" s="44"/>
      <c r="F892" s="44"/>
      <c r="G892" s="44"/>
      <c r="H892" s="44"/>
      <c r="I892" s="44"/>
      <c r="J892" s="44"/>
      <c r="K892" s="44"/>
      <c r="L892" s="44"/>
    </row>
    <row r="893" ht="15.75" customHeight="1">
      <c r="B893" s="43"/>
      <c r="C893" s="43"/>
      <c r="D893" s="44"/>
      <c r="E893" s="44"/>
      <c r="F893" s="44"/>
      <c r="G893" s="44"/>
      <c r="H893" s="44"/>
      <c r="I893" s="44"/>
      <c r="J893" s="44"/>
      <c r="K893" s="44"/>
      <c r="L893" s="44"/>
    </row>
    <row r="894" ht="15.75" customHeight="1">
      <c r="B894" s="43"/>
      <c r="C894" s="43"/>
      <c r="D894" s="44"/>
      <c r="E894" s="44"/>
      <c r="F894" s="44"/>
      <c r="G894" s="44"/>
      <c r="H894" s="44"/>
      <c r="I894" s="44"/>
      <c r="J894" s="44"/>
      <c r="K894" s="44"/>
      <c r="L894" s="44"/>
    </row>
    <row r="895" ht="15.75" customHeight="1">
      <c r="B895" s="43"/>
      <c r="C895" s="43"/>
      <c r="D895" s="44"/>
      <c r="E895" s="44"/>
      <c r="F895" s="44"/>
      <c r="G895" s="44"/>
      <c r="H895" s="44"/>
      <c r="I895" s="44"/>
      <c r="J895" s="44"/>
      <c r="K895" s="44"/>
      <c r="L895" s="44"/>
    </row>
    <row r="896" ht="15.75" customHeight="1">
      <c r="B896" s="43"/>
      <c r="C896" s="43"/>
      <c r="D896" s="44"/>
      <c r="E896" s="44"/>
      <c r="F896" s="44"/>
      <c r="G896" s="44"/>
      <c r="H896" s="44"/>
      <c r="I896" s="44"/>
      <c r="J896" s="44"/>
      <c r="K896" s="44"/>
      <c r="L896" s="44"/>
    </row>
    <row r="897" ht="15.75" customHeight="1">
      <c r="B897" s="43"/>
      <c r="C897" s="43"/>
      <c r="D897" s="44"/>
      <c r="E897" s="44"/>
      <c r="F897" s="44"/>
      <c r="G897" s="44"/>
      <c r="H897" s="44"/>
      <c r="I897" s="44"/>
      <c r="J897" s="44"/>
      <c r="K897" s="44"/>
      <c r="L897" s="44"/>
    </row>
    <row r="898" ht="15.75" customHeight="1">
      <c r="B898" s="43"/>
      <c r="C898" s="43"/>
      <c r="D898" s="44"/>
      <c r="E898" s="44"/>
      <c r="F898" s="44"/>
      <c r="G898" s="44"/>
      <c r="H898" s="44"/>
      <c r="I898" s="44"/>
      <c r="J898" s="44"/>
      <c r="K898" s="44"/>
      <c r="L898" s="44"/>
    </row>
    <row r="899" ht="15.75" customHeight="1">
      <c r="B899" s="43"/>
      <c r="C899" s="43"/>
      <c r="D899" s="44"/>
      <c r="E899" s="44"/>
      <c r="F899" s="44"/>
      <c r="G899" s="44"/>
      <c r="H899" s="44"/>
      <c r="I899" s="44"/>
      <c r="J899" s="44"/>
      <c r="K899" s="44"/>
      <c r="L899" s="44"/>
    </row>
    <row r="900" ht="15.75" customHeight="1">
      <c r="B900" s="43"/>
      <c r="C900" s="43"/>
      <c r="D900" s="44"/>
      <c r="E900" s="44"/>
      <c r="F900" s="44"/>
      <c r="G900" s="44"/>
      <c r="H900" s="44"/>
      <c r="I900" s="44"/>
      <c r="J900" s="44"/>
      <c r="K900" s="44"/>
      <c r="L900" s="44"/>
    </row>
    <row r="901" ht="15.75" customHeight="1">
      <c r="B901" s="43"/>
      <c r="C901" s="43"/>
      <c r="D901" s="44"/>
      <c r="E901" s="44"/>
      <c r="F901" s="44"/>
      <c r="G901" s="44"/>
      <c r="H901" s="44"/>
      <c r="I901" s="44"/>
      <c r="J901" s="44"/>
      <c r="K901" s="44"/>
      <c r="L901" s="44"/>
    </row>
    <row r="902" ht="15.75" customHeight="1">
      <c r="B902" s="43"/>
      <c r="C902" s="43"/>
      <c r="D902" s="44"/>
      <c r="E902" s="44"/>
      <c r="F902" s="44"/>
      <c r="G902" s="44"/>
      <c r="H902" s="44"/>
      <c r="I902" s="44"/>
      <c r="J902" s="44"/>
      <c r="K902" s="44"/>
      <c r="L902" s="44"/>
    </row>
    <row r="903" ht="15.75" customHeight="1">
      <c r="B903" s="43"/>
      <c r="C903" s="43"/>
      <c r="D903" s="44"/>
      <c r="E903" s="44"/>
      <c r="F903" s="44"/>
      <c r="G903" s="44"/>
      <c r="H903" s="44"/>
      <c r="I903" s="44"/>
      <c r="J903" s="44"/>
      <c r="K903" s="44"/>
      <c r="L903" s="44"/>
    </row>
    <row r="904" ht="15.75" customHeight="1">
      <c r="B904" s="43"/>
      <c r="C904" s="43"/>
      <c r="D904" s="44"/>
      <c r="E904" s="44"/>
      <c r="F904" s="44"/>
      <c r="G904" s="44"/>
      <c r="H904" s="44"/>
      <c r="I904" s="44"/>
      <c r="J904" s="44"/>
      <c r="K904" s="44"/>
      <c r="L904" s="44"/>
    </row>
    <row r="905" ht="15.75" customHeight="1">
      <c r="B905" s="43"/>
      <c r="C905" s="43"/>
      <c r="D905" s="44"/>
      <c r="E905" s="44"/>
      <c r="F905" s="44"/>
      <c r="G905" s="44"/>
      <c r="H905" s="44"/>
      <c r="I905" s="44"/>
      <c r="J905" s="44"/>
      <c r="K905" s="44"/>
      <c r="L905" s="44"/>
    </row>
    <row r="906" ht="15.75" customHeight="1">
      <c r="B906" s="43"/>
      <c r="C906" s="43"/>
      <c r="D906" s="44"/>
      <c r="E906" s="44"/>
      <c r="F906" s="44"/>
      <c r="G906" s="44"/>
      <c r="H906" s="44"/>
      <c r="I906" s="44"/>
      <c r="J906" s="44"/>
      <c r="K906" s="44"/>
      <c r="L906" s="44"/>
    </row>
    <row r="907" ht="15.75" customHeight="1">
      <c r="B907" s="43"/>
      <c r="C907" s="43"/>
      <c r="D907" s="44"/>
      <c r="E907" s="44"/>
      <c r="F907" s="44"/>
      <c r="G907" s="44"/>
      <c r="H907" s="44"/>
      <c r="I907" s="44"/>
      <c r="J907" s="44"/>
      <c r="K907" s="44"/>
      <c r="L907" s="44"/>
    </row>
    <row r="908" ht="15.75" customHeight="1">
      <c r="B908" s="43"/>
      <c r="C908" s="43"/>
      <c r="D908" s="44"/>
      <c r="E908" s="44"/>
      <c r="F908" s="44"/>
      <c r="G908" s="44"/>
      <c r="H908" s="44"/>
      <c r="I908" s="44"/>
      <c r="J908" s="44"/>
      <c r="K908" s="44"/>
      <c r="L908" s="44"/>
    </row>
    <row r="909" ht="15.75" customHeight="1">
      <c r="B909" s="43"/>
      <c r="C909" s="43"/>
      <c r="D909" s="44"/>
      <c r="E909" s="44"/>
      <c r="F909" s="44"/>
      <c r="G909" s="44"/>
      <c r="H909" s="44"/>
      <c r="I909" s="44"/>
      <c r="J909" s="44"/>
      <c r="K909" s="44"/>
      <c r="L909" s="44"/>
    </row>
    <row r="910" ht="15.75" customHeight="1">
      <c r="B910" s="43"/>
      <c r="C910" s="43"/>
      <c r="D910" s="44"/>
      <c r="E910" s="44"/>
      <c r="F910" s="44"/>
      <c r="G910" s="44"/>
      <c r="H910" s="44"/>
      <c r="I910" s="44"/>
      <c r="J910" s="44"/>
      <c r="K910" s="44"/>
      <c r="L910" s="44"/>
    </row>
    <row r="911" ht="15.75" customHeight="1">
      <c r="B911" s="43"/>
      <c r="C911" s="43"/>
      <c r="D911" s="44"/>
      <c r="E911" s="44"/>
      <c r="F911" s="44"/>
      <c r="G911" s="44"/>
      <c r="H911" s="44"/>
      <c r="I911" s="44"/>
      <c r="J911" s="44"/>
      <c r="K911" s="44"/>
      <c r="L911" s="44"/>
    </row>
    <row r="912" ht="15.75" customHeight="1">
      <c r="B912" s="43"/>
      <c r="C912" s="43"/>
      <c r="D912" s="44"/>
      <c r="E912" s="44"/>
      <c r="F912" s="44"/>
      <c r="G912" s="44"/>
      <c r="H912" s="44"/>
      <c r="I912" s="44"/>
      <c r="J912" s="44"/>
      <c r="K912" s="44"/>
      <c r="L912" s="44"/>
    </row>
    <row r="913" ht="15.75" customHeight="1">
      <c r="B913" s="43"/>
      <c r="C913" s="43"/>
      <c r="D913" s="44"/>
      <c r="E913" s="44"/>
      <c r="F913" s="44"/>
      <c r="G913" s="44"/>
      <c r="H913" s="44"/>
      <c r="I913" s="44"/>
      <c r="J913" s="44"/>
      <c r="K913" s="44"/>
      <c r="L913" s="44"/>
    </row>
    <row r="914" ht="15.75" customHeight="1">
      <c r="B914" s="43"/>
      <c r="C914" s="43"/>
      <c r="D914" s="44"/>
      <c r="E914" s="44"/>
      <c r="F914" s="44"/>
      <c r="G914" s="44"/>
      <c r="H914" s="44"/>
      <c r="I914" s="44"/>
      <c r="J914" s="44"/>
      <c r="K914" s="44"/>
      <c r="L914" s="44"/>
    </row>
    <row r="915" ht="15.75" customHeight="1">
      <c r="B915" s="43"/>
      <c r="C915" s="43"/>
      <c r="D915" s="44"/>
      <c r="E915" s="44"/>
      <c r="F915" s="44"/>
      <c r="G915" s="44"/>
      <c r="H915" s="44"/>
      <c r="I915" s="44"/>
      <c r="J915" s="44"/>
      <c r="K915" s="44"/>
      <c r="L915" s="44"/>
    </row>
    <row r="916" ht="15.75" customHeight="1">
      <c r="B916" s="43"/>
      <c r="C916" s="43"/>
      <c r="D916" s="44"/>
      <c r="E916" s="44"/>
      <c r="F916" s="44"/>
      <c r="G916" s="44"/>
      <c r="H916" s="44"/>
      <c r="I916" s="44"/>
      <c r="J916" s="44"/>
      <c r="K916" s="44"/>
      <c r="L916" s="44"/>
    </row>
    <row r="917" ht="15.75" customHeight="1">
      <c r="B917" s="43"/>
      <c r="C917" s="43"/>
      <c r="D917" s="44"/>
      <c r="E917" s="44"/>
      <c r="F917" s="44"/>
      <c r="G917" s="44"/>
      <c r="H917" s="44"/>
      <c r="I917" s="44"/>
      <c r="J917" s="44"/>
      <c r="K917" s="44"/>
      <c r="L917" s="44"/>
    </row>
    <row r="918" ht="15.75" customHeight="1">
      <c r="B918" s="43"/>
      <c r="C918" s="43"/>
      <c r="D918" s="44"/>
      <c r="E918" s="44"/>
      <c r="F918" s="44"/>
      <c r="G918" s="44"/>
      <c r="H918" s="44"/>
      <c r="I918" s="44"/>
      <c r="J918" s="44"/>
      <c r="K918" s="44"/>
      <c r="L918" s="44"/>
    </row>
    <row r="919" ht="15.75" customHeight="1">
      <c r="B919" s="43"/>
      <c r="C919" s="43"/>
      <c r="D919" s="44"/>
      <c r="E919" s="44"/>
      <c r="F919" s="44"/>
      <c r="G919" s="44"/>
      <c r="H919" s="44"/>
      <c r="I919" s="44"/>
      <c r="J919" s="44"/>
      <c r="K919" s="44"/>
      <c r="L919" s="44"/>
    </row>
    <row r="920" ht="15.75" customHeight="1">
      <c r="B920" s="43"/>
      <c r="C920" s="43"/>
      <c r="D920" s="44"/>
      <c r="E920" s="44"/>
      <c r="F920" s="44"/>
      <c r="G920" s="44"/>
      <c r="H920" s="44"/>
      <c r="I920" s="44"/>
      <c r="J920" s="44"/>
      <c r="K920" s="44"/>
      <c r="L920" s="44"/>
    </row>
    <row r="921" ht="15.75" customHeight="1">
      <c r="B921" s="43"/>
      <c r="C921" s="43"/>
      <c r="D921" s="44"/>
      <c r="E921" s="44"/>
      <c r="F921" s="44"/>
      <c r="G921" s="44"/>
      <c r="H921" s="44"/>
      <c r="I921" s="44"/>
      <c r="J921" s="44"/>
      <c r="K921" s="44"/>
      <c r="L921" s="44"/>
    </row>
    <row r="922" ht="15.75" customHeight="1">
      <c r="B922" s="43"/>
      <c r="C922" s="43"/>
      <c r="D922" s="44"/>
      <c r="E922" s="44"/>
      <c r="F922" s="44"/>
      <c r="G922" s="44"/>
      <c r="H922" s="44"/>
      <c r="I922" s="44"/>
      <c r="J922" s="44"/>
      <c r="K922" s="44"/>
      <c r="L922" s="44"/>
    </row>
    <row r="923" ht="15.75" customHeight="1">
      <c r="B923" s="43"/>
      <c r="C923" s="43"/>
      <c r="D923" s="44"/>
      <c r="E923" s="44"/>
      <c r="F923" s="44"/>
      <c r="G923" s="44"/>
      <c r="H923" s="44"/>
      <c r="I923" s="44"/>
      <c r="J923" s="44"/>
      <c r="K923" s="44"/>
      <c r="L923" s="44"/>
    </row>
    <row r="924" ht="15.75" customHeight="1">
      <c r="B924" s="43"/>
      <c r="C924" s="43"/>
      <c r="D924" s="44"/>
      <c r="E924" s="44"/>
      <c r="F924" s="44"/>
      <c r="G924" s="44"/>
      <c r="H924" s="44"/>
      <c r="I924" s="44"/>
      <c r="J924" s="44"/>
      <c r="K924" s="44"/>
      <c r="L924" s="44"/>
    </row>
    <row r="925" ht="15.75" customHeight="1">
      <c r="B925" s="43"/>
      <c r="C925" s="43"/>
      <c r="D925" s="44"/>
      <c r="E925" s="44"/>
      <c r="F925" s="44"/>
      <c r="G925" s="44"/>
      <c r="H925" s="44"/>
      <c r="I925" s="44"/>
      <c r="J925" s="44"/>
      <c r="K925" s="44"/>
      <c r="L925" s="44"/>
    </row>
    <row r="926" ht="15.75" customHeight="1">
      <c r="B926" s="43"/>
      <c r="C926" s="43"/>
      <c r="D926" s="44"/>
      <c r="E926" s="44"/>
      <c r="F926" s="44"/>
      <c r="G926" s="44"/>
      <c r="H926" s="44"/>
      <c r="I926" s="44"/>
      <c r="J926" s="44"/>
      <c r="K926" s="44"/>
      <c r="L926" s="44"/>
    </row>
    <row r="927" ht="15.75" customHeight="1">
      <c r="B927" s="43"/>
      <c r="C927" s="43"/>
      <c r="D927" s="44"/>
      <c r="E927" s="44"/>
      <c r="F927" s="44"/>
      <c r="G927" s="44"/>
      <c r="H927" s="44"/>
      <c r="I927" s="44"/>
      <c r="J927" s="44"/>
      <c r="K927" s="44"/>
      <c r="L927" s="44"/>
    </row>
    <row r="928" ht="15.75" customHeight="1">
      <c r="B928" s="43"/>
      <c r="C928" s="43"/>
      <c r="D928" s="44"/>
      <c r="E928" s="44"/>
      <c r="F928" s="44"/>
      <c r="G928" s="44"/>
      <c r="H928" s="44"/>
      <c r="I928" s="44"/>
      <c r="J928" s="44"/>
      <c r="K928" s="44"/>
      <c r="L928" s="44"/>
    </row>
    <row r="929" ht="15.75" customHeight="1">
      <c r="B929" s="43"/>
      <c r="C929" s="43"/>
      <c r="D929" s="44"/>
      <c r="E929" s="44"/>
      <c r="F929" s="44"/>
      <c r="G929" s="44"/>
      <c r="H929" s="44"/>
      <c r="I929" s="44"/>
      <c r="J929" s="44"/>
      <c r="K929" s="44"/>
      <c r="L929" s="44"/>
    </row>
    <row r="930" ht="15.75" customHeight="1">
      <c r="B930" s="43"/>
      <c r="C930" s="43"/>
      <c r="D930" s="44"/>
      <c r="E930" s="44"/>
      <c r="F930" s="44"/>
      <c r="G930" s="44"/>
      <c r="H930" s="44"/>
      <c r="I930" s="44"/>
      <c r="J930" s="44"/>
      <c r="K930" s="44"/>
      <c r="L930" s="44"/>
    </row>
    <row r="931" ht="15.75" customHeight="1">
      <c r="B931" s="43"/>
      <c r="C931" s="43"/>
      <c r="D931" s="44"/>
      <c r="E931" s="44"/>
      <c r="F931" s="44"/>
      <c r="G931" s="44"/>
      <c r="H931" s="44"/>
      <c r="I931" s="44"/>
      <c r="J931" s="44"/>
      <c r="K931" s="44"/>
      <c r="L931" s="44"/>
    </row>
    <row r="932" ht="15.75" customHeight="1">
      <c r="B932" s="43"/>
      <c r="C932" s="43"/>
      <c r="D932" s="44"/>
      <c r="E932" s="44"/>
      <c r="F932" s="44"/>
      <c r="G932" s="44"/>
      <c r="H932" s="44"/>
      <c r="I932" s="44"/>
      <c r="J932" s="44"/>
      <c r="K932" s="44"/>
      <c r="L932" s="44"/>
    </row>
    <row r="933" ht="15.75" customHeight="1">
      <c r="B933" s="43"/>
      <c r="C933" s="43"/>
      <c r="D933" s="44"/>
      <c r="E933" s="44"/>
      <c r="F933" s="44"/>
      <c r="G933" s="44"/>
      <c r="H933" s="44"/>
      <c r="I933" s="44"/>
      <c r="J933" s="44"/>
      <c r="K933" s="44"/>
      <c r="L933" s="44"/>
    </row>
    <row r="934" ht="15.75" customHeight="1">
      <c r="B934" s="43"/>
      <c r="C934" s="43"/>
      <c r="D934" s="44"/>
      <c r="E934" s="44"/>
      <c r="F934" s="44"/>
      <c r="G934" s="44"/>
      <c r="H934" s="44"/>
      <c r="I934" s="44"/>
      <c r="J934" s="44"/>
      <c r="K934" s="44"/>
      <c r="L934" s="44"/>
    </row>
    <row r="935" ht="15.75" customHeight="1">
      <c r="B935" s="43"/>
      <c r="C935" s="43"/>
      <c r="D935" s="44"/>
      <c r="E935" s="44"/>
      <c r="F935" s="44"/>
      <c r="G935" s="44"/>
      <c r="H935" s="44"/>
      <c r="I935" s="44"/>
      <c r="J935" s="44"/>
      <c r="K935" s="44"/>
      <c r="L935" s="44"/>
    </row>
    <row r="936" ht="15.75" customHeight="1">
      <c r="B936" s="43"/>
      <c r="C936" s="43"/>
      <c r="D936" s="44"/>
      <c r="E936" s="44"/>
      <c r="F936" s="44"/>
      <c r="G936" s="44"/>
      <c r="H936" s="44"/>
      <c r="I936" s="44"/>
      <c r="J936" s="44"/>
      <c r="K936" s="44"/>
      <c r="L936" s="44"/>
    </row>
    <row r="937" ht="15.75" customHeight="1">
      <c r="B937" s="43"/>
      <c r="C937" s="43"/>
      <c r="D937" s="44"/>
      <c r="E937" s="44"/>
      <c r="F937" s="44"/>
      <c r="G937" s="44"/>
      <c r="H937" s="44"/>
      <c r="I937" s="44"/>
      <c r="J937" s="44"/>
      <c r="K937" s="44"/>
      <c r="L937" s="44"/>
    </row>
    <row r="938" ht="15.75" customHeight="1">
      <c r="B938" s="43"/>
      <c r="C938" s="43"/>
      <c r="D938" s="44"/>
      <c r="E938" s="44"/>
      <c r="F938" s="44"/>
      <c r="G938" s="44"/>
      <c r="H938" s="44"/>
      <c r="I938" s="44"/>
      <c r="J938" s="44"/>
      <c r="K938" s="44"/>
      <c r="L938" s="44"/>
    </row>
    <row r="939" ht="15.75" customHeight="1">
      <c r="B939" s="43"/>
      <c r="C939" s="43"/>
      <c r="D939" s="44"/>
      <c r="E939" s="44"/>
      <c r="F939" s="44"/>
      <c r="G939" s="44"/>
      <c r="H939" s="44"/>
      <c r="I939" s="44"/>
      <c r="J939" s="44"/>
      <c r="K939" s="44"/>
      <c r="L939" s="44"/>
    </row>
    <row r="940" ht="15.75" customHeight="1">
      <c r="B940" s="43"/>
      <c r="C940" s="43"/>
      <c r="D940" s="44"/>
      <c r="E940" s="44"/>
      <c r="F940" s="44"/>
      <c r="G940" s="44"/>
      <c r="H940" s="44"/>
      <c r="I940" s="44"/>
      <c r="J940" s="44"/>
      <c r="K940" s="44"/>
      <c r="L940" s="44"/>
    </row>
    <row r="941" ht="15.75" customHeight="1">
      <c r="B941" s="43"/>
      <c r="C941" s="43"/>
      <c r="D941" s="44"/>
      <c r="E941" s="44"/>
      <c r="F941" s="44"/>
      <c r="G941" s="44"/>
      <c r="H941" s="44"/>
      <c r="I941" s="44"/>
      <c r="J941" s="44"/>
      <c r="K941" s="44"/>
      <c r="L941" s="44"/>
    </row>
    <row r="942" ht="15.75" customHeight="1">
      <c r="B942" s="43"/>
      <c r="C942" s="43"/>
      <c r="D942" s="44"/>
      <c r="E942" s="44"/>
      <c r="F942" s="44"/>
      <c r="G942" s="44"/>
      <c r="H942" s="44"/>
      <c r="I942" s="44"/>
      <c r="J942" s="44"/>
      <c r="K942" s="44"/>
      <c r="L942" s="44"/>
    </row>
    <row r="943" ht="15.75" customHeight="1">
      <c r="B943" s="43"/>
      <c r="C943" s="43"/>
      <c r="D943" s="44"/>
      <c r="E943" s="44"/>
      <c r="F943" s="44"/>
      <c r="G943" s="44"/>
      <c r="H943" s="44"/>
      <c r="I943" s="44"/>
      <c r="J943" s="44"/>
      <c r="K943" s="44"/>
      <c r="L943" s="44"/>
    </row>
    <row r="944" ht="15.75" customHeight="1">
      <c r="B944" s="43"/>
      <c r="C944" s="43"/>
      <c r="D944" s="44"/>
      <c r="E944" s="44"/>
      <c r="F944" s="44"/>
      <c r="G944" s="44"/>
      <c r="H944" s="44"/>
      <c r="I944" s="44"/>
      <c r="J944" s="44"/>
      <c r="K944" s="44"/>
      <c r="L944" s="44"/>
    </row>
    <row r="945" ht="15.75" customHeight="1">
      <c r="B945" s="43"/>
      <c r="C945" s="43"/>
      <c r="D945" s="44"/>
      <c r="E945" s="44"/>
      <c r="F945" s="44"/>
      <c r="G945" s="44"/>
      <c r="H945" s="44"/>
      <c r="I945" s="44"/>
      <c r="J945" s="44"/>
      <c r="K945" s="44"/>
      <c r="L945" s="44"/>
    </row>
    <row r="946" ht="15.75" customHeight="1">
      <c r="B946" s="43"/>
      <c r="C946" s="43"/>
      <c r="D946" s="44"/>
      <c r="E946" s="44"/>
      <c r="F946" s="44"/>
      <c r="G946" s="44"/>
      <c r="H946" s="44"/>
      <c r="I946" s="44"/>
      <c r="J946" s="44"/>
      <c r="K946" s="44"/>
      <c r="L946" s="44"/>
    </row>
    <row r="947" ht="15.75" customHeight="1">
      <c r="B947" s="43"/>
      <c r="C947" s="43"/>
      <c r="D947" s="44"/>
      <c r="E947" s="44"/>
      <c r="F947" s="44"/>
      <c r="G947" s="44"/>
      <c r="H947" s="44"/>
      <c r="I947" s="44"/>
      <c r="J947" s="44"/>
      <c r="K947" s="44"/>
      <c r="L947" s="44"/>
    </row>
    <row r="948" ht="15.75" customHeight="1">
      <c r="B948" s="43"/>
      <c r="C948" s="43"/>
      <c r="D948" s="44"/>
      <c r="E948" s="44"/>
      <c r="F948" s="44"/>
      <c r="G948" s="44"/>
      <c r="H948" s="44"/>
      <c r="I948" s="44"/>
      <c r="J948" s="44"/>
      <c r="K948" s="44"/>
      <c r="L948" s="44"/>
    </row>
    <row r="949" ht="15.75" customHeight="1">
      <c r="B949" s="43"/>
      <c r="C949" s="43"/>
      <c r="D949" s="44"/>
      <c r="E949" s="44"/>
      <c r="F949" s="44"/>
      <c r="G949" s="44"/>
      <c r="H949" s="44"/>
      <c r="I949" s="44"/>
      <c r="J949" s="44"/>
      <c r="K949" s="44"/>
      <c r="L949" s="44"/>
    </row>
    <row r="950" ht="15.75" customHeight="1">
      <c r="B950" s="43"/>
      <c r="C950" s="43"/>
      <c r="D950" s="44"/>
      <c r="E950" s="44"/>
      <c r="F950" s="44"/>
      <c r="G950" s="44"/>
      <c r="H950" s="44"/>
      <c r="I950" s="44"/>
      <c r="J950" s="44"/>
      <c r="K950" s="44"/>
      <c r="L950" s="44"/>
    </row>
    <row r="951" ht="15.75" customHeight="1">
      <c r="B951" s="43"/>
      <c r="C951" s="43"/>
      <c r="D951" s="44"/>
      <c r="E951" s="44"/>
      <c r="F951" s="44"/>
      <c r="G951" s="44"/>
      <c r="H951" s="44"/>
      <c r="I951" s="44"/>
      <c r="J951" s="44"/>
      <c r="K951" s="44"/>
      <c r="L951" s="44"/>
    </row>
    <row r="952" ht="15.75" customHeight="1">
      <c r="B952" s="43"/>
      <c r="C952" s="43"/>
      <c r="D952" s="44"/>
      <c r="E952" s="44"/>
      <c r="F952" s="44"/>
      <c r="G952" s="44"/>
      <c r="H952" s="44"/>
      <c r="I952" s="44"/>
      <c r="J952" s="44"/>
      <c r="K952" s="44"/>
      <c r="L952" s="44"/>
    </row>
    <row r="953" ht="15.75" customHeight="1">
      <c r="B953" s="43"/>
      <c r="C953" s="43"/>
      <c r="D953" s="44"/>
      <c r="E953" s="44"/>
      <c r="F953" s="44"/>
      <c r="G953" s="44"/>
      <c r="H953" s="44"/>
      <c r="I953" s="44"/>
      <c r="J953" s="44"/>
      <c r="K953" s="44"/>
      <c r="L953" s="44"/>
    </row>
    <row r="954" ht="15.75" customHeight="1">
      <c r="B954" s="43"/>
      <c r="C954" s="43"/>
      <c r="D954" s="44"/>
      <c r="E954" s="44"/>
      <c r="F954" s="44"/>
      <c r="G954" s="44"/>
      <c r="H954" s="44"/>
      <c r="I954" s="44"/>
      <c r="J954" s="44"/>
      <c r="K954" s="44"/>
      <c r="L954" s="44"/>
    </row>
    <row r="955" ht="15.75" customHeight="1">
      <c r="B955" s="43"/>
      <c r="C955" s="43"/>
      <c r="D955" s="44"/>
      <c r="E955" s="44"/>
      <c r="F955" s="44"/>
      <c r="G955" s="44"/>
      <c r="H955" s="44"/>
      <c r="I955" s="44"/>
      <c r="J955" s="44"/>
      <c r="K955" s="44"/>
      <c r="L955" s="44"/>
    </row>
    <row r="956" ht="15.75" customHeight="1">
      <c r="B956" s="43"/>
      <c r="C956" s="43"/>
      <c r="D956" s="44"/>
      <c r="E956" s="44"/>
      <c r="F956" s="44"/>
      <c r="G956" s="44"/>
      <c r="H956" s="44"/>
      <c r="I956" s="44"/>
      <c r="J956" s="44"/>
      <c r="K956" s="44"/>
      <c r="L956" s="44"/>
    </row>
    <row r="957" ht="15.75" customHeight="1">
      <c r="B957" s="43"/>
      <c r="C957" s="43"/>
      <c r="D957" s="44"/>
      <c r="E957" s="44"/>
      <c r="F957" s="44"/>
      <c r="G957" s="44"/>
      <c r="H957" s="44"/>
      <c r="I957" s="44"/>
      <c r="J957" s="44"/>
      <c r="K957" s="44"/>
      <c r="L957" s="44"/>
    </row>
    <row r="958" ht="15.75" customHeight="1">
      <c r="B958" s="43"/>
      <c r="C958" s="43"/>
      <c r="D958" s="44"/>
      <c r="E958" s="44"/>
      <c r="F958" s="44"/>
      <c r="G958" s="44"/>
      <c r="H958" s="44"/>
      <c r="I958" s="44"/>
      <c r="J958" s="44"/>
      <c r="K958" s="44"/>
      <c r="L958" s="44"/>
    </row>
    <row r="959" ht="15.75" customHeight="1">
      <c r="B959" s="43"/>
      <c r="C959" s="43"/>
      <c r="D959" s="44"/>
      <c r="E959" s="44"/>
      <c r="F959" s="44"/>
      <c r="G959" s="44"/>
      <c r="H959" s="44"/>
      <c r="I959" s="44"/>
      <c r="J959" s="44"/>
      <c r="K959" s="44"/>
      <c r="L959" s="44"/>
    </row>
    <row r="960" ht="15.75" customHeight="1">
      <c r="B960" s="43"/>
      <c r="C960" s="43"/>
      <c r="D960" s="44"/>
      <c r="E960" s="44"/>
      <c r="F960" s="44"/>
      <c r="G960" s="44"/>
      <c r="H960" s="44"/>
      <c r="I960" s="44"/>
      <c r="J960" s="44"/>
      <c r="K960" s="44"/>
      <c r="L960" s="44"/>
    </row>
    <row r="961" ht="15.75" customHeight="1">
      <c r="B961" s="43"/>
      <c r="C961" s="43"/>
      <c r="D961" s="44"/>
      <c r="E961" s="44"/>
      <c r="F961" s="44"/>
      <c r="G961" s="44"/>
      <c r="H961" s="44"/>
      <c r="I961" s="44"/>
      <c r="J961" s="44"/>
      <c r="K961" s="44"/>
      <c r="L961" s="44"/>
    </row>
    <row r="962" ht="15.75" customHeight="1">
      <c r="B962" s="43"/>
      <c r="C962" s="43"/>
      <c r="D962" s="44"/>
      <c r="E962" s="44"/>
      <c r="F962" s="44"/>
      <c r="G962" s="44"/>
      <c r="H962" s="44"/>
      <c r="I962" s="44"/>
      <c r="J962" s="44"/>
      <c r="K962" s="44"/>
      <c r="L962" s="44"/>
    </row>
    <row r="963" ht="15.75" customHeight="1">
      <c r="B963" s="43"/>
      <c r="C963" s="43"/>
      <c r="D963" s="44"/>
      <c r="E963" s="44"/>
      <c r="F963" s="44"/>
      <c r="G963" s="44"/>
      <c r="H963" s="44"/>
      <c r="I963" s="44"/>
      <c r="J963" s="44"/>
      <c r="K963" s="44"/>
      <c r="L963" s="44"/>
    </row>
    <row r="964" ht="15.75" customHeight="1">
      <c r="B964" s="43"/>
      <c r="C964" s="43"/>
      <c r="D964" s="44"/>
      <c r="E964" s="44"/>
      <c r="F964" s="44"/>
      <c r="G964" s="44"/>
      <c r="H964" s="44"/>
      <c r="I964" s="44"/>
      <c r="J964" s="44"/>
      <c r="K964" s="44"/>
      <c r="L964" s="44"/>
    </row>
    <row r="965" ht="15.75" customHeight="1">
      <c r="B965" s="43"/>
      <c r="C965" s="43"/>
      <c r="D965" s="44"/>
      <c r="E965" s="44"/>
      <c r="F965" s="44"/>
      <c r="G965" s="44"/>
      <c r="H965" s="44"/>
      <c r="I965" s="44"/>
      <c r="J965" s="44"/>
      <c r="K965" s="44"/>
      <c r="L965" s="44"/>
    </row>
    <row r="966" ht="15.75" customHeight="1">
      <c r="B966" s="43"/>
      <c r="C966" s="43"/>
      <c r="D966" s="44"/>
      <c r="E966" s="44"/>
      <c r="F966" s="44"/>
      <c r="G966" s="44"/>
      <c r="H966" s="44"/>
      <c r="I966" s="44"/>
      <c r="J966" s="44"/>
      <c r="K966" s="44"/>
      <c r="L966" s="44"/>
    </row>
    <row r="967" ht="15.75" customHeight="1">
      <c r="B967" s="43"/>
      <c r="C967" s="43"/>
      <c r="D967" s="44"/>
      <c r="E967" s="44"/>
      <c r="F967" s="44"/>
      <c r="G967" s="44"/>
      <c r="H967" s="44"/>
      <c r="I967" s="44"/>
      <c r="J967" s="44"/>
      <c r="K967" s="44"/>
      <c r="L967" s="44"/>
    </row>
    <row r="968" ht="15.75" customHeight="1">
      <c r="B968" s="43"/>
      <c r="C968" s="43"/>
      <c r="D968" s="44"/>
      <c r="E968" s="44"/>
      <c r="F968" s="44"/>
      <c r="G968" s="44"/>
      <c r="H968" s="44"/>
      <c r="I968" s="44"/>
      <c r="J968" s="44"/>
      <c r="K968" s="44"/>
      <c r="L968" s="44"/>
    </row>
    <row r="969" ht="15.75" customHeight="1">
      <c r="B969" s="43"/>
      <c r="C969" s="43"/>
      <c r="D969" s="44"/>
      <c r="E969" s="44"/>
      <c r="F969" s="44"/>
      <c r="G969" s="44"/>
      <c r="H969" s="44"/>
      <c r="I969" s="44"/>
      <c r="J969" s="44"/>
      <c r="K969" s="44"/>
      <c r="L969" s="44"/>
    </row>
    <row r="970" ht="15.75" customHeight="1">
      <c r="B970" s="43"/>
      <c r="C970" s="43"/>
      <c r="D970" s="44"/>
      <c r="E970" s="44"/>
      <c r="F970" s="44"/>
      <c r="G970" s="44"/>
      <c r="H970" s="44"/>
      <c r="I970" s="44"/>
      <c r="J970" s="44"/>
      <c r="K970" s="44"/>
      <c r="L970" s="44"/>
    </row>
    <row r="971" ht="15.75" customHeight="1">
      <c r="B971" s="43"/>
      <c r="C971" s="43"/>
      <c r="D971" s="44"/>
      <c r="E971" s="44"/>
      <c r="F971" s="44"/>
      <c r="G971" s="44"/>
      <c r="H971" s="44"/>
      <c r="I971" s="44"/>
      <c r="J971" s="44"/>
      <c r="K971" s="44"/>
      <c r="L971" s="44"/>
    </row>
    <row r="972" ht="15.75" customHeight="1">
      <c r="B972" s="43"/>
      <c r="C972" s="43"/>
      <c r="D972" s="44"/>
      <c r="E972" s="44"/>
      <c r="F972" s="44"/>
      <c r="G972" s="44"/>
      <c r="H972" s="44"/>
      <c r="I972" s="44"/>
      <c r="J972" s="44"/>
      <c r="K972" s="44"/>
      <c r="L972" s="44"/>
    </row>
    <row r="973" ht="15.75" customHeight="1">
      <c r="B973" s="43"/>
      <c r="C973" s="43"/>
      <c r="D973" s="44"/>
      <c r="E973" s="44"/>
      <c r="F973" s="44"/>
      <c r="G973" s="44"/>
      <c r="H973" s="44"/>
      <c r="I973" s="44"/>
      <c r="J973" s="44"/>
      <c r="K973" s="44"/>
      <c r="L973" s="44"/>
    </row>
    <row r="974" ht="15.75" customHeight="1">
      <c r="B974" s="43"/>
      <c r="C974" s="43"/>
      <c r="D974" s="44"/>
      <c r="E974" s="44"/>
      <c r="F974" s="44"/>
      <c r="G974" s="44"/>
      <c r="H974" s="44"/>
      <c r="I974" s="44"/>
      <c r="J974" s="44"/>
      <c r="K974" s="44"/>
      <c r="L974" s="44"/>
    </row>
    <row r="975" ht="15.75" customHeight="1">
      <c r="B975" s="43"/>
      <c r="C975" s="43"/>
      <c r="D975" s="44"/>
      <c r="E975" s="44"/>
      <c r="F975" s="44"/>
      <c r="G975" s="44"/>
      <c r="H975" s="44"/>
      <c r="I975" s="44"/>
      <c r="J975" s="44"/>
      <c r="K975" s="44"/>
      <c r="L975" s="44"/>
    </row>
    <row r="976" ht="15.75" customHeight="1">
      <c r="B976" s="43"/>
      <c r="C976" s="43"/>
      <c r="D976" s="44"/>
      <c r="E976" s="44"/>
      <c r="F976" s="44"/>
      <c r="G976" s="44"/>
      <c r="H976" s="44"/>
      <c r="I976" s="44"/>
      <c r="J976" s="44"/>
      <c r="K976" s="44"/>
      <c r="L976" s="44"/>
    </row>
    <row r="977" ht="15.75" customHeight="1">
      <c r="B977" s="43"/>
      <c r="C977" s="43"/>
      <c r="D977" s="44"/>
      <c r="E977" s="44"/>
      <c r="F977" s="44"/>
      <c r="G977" s="44"/>
      <c r="H977" s="44"/>
      <c r="I977" s="44"/>
      <c r="J977" s="44"/>
      <c r="K977" s="44"/>
      <c r="L977" s="44"/>
    </row>
    <row r="978" ht="15.75" customHeight="1">
      <c r="B978" s="43"/>
      <c r="C978" s="43"/>
      <c r="D978" s="44"/>
      <c r="E978" s="44"/>
      <c r="F978" s="44"/>
      <c r="G978" s="44"/>
      <c r="H978" s="44"/>
      <c r="I978" s="44"/>
      <c r="J978" s="44"/>
      <c r="K978" s="44"/>
      <c r="L978" s="44"/>
    </row>
    <row r="979" ht="15.75" customHeight="1">
      <c r="B979" s="43"/>
      <c r="C979" s="43"/>
      <c r="D979" s="44"/>
      <c r="E979" s="44"/>
      <c r="F979" s="44"/>
      <c r="G979" s="44"/>
      <c r="H979" s="44"/>
      <c r="I979" s="44"/>
      <c r="J979" s="44"/>
      <c r="K979" s="44"/>
      <c r="L979" s="44"/>
    </row>
    <row r="980" ht="15.75" customHeight="1">
      <c r="B980" s="43"/>
      <c r="C980" s="43"/>
      <c r="D980" s="44"/>
      <c r="E980" s="44"/>
      <c r="F980" s="44"/>
      <c r="G980" s="44"/>
      <c r="H980" s="44"/>
      <c r="I980" s="44"/>
      <c r="J980" s="44"/>
      <c r="K980" s="44"/>
      <c r="L980" s="44"/>
    </row>
    <row r="981" ht="15.75" customHeight="1">
      <c r="B981" s="43"/>
      <c r="C981" s="43"/>
      <c r="D981" s="44"/>
      <c r="E981" s="44"/>
      <c r="F981" s="44"/>
      <c r="G981" s="44"/>
      <c r="H981" s="44"/>
      <c r="I981" s="44"/>
      <c r="J981" s="44"/>
      <c r="K981" s="44"/>
      <c r="L981" s="44"/>
    </row>
    <row r="982" ht="15.75" customHeight="1">
      <c r="B982" s="43"/>
      <c r="C982" s="43"/>
      <c r="D982" s="44"/>
      <c r="E982" s="44"/>
      <c r="F982" s="44"/>
      <c r="G982" s="44"/>
      <c r="H982" s="44"/>
      <c r="I982" s="44"/>
      <c r="J982" s="44"/>
      <c r="K982" s="44"/>
      <c r="L982" s="44"/>
    </row>
    <row r="983" ht="15.75" customHeight="1">
      <c r="B983" s="43"/>
      <c r="C983" s="43"/>
      <c r="D983" s="44"/>
      <c r="E983" s="44"/>
      <c r="F983" s="44"/>
      <c r="G983" s="44"/>
      <c r="H983" s="44"/>
      <c r="I983" s="44"/>
      <c r="J983" s="44"/>
      <c r="K983" s="44"/>
      <c r="L983" s="44"/>
    </row>
    <row r="984" ht="15.75" customHeight="1">
      <c r="B984" s="43"/>
      <c r="C984" s="43"/>
      <c r="D984" s="44"/>
      <c r="E984" s="44"/>
      <c r="F984" s="44"/>
      <c r="G984" s="44"/>
      <c r="H984" s="44"/>
      <c r="I984" s="44"/>
      <c r="J984" s="44"/>
      <c r="K984" s="44"/>
      <c r="L984" s="44"/>
    </row>
    <row r="985" ht="15.75" customHeight="1">
      <c r="B985" s="43"/>
      <c r="C985" s="43"/>
      <c r="D985" s="44"/>
      <c r="E985" s="44"/>
      <c r="F985" s="44"/>
      <c r="G985" s="44"/>
      <c r="H985" s="44"/>
      <c r="I985" s="44"/>
      <c r="J985" s="44"/>
      <c r="K985" s="44"/>
      <c r="L985" s="44"/>
    </row>
    <row r="986" ht="15.75" customHeight="1">
      <c r="B986" s="43"/>
      <c r="C986" s="43"/>
      <c r="D986" s="44"/>
      <c r="E986" s="44"/>
      <c r="F986" s="44"/>
      <c r="G986" s="44"/>
      <c r="H986" s="44"/>
      <c r="I986" s="44"/>
      <c r="J986" s="44"/>
      <c r="K986" s="44"/>
      <c r="L986" s="44"/>
    </row>
    <row r="987" ht="15.75" customHeight="1">
      <c r="B987" s="43"/>
      <c r="C987" s="43"/>
      <c r="D987" s="44"/>
      <c r="E987" s="44"/>
      <c r="F987" s="44"/>
      <c r="G987" s="44"/>
      <c r="H987" s="44"/>
      <c r="I987" s="44"/>
      <c r="J987" s="44"/>
      <c r="K987" s="44"/>
      <c r="L987" s="44"/>
    </row>
    <row r="988" ht="15.75" customHeight="1">
      <c r="B988" s="43"/>
      <c r="C988" s="43"/>
      <c r="D988" s="44"/>
      <c r="E988" s="44"/>
      <c r="F988" s="44"/>
      <c r="G988" s="44"/>
      <c r="H988" s="44"/>
      <c r="I988" s="44"/>
      <c r="J988" s="44"/>
      <c r="K988" s="44"/>
      <c r="L988" s="44"/>
    </row>
    <row r="989" ht="15.75" customHeight="1">
      <c r="B989" s="43"/>
      <c r="C989" s="43"/>
      <c r="D989" s="44"/>
      <c r="E989" s="44"/>
      <c r="F989" s="44"/>
      <c r="G989" s="44"/>
      <c r="H989" s="44"/>
      <c r="I989" s="44"/>
      <c r="J989" s="44"/>
      <c r="K989" s="44"/>
      <c r="L989" s="44"/>
    </row>
    <row r="990" ht="15.75" customHeight="1">
      <c r="B990" s="43"/>
      <c r="C990" s="43"/>
      <c r="D990" s="44"/>
      <c r="E990" s="44"/>
      <c r="F990" s="44"/>
      <c r="G990" s="44"/>
      <c r="H990" s="44"/>
      <c r="I990" s="44"/>
      <c r="J990" s="44"/>
      <c r="K990" s="44"/>
      <c r="L990" s="44"/>
    </row>
    <row r="991" ht="15.75" customHeight="1">
      <c r="B991" s="43"/>
      <c r="C991" s="43"/>
      <c r="D991" s="44"/>
      <c r="E991" s="44"/>
      <c r="F991" s="44"/>
      <c r="G991" s="44"/>
      <c r="H991" s="44"/>
      <c r="I991" s="44"/>
      <c r="J991" s="44"/>
      <c r="K991" s="44"/>
      <c r="L991" s="44"/>
    </row>
    <row r="992" ht="15.75" customHeight="1">
      <c r="B992" s="43"/>
      <c r="C992" s="43"/>
      <c r="D992" s="44"/>
      <c r="E992" s="44"/>
      <c r="F992" s="44"/>
      <c r="G992" s="44"/>
      <c r="H992" s="44"/>
      <c r="I992" s="44"/>
      <c r="J992" s="44"/>
      <c r="K992" s="44"/>
      <c r="L992" s="44"/>
    </row>
    <row r="993" ht="15.75" customHeight="1">
      <c r="B993" s="43"/>
      <c r="C993" s="43"/>
      <c r="D993" s="44"/>
      <c r="E993" s="44"/>
      <c r="F993" s="44"/>
      <c r="G993" s="44"/>
      <c r="H993" s="44"/>
      <c r="I993" s="44"/>
      <c r="J993" s="44"/>
      <c r="K993" s="44"/>
      <c r="L993" s="44"/>
    </row>
    <row r="994" ht="15.75" customHeight="1">
      <c r="B994" s="43"/>
      <c r="C994" s="43"/>
      <c r="D994" s="44"/>
      <c r="E994" s="44"/>
      <c r="F994" s="44"/>
      <c r="G994" s="44"/>
      <c r="H994" s="44"/>
      <c r="I994" s="44"/>
      <c r="J994" s="44"/>
      <c r="K994" s="44"/>
      <c r="L994" s="44"/>
    </row>
    <row r="995" ht="15.75" customHeight="1">
      <c r="B995" s="43"/>
      <c r="C995" s="43"/>
      <c r="D995" s="44"/>
      <c r="E995" s="44"/>
      <c r="F995" s="44"/>
      <c r="G995" s="44"/>
      <c r="H995" s="44"/>
      <c r="I995" s="44"/>
      <c r="J995" s="44"/>
      <c r="K995" s="44"/>
      <c r="L995" s="44"/>
    </row>
    <row r="996" ht="15.75" customHeight="1">
      <c r="B996" s="43"/>
      <c r="C996" s="43"/>
      <c r="D996" s="44"/>
      <c r="E996" s="44"/>
      <c r="F996" s="44"/>
      <c r="G996" s="44"/>
      <c r="H996" s="44"/>
      <c r="I996" s="44"/>
      <c r="J996" s="44"/>
      <c r="K996" s="44"/>
      <c r="L996" s="44"/>
    </row>
    <row r="997" ht="15.75" customHeight="1">
      <c r="B997" s="43"/>
      <c r="C997" s="43"/>
      <c r="D997" s="44"/>
      <c r="E997" s="44"/>
      <c r="F997" s="44"/>
      <c r="G997" s="44"/>
      <c r="H997" s="44"/>
      <c r="I997" s="44"/>
      <c r="J997" s="44"/>
      <c r="K997" s="44"/>
      <c r="L997" s="44"/>
    </row>
    <row r="998" ht="15.75" customHeight="1">
      <c r="B998" s="43"/>
      <c r="C998" s="43"/>
      <c r="D998" s="44"/>
      <c r="E998" s="44"/>
      <c r="F998" s="44"/>
      <c r="G998" s="44"/>
      <c r="H998" s="44"/>
      <c r="I998" s="44"/>
      <c r="J998" s="44"/>
      <c r="K998" s="44"/>
      <c r="L998" s="44"/>
    </row>
    <row r="999" ht="15.75" customHeight="1">
      <c r="B999" s="43"/>
      <c r="C999" s="43"/>
      <c r="D999" s="44"/>
      <c r="E999" s="44"/>
      <c r="F999" s="44"/>
      <c r="G999" s="44"/>
      <c r="H999" s="44"/>
      <c r="I999" s="44"/>
      <c r="J999" s="44"/>
      <c r="K999" s="44"/>
      <c r="L999" s="44"/>
    </row>
    <row r="1000" ht="15.75" customHeight="1">
      <c r="B1000" s="43"/>
      <c r="C1000" s="43"/>
      <c r="D1000" s="44"/>
      <c r="E1000" s="44"/>
      <c r="F1000" s="44"/>
      <c r="G1000" s="44"/>
      <c r="H1000" s="44"/>
      <c r="I1000" s="44"/>
      <c r="J1000" s="44"/>
      <c r="K1000" s="44"/>
      <c r="L1000" s="44"/>
    </row>
  </sheetData>
  <autoFilter ref="$A$26:$N$367"/>
  <mergeCells count="2">
    <mergeCell ref="B2:L5"/>
    <mergeCell ref="C40:G40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6.71"/>
    <col customWidth="1" min="3" max="3" width="14.14"/>
    <col customWidth="1" min="4" max="4" width="26.43"/>
    <col customWidth="1" min="5" max="5" width="7.29"/>
    <col customWidth="1" min="6" max="6" width="29.43"/>
    <col customWidth="1" min="7" max="7" width="16.86"/>
    <col customWidth="1" min="8" max="8" width="16.0"/>
    <col customWidth="1" min="9" max="9" width="18.14"/>
    <col customWidth="1" min="10" max="10" width="16.14"/>
    <col customWidth="1" min="11" max="11" width="12.29"/>
    <col customWidth="1" min="12" max="12" width="62.57"/>
    <col customWidth="1" min="13" max="13" width="14.43"/>
    <col customWidth="1" hidden="1" min="14" max="14" width="12.29"/>
    <col customWidth="1" min="15" max="15" width="42.43"/>
    <col customWidth="1" min="16" max="16" width="14.71"/>
    <col customWidth="1" min="17" max="17" width="17.71"/>
    <col customWidth="1" min="18" max="24" width="8.86"/>
  </cols>
  <sheetData>
    <row r="1" ht="14.25" customHeight="1">
      <c r="B1" s="43"/>
      <c r="C1" s="43"/>
      <c r="D1" s="44"/>
      <c r="E1" s="44"/>
      <c r="F1" s="44"/>
      <c r="G1" s="44"/>
      <c r="H1" s="44"/>
      <c r="I1" s="44"/>
      <c r="J1" s="44"/>
      <c r="K1" s="44"/>
      <c r="L1" s="44"/>
    </row>
    <row r="2" ht="21.0" customHeight="1">
      <c r="B2" s="3" t="s">
        <v>321</v>
      </c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  <c r="Q2" s="6"/>
    </row>
    <row r="3" ht="21.0" customHeight="1">
      <c r="B3" s="7"/>
      <c r="L3" s="8"/>
      <c r="M3" s="6"/>
      <c r="N3" s="6"/>
      <c r="O3" s="6"/>
      <c r="P3" s="6"/>
      <c r="Q3" s="6"/>
      <c r="T3" s="9"/>
      <c r="U3" s="9"/>
      <c r="V3" s="9"/>
      <c r="W3" s="9"/>
      <c r="X3" s="9"/>
    </row>
    <row r="4" ht="15.0" customHeight="1">
      <c r="B4" s="7"/>
      <c r="L4" s="8"/>
      <c r="M4" s="6"/>
      <c r="N4" s="6"/>
      <c r="O4" s="6"/>
      <c r="P4" s="6"/>
      <c r="Q4" s="6"/>
      <c r="T4" s="9"/>
      <c r="U4" s="9"/>
      <c r="V4" s="9"/>
      <c r="W4" s="9"/>
      <c r="X4" s="9"/>
    </row>
    <row r="5" ht="15.0" customHeight="1"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6"/>
      <c r="N5" s="6"/>
      <c r="O5" s="6"/>
      <c r="P5" s="6"/>
      <c r="Q5" s="6"/>
      <c r="U5" s="9"/>
      <c r="V5" s="9"/>
      <c r="W5" s="9"/>
      <c r="X5" s="9"/>
    </row>
    <row r="6" ht="14.25" customHeight="1">
      <c r="B6" s="101" t="s">
        <v>1</v>
      </c>
      <c r="C6" s="102" t="s">
        <v>269</v>
      </c>
      <c r="D6" s="103" t="s">
        <v>3</v>
      </c>
      <c r="E6" s="103"/>
      <c r="F6" s="103" t="s">
        <v>4</v>
      </c>
      <c r="G6" s="103" t="s">
        <v>5</v>
      </c>
      <c r="H6" s="103" t="s">
        <v>270</v>
      </c>
      <c r="I6" s="103" t="s">
        <v>271</v>
      </c>
      <c r="J6" s="103" t="s">
        <v>272</v>
      </c>
      <c r="K6" s="103" t="s">
        <v>9</v>
      </c>
      <c r="L6" s="103" t="s">
        <v>10</v>
      </c>
      <c r="O6" s="16"/>
      <c r="P6" s="9"/>
      <c r="Q6" s="9"/>
      <c r="R6" s="9"/>
    </row>
    <row r="7" ht="15.0" customHeight="1">
      <c r="B7" s="38">
        <v>44998.0</v>
      </c>
      <c r="C7" s="39"/>
      <c r="D7" s="104"/>
      <c r="E7" s="104"/>
      <c r="F7" s="104"/>
      <c r="G7" s="40"/>
      <c r="H7" s="40">
        <v>3738.2</v>
      </c>
      <c r="I7" s="40">
        <v>3741.1</v>
      </c>
      <c r="J7" s="40">
        <f t="shared" ref="J7:J19" si="1">I7-H7</f>
        <v>2.9</v>
      </c>
      <c r="K7" s="40"/>
      <c r="L7" s="40" t="s">
        <v>322</v>
      </c>
      <c r="O7" s="16"/>
      <c r="P7" s="9"/>
      <c r="Q7" s="9"/>
      <c r="R7" s="9"/>
    </row>
    <row r="8" ht="14.25" customHeight="1">
      <c r="B8" s="38">
        <v>45005.0</v>
      </c>
      <c r="C8" s="39"/>
      <c r="D8" s="104"/>
      <c r="E8" s="104"/>
      <c r="F8" s="104"/>
      <c r="G8" s="40"/>
      <c r="H8" s="40"/>
      <c r="I8" s="40"/>
      <c r="J8" s="40">
        <f t="shared" si="1"/>
        <v>0</v>
      </c>
      <c r="K8" s="40"/>
      <c r="L8" s="40"/>
      <c r="O8" s="16"/>
      <c r="P8" s="9"/>
      <c r="Q8" s="9"/>
      <c r="R8" s="9"/>
    </row>
    <row r="9" ht="14.25" customHeight="1">
      <c r="B9" s="38">
        <v>45014.0</v>
      </c>
      <c r="C9" s="39"/>
      <c r="D9" s="104" t="s">
        <v>323</v>
      </c>
      <c r="E9" s="104"/>
      <c r="F9" s="104"/>
      <c r="G9" s="40" t="s">
        <v>324</v>
      </c>
      <c r="H9" s="40">
        <v>3561.1</v>
      </c>
      <c r="I9" s="40">
        <v>3620.5</v>
      </c>
      <c r="J9" s="40">
        <f t="shared" si="1"/>
        <v>59.4</v>
      </c>
      <c r="K9" s="40"/>
      <c r="L9" s="40" t="s">
        <v>325</v>
      </c>
      <c r="O9" s="16"/>
      <c r="P9" s="9"/>
      <c r="Q9" s="9"/>
      <c r="R9" s="9"/>
    </row>
    <row r="10" ht="14.25" customHeight="1">
      <c r="B10" s="38">
        <v>45016.0</v>
      </c>
      <c r="C10" s="39">
        <v>45017.0</v>
      </c>
      <c r="D10" s="104" t="s">
        <v>326</v>
      </c>
      <c r="E10" s="104"/>
      <c r="F10" s="104"/>
      <c r="G10" s="40" t="s">
        <v>327</v>
      </c>
      <c r="H10" s="40">
        <v>3635.0</v>
      </c>
      <c r="I10" s="40">
        <v>3638.1</v>
      </c>
      <c r="J10" s="40">
        <f t="shared" si="1"/>
        <v>3.1</v>
      </c>
      <c r="K10" s="40"/>
      <c r="L10" s="40"/>
      <c r="O10" s="16"/>
      <c r="P10" s="9"/>
      <c r="Q10" s="9"/>
      <c r="R10" s="9"/>
    </row>
    <row r="11" ht="14.25" customHeight="1">
      <c r="B11" s="38">
        <v>45019.0</v>
      </c>
      <c r="C11" s="39">
        <v>45035.0</v>
      </c>
      <c r="D11" s="104" t="s">
        <v>15</v>
      </c>
      <c r="E11" s="104"/>
      <c r="F11" s="104"/>
      <c r="G11" s="40" t="s">
        <v>327</v>
      </c>
      <c r="H11" s="40">
        <v>3641.1</v>
      </c>
      <c r="I11" s="40">
        <v>3719.1</v>
      </c>
      <c r="J11" s="40">
        <f t="shared" si="1"/>
        <v>78</v>
      </c>
      <c r="K11" s="40">
        <v>540.0</v>
      </c>
      <c r="L11" s="40"/>
      <c r="O11" s="16"/>
      <c r="P11" s="9"/>
      <c r="Q11" s="9"/>
      <c r="R11" s="9"/>
    </row>
    <row r="12" ht="14.25" customHeight="1">
      <c r="B12" s="38">
        <v>45038.0</v>
      </c>
      <c r="C12" s="39">
        <v>45040.0</v>
      </c>
      <c r="D12" s="104" t="s">
        <v>328</v>
      </c>
      <c r="E12" s="104"/>
      <c r="F12" s="104"/>
      <c r="G12" s="40" t="s">
        <v>327</v>
      </c>
      <c r="H12" s="40">
        <v>3719.1</v>
      </c>
      <c r="I12" s="40">
        <v>3732.0</v>
      </c>
      <c r="J12" s="40">
        <f t="shared" si="1"/>
        <v>12.9</v>
      </c>
      <c r="K12" s="40">
        <v>125.0</v>
      </c>
      <c r="L12" s="40"/>
      <c r="O12" s="16"/>
      <c r="P12" s="9"/>
      <c r="Q12" s="9"/>
      <c r="R12" s="9"/>
    </row>
    <row r="13" ht="14.25" customHeight="1">
      <c r="B13" s="38">
        <v>45041.0</v>
      </c>
      <c r="C13" s="39">
        <v>45043.0</v>
      </c>
      <c r="D13" s="104" t="s">
        <v>15</v>
      </c>
      <c r="E13" s="104"/>
      <c r="F13" s="104"/>
      <c r="G13" s="40" t="s">
        <v>327</v>
      </c>
      <c r="H13" s="40">
        <v>3732.0</v>
      </c>
      <c r="I13" s="40">
        <v>3744.2</v>
      </c>
      <c r="J13" s="40">
        <f t="shared" si="1"/>
        <v>12.2</v>
      </c>
      <c r="K13" s="40"/>
      <c r="L13" s="40"/>
      <c r="O13" s="16"/>
      <c r="P13" s="9"/>
      <c r="Q13" s="9"/>
      <c r="R13" s="9"/>
    </row>
    <row r="14" ht="14.25" customHeight="1">
      <c r="B14" s="38">
        <v>45048.0</v>
      </c>
      <c r="C14" s="39">
        <v>45052.0</v>
      </c>
      <c r="D14" s="104" t="s">
        <v>15</v>
      </c>
      <c r="E14" s="104"/>
      <c r="F14" s="104"/>
      <c r="G14" s="40" t="s">
        <v>329</v>
      </c>
      <c r="H14" s="40">
        <v>3744.2</v>
      </c>
      <c r="I14" s="40">
        <v>3759.9</v>
      </c>
      <c r="J14" s="40">
        <f t="shared" si="1"/>
        <v>15.7</v>
      </c>
      <c r="K14" s="40"/>
      <c r="L14" s="40"/>
      <c r="P14" s="9"/>
      <c r="Q14" s="9"/>
      <c r="R14" s="9"/>
    </row>
    <row r="15" ht="14.25" customHeight="1">
      <c r="B15" s="38">
        <v>45052.0</v>
      </c>
      <c r="C15" s="39">
        <v>45054.0</v>
      </c>
      <c r="D15" s="104" t="s">
        <v>330</v>
      </c>
      <c r="E15" s="104"/>
      <c r="F15" s="104" t="s">
        <v>331</v>
      </c>
      <c r="G15" s="40" t="s">
        <v>329</v>
      </c>
      <c r="H15" s="40">
        <v>3759.9</v>
      </c>
      <c r="I15" s="40">
        <v>3793.7</v>
      </c>
      <c r="J15" s="40">
        <f t="shared" si="1"/>
        <v>33.8</v>
      </c>
      <c r="K15" s="40"/>
      <c r="L15" s="40"/>
    </row>
    <row r="16" ht="14.25" customHeight="1">
      <c r="A16" s="105"/>
      <c r="B16" s="106">
        <v>45056.0</v>
      </c>
      <c r="C16" s="107">
        <v>45069.0</v>
      </c>
      <c r="D16" s="108" t="s">
        <v>332</v>
      </c>
      <c r="E16" s="108"/>
      <c r="F16" s="108" t="s">
        <v>333</v>
      </c>
      <c r="G16" s="108" t="s">
        <v>329</v>
      </c>
      <c r="H16" s="108">
        <v>3793.7</v>
      </c>
      <c r="I16" s="108">
        <v>3893.8</v>
      </c>
      <c r="J16" s="108">
        <f t="shared" si="1"/>
        <v>100.1</v>
      </c>
      <c r="K16" s="40"/>
      <c r="L16" s="108" t="s">
        <v>334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</row>
    <row r="17" ht="14.25" customHeight="1">
      <c r="A17" s="105"/>
      <c r="B17" s="106">
        <v>45070.0</v>
      </c>
      <c r="C17" s="107">
        <v>45070.0</v>
      </c>
      <c r="D17" s="108" t="s">
        <v>332</v>
      </c>
      <c r="E17" s="108"/>
      <c r="F17" s="108" t="s">
        <v>333</v>
      </c>
      <c r="G17" s="108" t="s">
        <v>335</v>
      </c>
      <c r="H17" s="108">
        <v>3893.8</v>
      </c>
      <c r="I17" s="108">
        <f>H17+8.5</f>
        <v>3902.3</v>
      </c>
      <c r="J17" s="108">
        <f t="shared" si="1"/>
        <v>8.5</v>
      </c>
      <c r="K17" s="40"/>
      <c r="L17" s="108" t="s">
        <v>334</v>
      </c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</row>
    <row r="18" ht="14.25" customHeight="1">
      <c r="A18" s="105"/>
      <c r="B18" s="106">
        <v>45075.0</v>
      </c>
      <c r="C18" s="107">
        <v>45080.0</v>
      </c>
      <c r="D18" s="108" t="s">
        <v>332</v>
      </c>
      <c r="E18" s="108"/>
      <c r="F18" s="108" t="s">
        <v>333</v>
      </c>
      <c r="G18" s="108" t="s">
        <v>336</v>
      </c>
      <c r="H18" s="108">
        <v>3902.3</v>
      </c>
      <c r="I18" s="108">
        <v>3935.6</v>
      </c>
      <c r="J18" s="108">
        <f t="shared" si="1"/>
        <v>33.3</v>
      </c>
      <c r="K18" s="40">
        <v>1090.0</v>
      </c>
      <c r="L18" s="108" t="s">
        <v>334</v>
      </c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</row>
    <row r="19" ht="14.25" customHeight="1">
      <c r="A19" s="105"/>
      <c r="B19" s="106">
        <v>45080.0</v>
      </c>
      <c r="C19" s="107">
        <v>45082.0</v>
      </c>
      <c r="D19" s="108" t="s">
        <v>332</v>
      </c>
      <c r="E19" s="108"/>
      <c r="F19" s="108" t="s">
        <v>188</v>
      </c>
      <c r="G19" s="108" t="s">
        <v>337</v>
      </c>
      <c r="H19" s="108">
        <v>3935.6</v>
      </c>
      <c r="I19" s="108">
        <v>3939.6</v>
      </c>
      <c r="J19" s="108">
        <f t="shared" si="1"/>
        <v>4</v>
      </c>
      <c r="K19" s="40"/>
      <c r="L19" s="108" t="s">
        <v>338</v>
      </c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</row>
    <row r="20" ht="14.25" customHeight="1">
      <c r="A20" s="105"/>
      <c r="B20" s="106">
        <v>45083.0</v>
      </c>
      <c r="C20" s="107">
        <v>45092.0</v>
      </c>
      <c r="D20" s="108" t="s">
        <v>332</v>
      </c>
      <c r="E20" s="108"/>
      <c r="F20" s="108" t="s">
        <v>188</v>
      </c>
      <c r="G20" s="108" t="s">
        <v>336</v>
      </c>
      <c r="H20" s="108"/>
      <c r="I20" s="108"/>
      <c r="J20" s="108">
        <v>64.0</v>
      </c>
      <c r="K20" s="109">
        <v>985.0</v>
      </c>
      <c r="L20" s="108" t="s">
        <v>339</v>
      </c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</row>
    <row r="21" ht="14.25" customHeight="1">
      <c r="A21" s="105"/>
      <c r="B21" s="106">
        <v>45093.0</v>
      </c>
      <c r="C21" s="107">
        <v>45107.0</v>
      </c>
      <c r="D21" s="108" t="s">
        <v>332</v>
      </c>
      <c r="E21" s="108"/>
      <c r="F21" s="108" t="s">
        <v>188</v>
      </c>
      <c r="G21" s="108" t="s">
        <v>340</v>
      </c>
      <c r="H21" s="108">
        <v>3.7</v>
      </c>
      <c r="I21" s="108">
        <v>100.0</v>
      </c>
      <c r="J21" s="108">
        <f t="shared" ref="J21:J48" si="2">I21-H21</f>
        <v>96.3</v>
      </c>
      <c r="K21" s="40">
        <v>410.0</v>
      </c>
      <c r="L21" s="108" t="s">
        <v>338</v>
      </c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</row>
    <row r="22" ht="14.25" customHeight="1">
      <c r="A22" s="105"/>
      <c r="B22" s="106">
        <v>45108.0</v>
      </c>
      <c r="C22" s="107">
        <v>45138.0</v>
      </c>
      <c r="D22" s="108" t="s">
        <v>332</v>
      </c>
      <c r="E22" s="108"/>
      <c r="F22" s="108" t="s">
        <v>188</v>
      </c>
      <c r="G22" s="108" t="s">
        <v>340</v>
      </c>
      <c r="H22" s="108">
        <v>102.2</v>
      </c>
      <c r="I22" s="108">
        <v>304.2</v>
      </c>
      <c r="J22" s="108">
        <f t="shared" si="2"/>
        <v>202</v>
      </c>
      <c r="K22" s="40">
        <v>1285.0</v>
      </c>
      <c r="L22" s="108" t="s">
        <v>341</v>
      </c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</row>
    <row r="23" ht="14.25" customHeight="1">
      <c r="A23" s="105"/>
      <c r="B23" s="106">
        <v>45139.0</v>
      </c>
      <c r="C23" s="107">
        <v>45169.0</v>
      </c>
      <c r="D23" s="108" t="s">
        <v>332</v>
      </c>
      <c r="E23" s="108"/>
      <c r="F23" s="108" t="s">
        <v>188</v>
      </c>
      <c r="G23" s="108" t="s">
        <v>340</v>
      </c>
      <c r="H23" s="108">
        <v>304.2</v>
      </c>
      <c r="I23" s="108">
        <v>535.2</v>
      </c>
      <c r="J23" s="108">
        <f t="shared" si="2"/>
        <v>231</v>
      </c>
      <c r="K23" s="40">
        <v>1497.0</v>
      </c>
      <c r="L23" s="108" t="s">
        <v>342</v>
      </c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</row>
    <row r="24" ht="14.25" customHeight="1">
      <c r="B24" s="38">
        <v>45170.0</v>
      </c>
      <c r="C24" s="39">
        <v>45184.0</v>
      </c>
      <c r="D24" s="40" t="s">
        <v>332</v>
      </c>
      <c r="E24" s="40"/>
      <c r="F24" s="108" t="s">
        <v>188</v>
      </c>
      <c r="G24" s="108" t="s">
        <v>340</v>
      </c>
      <c r="H24" s="108">
        <v>535.2</v>
      </c>
      <c r="I24" s="40">
        <v>608.5</v>
      </c>
      <c r="J24" s="40">
        <f t="shared" si="2"/>
        <v>73.3</v>
      </c>
      <c r="K24" s="109">
        <v>510.0</v>
      </c>
      <c r="L24" s="108" t="s">
        <v>338</v>
      </c>
    </row>
    <row r="25" ht="14.25" customHeight="1">
      <c r="B25" s="38">
        <v>45184.0</v>
      </c>
      <c r="C25" s="39">
        <v>45212.0</v>
      </c>
      <c r="D25" s="40" t="s">
        <v>343</v>
      </c>
      <c r="E25" s="40"/>
      <c r="F25" s="40" t="s">
        <v>344</v>
      </c>
      <c r="G25" s="40"/>
      <c r="H25" s="40"/>
      <c r="I25" s="40"/>
      <c r="J25" s="40">
        <f t="shared" si="2"/>
        <v>0</v>
      </c>
      <c r="K25" s="109"/>
      <c r="L25" s="40"/>
    </row>
    <row r="26" ht="14.25" customHeight="1">
      <c r="B26" s="38">
        <v>45212.0</v>
      </c>
      <c r="C26" s="39">
        <v>45230.0</v>
      </c>
      <c r="D26" s="40" t="s">
        <v>332</v>
      </c>
      <c r="E26" s="40"/>
      <c r="F26" s="40" t="s">
        <v>345</v>
      </c>
      <c r="G26" s="40" t="s">
        <v>340</v>
      </c>
      <c r="H26" s="40">
        <v>615.6</v>
      </c>
      <c r="I26" s="40">
        <v>706.8</v>
      </c>
      <c r="J26" s="40">
        <f t="shared" si="2"/>
        <v>91.2</v>
      </c>
      <c r="K26" s="109"/>
      <c r="L26" s="110" t="s">
        <v>41</v>
      </c>
    </row>
    <row r="27" ht="14.25" customHeight="1">
      <c r="B27" s="38">
        <v>45231.0</v>
      </c>
      <c r="C27" s="39">
        <v>45231.0</v>
      </c>
      <c r="D27" s="40" t="s">
        <v>332</v>
      </c>
      <c r="E27" s="40"/>
      <c r="F27" s="40" t="s">
        <v>288</v>
      </c>
      <c r="G27" s="40" t="s">
        <v>240</v>
      </c>
      <c r="H27" s="40">
        <v>706.8</v>
      </c>
      <c r="I27" s="40">
        <v>715.8</v>
      </c>
      <c r="J27" s="40">
        <f t="shared" si="2"/>
        <v>9</v>
      </c>
      <c r="K27" s="109"/>
      <c r="L27" s="40" t="s">
        <v>41</v>
      </c>
    </row>
    <row r="28" ht="14.25" customHeight="1">
      <c r="B28" s="38">
        <v>45231.0</v>
      </c>
      <c r="C28" s="39">
        <v>45237.0</v>
      </c>
      <c r="D28" s="40"/>
      <c r="E28" s="40"/>
      <c r="F28" s="40" t="s">
        <v>346</v>
      </c>
      <c r="G28" s="40"/>
      <c r="H28" s="40"/>
      <c r="I28" s="40"/>
      <c r="J28" s="40">
        <f t="shared" si="2"/>
        <v>0</v>
      </c>
      <c r="K28" s="40"/>
      <c r="L28" s="40"/>
    </row>
    <row r="29" ht="14.25" customHeight="1">
      <c r="B29" s="38">
        <v>45238.0</v>
      </c>
      <c r="C29" s="39">
        <v>45248.0</v>
      </c>
      <c r="D29" s="40" t="s">
        <v>187</v>
      </c>
      <c r="E29" s="40"/>
      <c r="F29" s="40" t="s">
        <v>347</v>
      </c>
      <c r="G29" s="40" t="s">
        <v>240</v>
      </c>
      <c r="H29" s="40">
        <v>715.8</v>
      </c>
      <c r="I29" s="40">
        <v>789.8</v>
      </c>
      <c r="J29" s="40">
        <f t="shared" si="2"/>
        <v>74</v>
      </c>
      <c r="K29" s="40"/>
      <c r="L29" s="40" t="s">
        <v>348</v>
      </c>
    </row>
    <row r="30" ht="14.25" customHeight="1">
      <c r="B30" s="38">
        <v>45255.0</v>
      </c>
      <c r="C30" s="39">
        <v>45257.0</v>
      </c>
      <c r="D30" s="40" t="s">
        <v>349</v>
      </c>
      <c r="E30" s="40"/>
      <c r="F30" s="40" t="s">
        <v>350</v>
      </c>
      <c r="G30" s="40" t="s">
        <v>240</v>
      </c>
      <c r="H30" s="40">
        <v>798.9</v>
      </c>
      <c r="I30" s="40">
        <v>808.9</v>
      </c>
      <c r="J30" s="40">
        <f t="shared" si="2"/>
        <v>10</v>
      </c>
      <c r="K30" s="40"/>
      <c r="L30" s="40" t="s">
        <v>286</v>
      </c>
    </row>
    <row r="31" ht="14.25" customHeight="1">
      <c r="B31" s="38">
        <v>45257.0</v>
      </c>
      <c r="C31" s="39">
        <v>45259.0</v>
      </c>
      <c r="D31" s="40"/>
      <c r="E31" s="40"/>
      <c r="F31" s="40" t="s">
        <v>351</v>
      </c>
      <c r="G31" s="40" t="s">
        <v>240</v>
      </c>
      <c r="H31" s="40"/>
      <c r="I31" s="40"/>
      <c r="J31" s="40">
        <f t="shared" si="2"/>
        <v>0</v>
      </c>
      <c r="K31" s="40"/>
      <c r="L31" s="40"/>
    </row>
    <row r="32" ht="14.25" customHeight="1">
      <c r="B32" s="38">
        <v>45260.0</v>
      </c>
      <c r="C32" s="39">
        <v>45260.0</v>
      </c>
      <c r="D32" s="40" t="s">
        <v>352</v>
      </c>
      <c r="E32" s="40"/>
      <c r="F32" s="40" t="s">
        <v>353</v>
      </c>
      <c r="G32" s="40" t="s">
        <v>240</v>
      </c>
      <c r="H32" s="40">
        <v>808.9</v>
      </c>
      <c r="I32" s="40">
        <v>813.8</v>
      </c>
      <c r="J32" s="40">
        <f t="shared" si="2"/>
        <v>4.9</v>
      </c>
      <c r="K32" s="40"/>
      <c r="L32" s="40" t="s">
        <v>354</v>
      </c>
    </row>
    <row r="33" ht="14.25" customHeight="1">
      <c r="B33" s="38">
        <v>45261.0</v>
      </c>
      <c r="C33" s="39">
        <v>45278.0</v>
      </c>
      <c r="D33" s="40" t="s">
        <v>187</v>
      </c>
      <c r="E33" s="40"/>
      <c r="F33" s="40" t="s">
        <v>288</v>
      </c>
      <c r="G33" s="40" t="s">
        <v>240</v>
      </c>
      <c r="H33" s="40">
        <v>813.8</v>
      </c>
      <c r="I33" s="40">
        <v>914.3</v>
      </c>
      <c r="J33" s="40">
        <f t="shared" si="2"/>
        <v>100.5</v>
      </c>
      <c r="K33" s="40">
        <v>595.0</v>
      </c>
      <c r="L33" s="40"/>
    </row>
    <row r="34" ht="14.25" customHeight="1">
      <c r="B34" s="38"/>
      <c r="C34" s="39"/>
      <c r="D34" s="40"/>
      <c r="E34" s="40"/>
      <c r="F34" s="40" t="s">
        <v>355</v>
      </c>
      <c r="G34" s="40"/>
      <c r="H34" s="40"/>
      <c r="I34" s="40"/>
      <c r="J34" s="40">
        <f t="shared" si="2"/>
        <v>0</v>
      </c>
      <c r="K34" s="40"/>
      <c r="L34" s="40"/>
    </row>
    <row r="35" ht="14.25" customHeight="1">
      <c r="B35" s="38">
        <v>45330.0</v>
      </c>
      <c r="C35" s="39">
        <v>45343.0</v>
      </c>
      <c r="D35" s="40" t="s">
        <v>356</v>
      </c>
      <c r="E35" s="40"/>
      <c r="F35" s="40" t="s">
        <v>357</v>
      </c>
      <c r="G35" s="40" t="s">
        <v>358</v>
      </c>
      <c r="H35" s="40">
        <v>918.6</v>
      </c>
      <c r="I35" s="40">
        <v>986.3</v>
      </c>
      <c r="J35" s="40">
        <f t="shared" si="2"/>
        <v>67.7</v>
      </c>
      <c r="K35" s="40"/>
      <c r="L35" s="40"/>
    </row>
    <row r="36" ht="14.25" customHeight="1">
      <c r="B36" s="38">
        <v>45344.0</v>
      </c>
      <c r="C36" s="39">
        <v>45348.0</v>
      </c>
      <c r="D36" s="40" t="s">
        <v>359</v>
      </c>
      <c r="E36" s="40"/>
      <c r="F36" s="40" t="s">
        <v>360</v>
      </c>
      <c r="G36" s="40" t="s">
        <v>358</v>
      </c>
      <c r="H36" s="40">
        <v>994.2</v>
      </c>
      <c r="I36" s="40">
        <v>1002.8</v>
      </c>
      <c r="J36" s="40">
        <f t="shared" si="2"/>
        <v>8.6</v>
      </c>
      <c r="K36" s="40">
        <v>120.0</v>
      </c>
      <c r="L36" s="40"/>
    </row>
    <row r="37" ht="14.25" customHeight="1">
      <c r="B37" s="38">
        <v>45349.0</v>
      </c>
      <c r="C37" s="39">
        <v>45350.0</v>
      </c>
      <c r="D37" s="40" t="s">
        <v>134</v>
      </c>
      <c r="E37" s="40"/>
      <c r="F37" s="40" t="s">
        <v>361</v>
      </c>
      <c r="G37" s="40" t="s">
        <v>358</v>
      </c>
      <c r="H37" s="40">
        <v>1002.8</v>
      </c>
      <c r="I37" s="40">
        <v>1022.2</v>
      </c>
      <c r="J37" s="40">
        <f t="shared" si="2"/>
        <v>19.4</v>
      </c>
      <c r="K37" s="40"/>
      <c r="L37" s="40"/>
    </row>
    <row r="38" ht="14.25" customHeight="1">
      <c r="B38" s="38">
        <v>45351.0</v>
      </c>
      <c r="C38" s="39">
        <v>45359.0</v>
      </c>
      <c r="D38" s="40" t="s">
        <v>362</v>
      </c>
      <c r="E38" s="40"/>
      <c r="F38" s="40" t="s">
        <v>57</v>
      </c>
      <c r="G38" s="40" t="s">
        <v>358</v>
      </c>
      <c r="H38" s="40">
        <v>1022.2</v>
      </c>
      <c r="I38" s="40">
        <v>1091.6</v>
      </c>
      <c r="J38" s="40">
        <f t="shared" si="2"/>
        <v>69.4</v>
      </c>
      <c r="K38" s="40">
        <v>420.0</v>
      </c>
      <c r="L38" s="110"/>
    </row>
    <row r="39" ht="14.25" customHeight="1">
      <c r="B39" s="38">
        <v>45362.0</v>
      </c>
      <c r="C39" s="39">
        <v>45364.0</v>
      </c>
      <c r="D39" s="40" t="s">
        <v>234</v>
      </c>
      <c r="E39" s="40"/>
      <c r="F39" s="40" t="s">
        <v>363</v>
      </c>
      <c r="G39" s="40" t="s">
        <v>358</v>
      </c>
      <c r="H39" s="40">
        <v>1093.5</v>
      </c>
      <c r="I39" s="40">
        <v>1121.7</v>
      </c>
      <c r="J39" s="40">
        <f t="shared" si="2"/>
        <v>28.2</v>
      </c>
      <c r="K39" s="40">
        <v>238.0</v>
      </c>
      <c r="L39" s="40"/>
    </row>
    <row r="40" ht="14.25" customHeight="1">
      <c r="B40" s="38">
        <v>45365.0</v>
      </c>
      <c r="C40" s="39">
        <v>45369.0</v>
      </c>
      <c r="D40" s="40" t="s">
        <v>234</v>
      </c>
      <c r="E40" s="40"/>
      <c r="F40" s="40" t="s">
        <v>364</v>
      </c>
      <c r="G40" s="40" t="s">
        <v>358</v>
      </c>
      <c r="H40" s="40">
        <v>1121.7</v>
      </c>
      <c r="I40" s="40">
        <v>1147.7</v>
      </c>
      <c r="J40" s="40">
        <f t="shared" si="2"/>
        <v>26</v>
      </c>
      <c r="K40" s="40">
        <v>150.0</v>
      </c>
      <c r="L40" s="40"/>
    </row>
    <row r="41" ht="14.25" customHeight="1">
      <c r="B41" s="38"/>
      <c r="C41" s="39"/>
      <c r="D41" s="40"/>
      <c r="E41" s="40"/>
      <c r="F41" s="40"/>
      <c r="G41" s="40"/>
      <c r="H41" s="40"/>
      <c r="I41" s="40"/>
      <c r="J41" s="40">
        <f t="shared" si="2"/>
        <v>0</v>
      </c>
      <c r="K41" s="40"/>
      <c r="L41" s="40"/>
    </row>
    <row r="42" ht="14.25" customHeight="1">
      <c r="B42" s="38">
        <v>45386.0</v>
      </c>
      <c r="C42" s="39">
        <v>45400.0</v>
      </c>
      <c r="D42" s="40" t="s">
        <v>80</v>
      </c>
      <c r="E42" s="40"/>
      <c r="F42" s="40" t="s">
        <v>365</v>
      </c>
      <c r="G42" s="40" t="s">
        <v>358</v>
      </c>
      <c r="H42" s="40">
        <v>13.9</v>
      </c>
      <c r="I42" s="40">
        <v>92.3</v>
      </c>
      <c r="J42" s="40">
        <f t="shared" si="2"/>
        <v>78.4</v>
      </c>
      <c r="K42" s="40"/>
      <c r="L42" s="40"/>
    </row>
    <row r="43" ht="14.25" customHeight="1">
      <c r="B43" s="38">
        <v>45401.0</v>
      </c>
      <c r="C43" s="39">
        <v>45401.0</v>
      </c>
      <c r="D43" s="40" t="s">
        <v>366</v>
      </c>
      <c r="E43" s="40"/>
      <c r="F43" s="40" t="s">
        <v>367</v>
      </c>
      <c r="G43" s="40" t="s">
        <v>358</v>
      </c>
      <c r="H43" s="40">
        <v>92.3</v>
      </c>
      <c r="I43" s="40">
        <v>100.5</v>
      </c>
      <c r="J43" s="40">
        <f t="shared" si="2"/>
        <v>8.2</v>
      </c>
      <c r="K43" s="40">
        <v>101.0</v>
      </c>
      <c r="L43" s="40"/>
    </row>
    <row r="44" ht="14.25" customHeight="1">
      <c r="B44" s="38">
        <v>45402.0</v>
      </c>
      <c r="C44" s="39">
        <v>45414.0</v>
      </c>
      <c r="D44" s="40" t="s">
        <v>187</v>
      </c>
      <c r="E44" s="40"/>
      <c r="F44" s="40" t="s">
        <v>237</v>
      </c>
      <c r="G44" s="40" t="s">
        <v>358</v>
      </c>
      <c r="H44" s="40">
        <v>100.5</v>
      </c>
      <c r="I44" s="40">
        <v>225.0</v>
      </c>
      <c r="J44" s="40">
        <f t="shared" si="2"/>
        <v>124.5</v>
      </c>
      <c r="K44" s="40">
        <v>725.0</v>
      </c>
      <c r="L44" s="40"/>
    </row>
    <row r="45" ht="14.25" customHeight="1">
      <c r="B45" s="38"/>
      <c r="C45" s="111" t="s">
        <v>197</v>
      </c>
      <c r="F45" s="112"/>
      <c r="G45" s="40"/>
      <c r="H45" s="40"/>
      <c r="I45" s="40"/>
      <c r="J45" s="40">
        <f t="shared" si="2"/>
        <v>0</v>
      </c>
      <c r="K45" s="40"/>
      <c r="L45" s="40"/>
    </row>
    <row r="46" ht="14.25" customHeight="1">
      <c r="B46" s="38">
        <v>45784.0</v>
      </c>
      <c r="C46" s="39">
        <v>45421.0</v>
      </c>
      <c r="D46" s="40" t="s">
        <v>86</v>
      </c>
      <c r="E46" s="40"/>
      <c r="F46" s="40" t="s">
        <v>88</v>
      </c>
      <c r="G46" s="40" t="s">
        <v>358</v>
      </c>
      <c r="H46" s="40">
        <v>226.4</v>
      </c>
      <c r="I46" s="40">
        <v>241.0</v>
      </c>
      <c r="J46" s="40">
        <f t="shared" si="2"/>
        <v>14.6</v>
      </c>
      <c r="K46" s="40"/>
      <c r="L46" s="40"/>
    </row>
    <row r="47" ht="14.25" customHeight="1">
      <c r="B47" s="38">
        <v>45423.0</v>
      </c>
      <c r="C47" s="39">
        <v>45424.0</v>
      </c>
      <c r="D47" s="40" t="s">
        <v>187</v>
      </c>
      <c r="E47" s="40"/>
      <c r="F47" s="40"/>
      <c r="G47" s="40" t="s">
        <v>358</v>
      </c>
      <c r="H47" s="40">
        <v>8240.5</v>
      </c>
      <c r="I47" s="40">
        <v>8258.2</v>
      </c>
      <c r="J47" s="40">
        <f t="shared" si="2"/>
        <v>17.7</v>
      </c>
      <c r="K47" s="40"/>
      <c r="L47" s="40"/>
    </row>
    <row r="48" ht="14.25" customHeight="1">
      <c r="B48" s="38">
        <v>45427.0</v>
      </c>
      <c r="C48" s="39">
        <v>45443.0</v>
      </c>
      <c r="D48" s="40" t="s">
        <v>86</v>
      </c>
      <c r="E48" s="40"/>
      <c r="F48" s="40" t="s">
        <v>90</v>
      </c>
      <c r="G48" s="40" t="s">
        <v>358</v>
      </c>
      <c r="H48" s="40">
        <v>241.0</v>
      </c>
      <c r="I48" s="40">
        <v>351.0</v>
      </c>
      <c r="J48" s="40">
        <f t="shared" si="2"/>
        <v>110</v>
      </c>
      <c r="K48" s="40">
        <v>725.0</v>
      </c>
      <c r="L48" s="40"/>
    </row>
    <row r="49" ht="14.25" customHeight="1">
      <c r="B49" s="38">
        <v>45444.0</v>
      </c>
      <c r="C49" s="39">
        <v>45444.0</v>
      </c>
      <c r="D49" s="40" t="s">
        <v>86</v>
      </c>
      <c r="E49" s="40"/>
      <c r="F49" s="40" t="s">
        <v>90</v>
      </c>
      <c r="G49" s="40" t="s">
        <v>358</v>
      </c>
      <c r="H49" s="40"/>
      <c r="I49" s="40"/>
      <c r="J49" s="40">
        <v>8.0</v>
      </c>
      <c r="K49" s="40"/>
      <c r="L49" s="40"/>
    </row>
    <row r="50" ht="14.25" customHeight="1">
      <c r="B50" s="38">
        <v>45446.0</v>
      </c>
      <c r="C50" s="39">
        <v>45449.0</v>
      </c>
      <c r="D50" s="40" t="s">
        <v>86</v>
      </c>
      <c r="E50" s="40"/>
      <c r="F50" s="40" t="s">
        <v>90</v>
      </c>
      <c r="G50" s="40" t="s">
        <v>358</v>
      </c>
      <c r="H50" s="40">
        <v>351.0</v>
      </c>
      <c r="I50" s="40">
        <v>374.0</v>
      </c>
      <c r="J50" s="40">
        <f t="shared" ref="J50:J87" si="3">I50-H50</f>
        <v>23</v>
      </c>
      <c r="K50" s="40">
        <v>230.0</v>
      </c>
      <c r="L50" s="40"/>
    </row>
    <row r="51" ht="14.25" customHeight="1">
      <c r="B51" s="38">
        <v>45455.0</v>
      </c>
      <c r="C51" s="39">
        <v>45461.0</v>
      </c>
      <c r="D51" s="40" t="s">
        <v>93</v>
      </c>
      <c r="E51" s="40"/>
      <c r="F51" s="40" t="s">
        <v>368</v>
      </c>
      <c r="G51" s="40" t="s">
        <v>358</v>
      </c>
      <c r="H51" s="40">
        <v>378.8</v>
      </c>
      <c r="I51" s="40">
        <v>415.5</v>
      </c>
      <c r="J51" s="40">
        <f t="shared" si="3"/>
        <v>36.7</v>
      </c>
      <c r="K51" s="40">
        <v>350.0</v>
      </c>
      <c r="L51" s="40" t="s">
        <v>369</v>
      </c>
    </row>
    <row r="52" ht="14.25" customHeight="1">
      <c r="B52" s="38">
        <v>45461.0</v>
      </c>
      <c r="C52" s="39">
        <v>45462.0</v>
      </c>
      <c r="D52" s="40" t="s">
        <v>370</v>
      </c>
      <c r="E52" s="40" t="s">
        <v>293</v>
      </c>
      <c r="F52" s="40" t="s">
        <v>371</v>
      </c>
      <c r="G52" s="40" t="s">
        <v>358</v>
      </c>
      <c r="H52" s="40">
        <v>415.5</v>
      </c>
      <c r="I52" s="40">
        <v>430.5</v>
      </c>
      <c r="J52" s="40">
        <f t="shared" si="3"/>
        <v>15</v>
      </c>
      <c r="K52" s="40"/>
      <c r="L52" s="40"/>
    </row>
    <row r="53" ht="14.25" customHeight="1">
      <c r="B53" s="38">
        <v>45463.0</v>
      </c>
      <c r="C53" s="39">
        <v>45464.0</v>
      </c>
      <c r="D53" s="40" t="s">
        <v>298</v>
      </c>
      <c r="E53" s="40" t="s">
        <v>293</v>
      </c>
      <c r="F53" s="40" t="s">
        <v>372</v>
      </c>
      <c r="G53" s="40" t="s">
        <v>358</v>
      </c>
      <c r="H53" s="40">
        <v>430.5</v>
      </c>
      <c r="I53" s="40">
        <v>440.7</v>
      </c>
      <c r="J53" s="40">
        <f t="shared" si="3"/>
        <v>10.2</v>
      </c>
      <c r="K53" s="40"/>
      <c r="L53" s="40"/>
    </row>
    <row r="54" ht="14.25" customHeight="1">
      <c r="B54" s="38">
        <v>45450.0</v>
      </c>
      <c r="C54" s="39">
        <v>45450.0</v>
      </c>
      <c r="D54" s="40" t="s">
        <v>86</v>
      </c>
      <c r="E54" s="40"/>
      <c r="F54" s="40" t="s">
        <v>90</v>
      </c>
      <c r="G54" s="40" t="s">
        <v>373</v>
      </c>
      <c r="H54" s="40">
        <v>374.0</v>
      </c>
      <c r="I54" s="40">
        <v>378.1</v>
      </c>
      <c r="J54" s="40">
        <f t="shared" si="3"/>
        <v>4.1</v>
      </c>
      <c r="K54" s="40"/>
      <c r="L54" s="40"/>
    </row>
    <row r="55" ht="14.25" customHeight="1">
      <c r="B55" s="38"/>
      <c r="C55" s="111" t="s">
        <v>374</v>
      </c>
      <c r="F55" s="112"/>
      <c r="G55" s="40"/>
      <c r="H55" s="40"/>
      <c r="I55" s="40"/>
      <c r="J55" s="40">
        <f t="shared" si="3"/>
        <v>0</v>
      </c>
      <c r="K55" s="40"/>
      <c r="L55" s="40"/>
    </row>
    <row r="56" ht="14.25" customHeight="1">
      <c r="B56" s="38">
        <v>45467.0</v>
      </c>
      <c r="C56" s="39">
        <v>45472.0</v>
      </c>
      <c r="D56" s="40" t="s">
        <v>298</v>
      </c>
      <c r="E56" s="40" t="s">
        <v>293</v>
      </c>
      <c r="F56" s="40" t="s">
        <v>375</v>
      </c>
      <c r="G56" s="40" t="s">
        <v>373</v>
      </c>
      <c r="H56" s="40">
        <v>449.0</v>
      </c>
      <c r="I56" s="40">
        <v>495.4</v>
      </c>
      <c r="J56" s="40">
        <f t="shared" si="3"/>
        <v>46.4</v>
      </c>
      <c r="K56" s="40">
        <v>467.0</v>
      </c>
      <c r="L56" s="110"/>
    </row>
    <row r="57" ht="14.25" customHeight="1">
      <c r="B57" s="38">
        <v>45474.0</v>
      </c>
      <c r="C57" s="39">
        <v>45485.0</v>
      </c>
      <c r="D57" s="40" t="s">
        <v>376</v>
      </c>
      <c r="E57" s="40" t="s">
        <v>293</v>
      </c>
      <c r="F57" s="40" t="s">
        <v>377</v>
      </c>
      <c r="G57" s="40" t="s">
        <v>373</v>
      </c>
      <c r="H57" s="40">
        <v>495.4</v>
      </c>
      <c r="I57" s="40">
        <v>574.7</v>
      </c>
      <c r="J57" s="40">
        <f t="shared" si="3"/>
        <v>79.3</v>
      </c>
      <c r="K57" s="40">
        <v>407.0</v>
      </c>
      <c r="L57" s="40"/>
    </row>
    <row r="58" ht="14.25" customHeight="1">
      <c r="B58" s="38">
        <v>45488.0</v>
      </c>
      <c r="C58" s="39">
        <v>45504.0</v>
      </c>
      <c r="D58" s="40" t="s">
        <v>187</v>
      </c>
      <c r="E58" s="40"/>
      <c r="F58" s="40" t="s">
        <v>79</v>
      </c>
      <c r="G58" s="40" t="s">
        <v>373</v>
      </c>
      <c r="H58" s="40">
        <v>574.7</v>
      </c>
      <c r="I58" s="40">
        <v>690.0</v>
      </c>
      <c r="J58" s="40">
        <f t="shared" si="3"/>
        <v>115.3</v>
      </c>
      <c r="K58" s="40">
        <v>863.0</v>
      </c>
      <c r="L58" s="40"/>
    </row>
    <row r="59" ht="14.25" customHeight="1">
      <c r="B59" s="38">
        <v>45505.0</v>
      </c>
      <c r="C59" s="39">
        <v>45511.0</v>
      </c>
      <c r="D59" s="40" t="s">
        <v>378</v>
      </c>
      <c r="E59" s="40"/>
      <c r="F59" s="40" t="s">
        <v>79</v>
      </c>
      <c r="G59" s="40" t="s">
        <v>373</v>
      </c>
      <c r="H59" s="40">
        <v>690.0</v>
      </c>
      <c r="I59" s="40">
        <v>744.6</v>
      </c>
      <c r="J59" s="40">
        <f t="shared" si="3"/>
        <v>54.6</v>
      </c>
      <c r="K59" s="40">
        <v>430.0</v>
      </c>
      <c r="L59" s="40"/>
    </row>
    <row r="60" ht="14.25" customHeight="1">
      <c r="B60" s="38">
        <v>45512.0</v>
      </c>
      <c r="C60" s="39">
        <v>45516.0</v>
      </c>
      <c r="D60" s="40" t="s">
        <v>187</v>
      </c>
      <c r="E60" s="40"/>
      <c r="F60" s="40" t="s">
        <v>379</v>
      </c>
      <c r="G60" s="40" t="s">
        <v>373</v>
      </c>
      <c r="H60" s="40">
        <v>744.6</v>
      </c>
      <c r="I60" s="40">
        <v>776.2</v>
      </c>
      <c r="J60" s="40">
        <f t="shared" si="3"/>
        <v>31.6</v>
      </c>
      <c r="K60" s="40">
        <v>476.0</v>
      </c>
      <c r="L60" s="40"/>
    </row>
    <row r="61" ht="14.25" customHeight="1">
      <c r="B61" s="38"/>
      <c r="C61" s="111" t="s">
        <v>197</v>
      </c>
      <c r="F61" s="112"/>
      <c r="G61" s="40"/>
      <c r="H61" s="40"/>
      <c r="I61" s="40"/>
      <c r="J61" s="40">
        <f t="shared" si="3"/>
        <v>0</v>
      </c>
      <c r="K61" s="40"/>
      <c r="L61" s="40"/>
    </row>
    <row r="62" ht="14.25" customHeight="1">
      <c r="B62" s="38">
        <v>45528.0</v>
      </c>
      <c r="C62" s="39">
        <v>45534.0</v>
      </c>
      <c r="D62" s="40" t="s">
        <v>380</v>
      </c>
      <c r="E62" s="40"/>
      <c r="F62" s="40" t="s">
        <v>381</v>
      </c>
      <c r="G62" s="40" t="s">
        <v>373</v>
      </c>
      <c r="H62" s="40">
        <v>776.2</v>
      </c>
      <c r="I62" s="40">
        <v>809.4</v>
      </c>
      <c r="J62" s="40">
        <f t="shared" si="3"/>
        <v>33.2</v>
      </c>
      <c r="K62" s="40">
        <v>243.0</v>
      </c>
      <c r="L62" s="40"/>
    </row>
    <row r="63" ht="14.25" customHeight="1">
      <c r="B63" s="38">
        <v>45535.0</v>
      </c>
      <c r="C63" s="39">
        <v>45541.0</v>
      </c>
      <c r="D63" s="40" t="s">
        <v>380</v>
      </c>
      <c r="E63" s="40"/>
      <c r="F63" s="40" t="s">
        <v>382</v>
      </c>
      <c r="G63" s="40" t="s">
        <v>373</v>
      </c>
      <c r="H63" s="40">
        <v>809.4</v>
      </c>
      <c r="I63" s="40">
        <v>861.5</v>
      </c>
      <c r="J63" s="40">
        <f t="shared" si="3"/>
        <v>52.1</v>
      </c>
      <c r="K63" s="40">
        <v>115.0</v>
      </c>
      <c r="L63" s="40"/>
    </row>
    <row r="64" ht="14.25" customHeight="1">
      <c r="B64" s="38">
        <v>45542.0</v>
      </c>
      <c r="C64" s="39">
        <v>45543.0</v>
      </c>
      <c r="D64" s="40" t="s">
        <v>383</v>
      </c>
      <c r="E64" s="40" t="s">
        <v>293</v>
      </c>
      <c r="F64" s="40" t="s">
        <v>384</v>
      </c>
      <c r="G64" s="40" t="s">
        <v>373</v>
      </c>
      <c r="H64" s="40">
        <v>861.5</v>
      </c>
      <c r="I64" s="40">
        <v>874.7</v>
      </c>
      <c r="J64" s="40">
        <f t="shared" si="3"/>
        <v>13.2</v>
      </c>
      <c r="K64" s="40">
        <v>100.0</v>
      </c>
      <c r="L64" s="40"/>
    </row>
    <row r="65" ht="14.25" customHeight="1">
      <c r="B65" s="38">
        <v>45544.0</v>
      </c>
      <c r="C65" s="39">
        <v>45569.0</v>
      </c>
      <c r="D65" s="40" t="s">
        <v>298</v>
      </c>
      <c r="E65" s="40"/>
      <c r="F65" s="40" t="s">
        <v>382</v>
      </c>
      <c r="G65" s="40" t="s">
        <v>373</v>
      </c>
      <c r="H65" s="40">
        <v>874.7</v>
      </c>
      <c r="I65" s="40">
        <v>1001.1</v>
      </c>
      <c r="J65" s="40">
        <f t="shared" si="3"/>
        <v>126.4</v>
      </c>
      <c r="K65" s="40">
        <v>620.0</v>
      </c>
      <c r="L65" s="40"/>
    </row>
    <row r="66" ht="14.25" customHeight="1">
      <c r="B66" s="38">
        <v>45572.0</v>
      </c>
      <c r="C66" s="39">
        <v>45574.0</v>
      </c>
      <c r="D66" s="40" t="s">
        <v>111</v>
      </c>
      <c r="E66" s="40"/>
      <c r="F66" s="40" t="s">
        <v>71</v>
      </c>
      <c r="G66" s="40" t="s">
        <v>373</v>
      </c>
      <c r="H66" s="40">
        <v>1001.1</v>
      </c>
      <c r="I66" s="40">
        <v>1018.0</v>
      </c>
      <c r="J66" s="40">
        <f t="shared" si="3"/>
        <v>16.9</v>
      </c>
      <c r="K66" s="40">
        <v>100.0</v>
      </c>
      <c r="L66" s="40"/>
    </row>
    <row r="67" ht="14.25" customHeight="1">
      <c r="B67" s="38">
        <v>45575.0</v>
      </c>
      <c r="C67" s="39">
        <v>45575.0</v>
      </c>
      <c r="D67" s="40" t="s">
        <v>362</v>
      </c>
      <c r="E67" s="40"/>
      <c r="F67" s="40" t="s">
        <v>385</v>
      </c>
      <c r="G67" s="40" t="s">
        <v>373</v>
      </c>
      <c r="H67" s="40">
        <v>1018.3</v>
      </c>
      <c r="I67" s="40">
        <v>1021.0</v>
      </c>
      <c r="J67" s="40">
        <f t="shared" si="3"/>
        <v>2.7</v>
      </c>
      <c r="K67" s="40">
        <v>115.0</v>
      </c>
      <c r="L67" s="110"/>
    </row>
    <row r="68" ht="14.25" customHeight="1">
      <c r="B68" s="38">
        <v>45578.0</v>
      </c>
      <c r="C68" s="39">
        <v>45578.0</v>
      </c>
      <c r="D68" s="40"/>
      <c r="E68" s="40"/>
      <c r="F68" s="40" t="s">
        <v>386</v>
      </c>
      <c r="G68" s="40" t="s">
        <v>240</v>
      </c>
      <c r="H68" s="40">
        <v>1021.0</v>
      </c>
      <c r="I68" s="40">
        <v>1023.6</v>
      </c>
      <c r="J68" s="40">
        <f t="shared" si="3"/>
        <v>2.6</v>
      </c>
      <c r="K68" s="40"/>
      <c r="L68" s="40"/>
    </row>
    <row r="69" ht="14.25" customHeight="1">
      <c r="B69" s="38">
        <v>45579.0</v>
      </c>
      <c r="C69" s="39">
        <v>45582.0</v>
      </c>
      <c r="D69" s="40" t="s">
        <v>378</v>
      </c>
      <c r="E69" s="40" t="s">
        <v>221</v>
      </c>
      <c r="F69" s="40" t="s">
        <v>387</v>
      </c>
      <c r="G69" s="40"/>
      <c r="H69" s="40">
        <v>1023.6</v>
      </c>
      <c r="I69" s="40">
        <v>1046.1</v>
      </c>
      <c r="J69" s="40">
        <f t="shared" si="3"/>
        <v>22.5</v>
      </c>
      <c r="K69" s="40">
        <v>100.0</v>
      </c>
      <c r="L69" s="40"/>
    </row>
    <row r="70" ht="14.25" customHeight="1">
      <c r="B70" s="38">
        <v>45583.0</v>
      </c>
      <c r="C70" s="39">
        <v>45583.0</v>
      </c>
      <c r="D70" s="40" t="s">
        <v>187</v>
      </c>
      <c r="E70" s="40"/>
      <c r="F70" s="40" t="s">
        <v>239</v>
      </c>
      <c r="G70" s="40"/>
      <c r="H70" s="40">
        <v>1046.1</v>
      </c>
      <c r="I70" s="40">
        <v>1049.8</v>
      </c>
      <c r="J70" s="40">
        <f t="shared" si="3"/>
        <v>3.7</v>
      </c>
      <c r="K70" s="40"/>
      <c r="L70" s="40"/>
    </row>
    <row r="71" ht="14.25" customHeight="1">
      <c r="B71" s="38">
        <v>45583.0</v>
      </c>
      <c r="C71" s="39">
        <v>45583.0</v>
      </c>
      <c r="D71" s="40"/>
      <c r="E71" s="40"/>
      <c r="F71" s="40" t="s">
        <v>388</v>
      </c>
      <c r="G71" s="40"/>
      <c r="H71" s="40">
        <v>1049.8</v>
      </c>
      <c r="I71" s="40">
        <v>1055.9</v>
      </c>
      <c r="J71" s="40">
        <f t="shared" si="3"/>
        <v>6.1</v>
      </c>
      <c r="K71" s="40">
        <v>120.0</v>
      </c>
      <c r="L71" s="40"/>
    </row>
    <row r="72" ht="14.25" customHeight="1">
      <c r="B72" s="38"/>
      <c r="C72" s="111" t="s">
        <v>389</v>
      </c>
      <c r="E72" s="112"/>
      <c r="F72" s="40"/>
      <c r="G72" s="40"/>
      <c r="H72" s="40"/>
      <c r="I72" s="40"/>
      <c r="J72" s="40">
        <f t="shared" si="3"/>
        <v>0</v>
      </c>
      <c r="K72" s="40"/>
      <c r="L72" s="40"/>
    </row>
    <row r="73" ht="14.25" customHeight="1">
      <c r="B73" s="38">
        <v>45592.0</v>
      </c>
      <c r="C73" s="39">
        <v>45596.0</v>
      </c>
      <c r="D73" s="40" t="s">
        <v>390</v>
      </c>
      <c r="E73" s="40"/>
      <c r="F73" s="40" t="s">
        <v>391</v>
      </c>
      <c r="G73" s="40" t="s">
        <v>240</v>
      </c>
      <c r="H73" s="40">
        <v>1055.9</v>
      </c>
      <c r="I73" s="40">
        <v>1091.6</v>
      </c>
      <c r="J73" s="40">
        <f t="shared" si="3"/>
        <v>35.7</v>
      </c>
      <c r="K73" s="40">
        <v>323.0</v>
      </c>
      <c r="L73" s="40"/>
    </row>
    <row r="74" ht="14.25" customHeight="1">
      <c r="A74" s="105"/>
      <c r="B74" s="106">
        <v>45604.0</v>
      </c>
      <c r="C74" s="107">
        <v>45608.0</v>
      </c>
      <c r="D74" s="108" t="s">
        <v>187</v>
      </c>
      <c r="E74" s="108"/>
      <c r="F74" s="108" t="s">
        <v>237</v>
      </c>
      <c r="G74" s="108" t="s">
        <v>238</v>
      </c>
      <c r="H74" s="108">
        <v>1091.6</v>
      </c>
      <c r="I74" s="108">
        <v>1173.8</v>
      </c>
      <c r="J74" s="108">
        <f t="shared" si="3"/>
        <v>82.2</v>
      </c>
      <c r="K74" s="108"/>
      <c r="L74" s="108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4.25" customHeight="1">
      <c r="B75" s="38"/>
      <c r="C75" s="39"/>
      <c r="D75" s="40" t="s">
        <v>51</v>
      </c>
      <c r="E75" s="40"/>
      <c r="F75" s="40" t="s">
        <v>114</v>
      </c>
      <c r="G75" s="40" t="s">
        <v>373</v>
      </c>
      <c r="H75" s="40">
        <v>1173.8</v>
      </c>
      <c r="I75" s="40">
        <v>1176.8</v>
      </c>
      <c r="J75" s="40">
        <f t="shared" si="3"/>
        <v>3</v>
      </c>
      <c r="K75" s="40"/>
      <c r="L75" s="40"/>
    </row>
    <row r="76" ht="14.25" customHeight="1">
      <c r="B76" s="38">
        <v>45611.0</v>
      </c>
      <c r="C76" s="39">
        <v>45615.0</v>
      </c>
      <c r="D76" s="40" t="s">
        <v>392</v>
      </c>
      <c r="E76" s="40"/>
      <c r="F76" s="40" t="s">
        <v>393</v>
      </c>
      <c r="G76" s="40" t="s">
        <v>240</v>
      </c>
      <c r="H76" s="40">
        <v>1176.3</v>
      </c>
      <c r="I76" s="40">
        <v>1199.4</v>
      </c>
      <c r="J76" s="40">
        <f t="shared" si="3"/>
        <v>23.1</v>
      </c>
      <c r="K76" s="40">
        <v>90.0</v>
      </c>
      <c r="L76" s="40"/>
    </row>
    <row r="77" ht="14.25" customHeight="1">
      <c r="A77" s="105"/>
      <c r="B77" s="106">
        <v>45614.0</v>
      </c>
      <c r="C77" s="107">
        <v>45614.0</v>
      </c>
      <c r="D77" s="108" t="s">
        <v>187</v>
      </c>
      <c r="E77" s="108"/>
      <c r="F77" s="108" t="s">
        <v>239</v>
      </c>
      <c r="G77" s="108" t="s">
        <v>240</v>
      </c>
      <c r="H77" s="108">
        <v>1046.7</v>
      </c>
      <c r="I77" s="108">
        <v>1049.8</v>
      </c>
      <c r="J77" s="108">
        <f t="shared" si="3"/>
        <v>3.1</v>
      </c>
      <c r="K77" s="108"/>
      <c r="L77" s="108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4.25" customHeight="1">
      <c r="B78" s="38">
        <v>45616.0</v>
      </c>
      <c r="C78" s="39">
        <v>45625.0</v>
      </c>
      <c r="D78" s="40" t="s">
        <v>51</v>
      </c>
      <c r="E78" s="40"/>
      <c r="F78" s="40" t="s">
        <v>114</v>
      </c>
      <c r="G78" s="40" t="s">
        <v>240</v>
      </c>
      <c r="H78" s="40">
        <v>1199.4</v>
      </c>
      <c r="I78" s="40">
        <v>1229.2</v>
      </c>
      <c r="J78" s="40">
        <f t="shared" si="3"/>
        <v>29.8</v>
      </c>
      <c r="K78" s="40"/>
      <c r="L78" s="40"/>
    </row>
    <row r="79" ht="14.25" customHeight="1">
      <c r="B79" s="38">
        <v>45628.0</v>
      </c>
      <c r="C79" s="39">
        <v>45654.0</v>
      </c>
      <c r="D79" s="40" t="s">
        <v>51</v>
      </c>
      <c r="E79" s="40"/>
      <c r="F79" s="40" t="s">
        <v>114</v>
      </c>
      <c r="G79" s="40" t="s">
        <v>240</v>
      </c>
      <c r="H79" s="40">
        <v>1229.2</v>
      </c>
      <c r="I79" s="40">
        <v>1286.4</v>
      </c>
      <c r="J79" s="40">
        <f t="shared" si="3"/>
        <v>57.2</v>
      </c>
      <c r="K79" s="40"/>
      <c r="L79" s="113"/>
    </row>
    <row r="80" ht="14.25" customHeight="1">
      <c r="B80" s="38">
        <v>45661.0</v>
      </c>
      <c r="C80" s="39">
        <v>45667.0</v>
      </c>
      <c r="D80" s="40" t="s">
        <v>187</v>
      </c>
      <c r="E80" s="40"/>
      <c r="F80" s="40" t="s">
        <v>288</v>
      </c>
      <c r="G80" s="40" t="s">
        <v>240</v>
      </c>
      <c r="H80" s="40">
        <v>1291.3</v>
      </c>
      <c r="I80" s="40">
        <v>1328.4</v>
      </c>
      <c r="J80" s="40">
        <f t="shared" si="3"/>
        <v>37.1</v>
      </c>
      <c r="K80" s="40">
        <v>631.0</v>
      </c>
      <c r="L80" s="44"/>
    </row>
    <row r="81" ht="14.25" customHeight="1">
      <c r="B81" s="38">
        <v>45668.0</v>
      </c>
      <c r="C81" s="39">
        <v>45668.0</v>
      </c>
      <c r="D81" s="40"/>
      <c r="E81" s="40"/>
      <c r="F81" s="40"/>
      <c r="G81" s="40"/>
      <c r="H81" s="40">
        <v>1328.4</v>
      </c>
      <c r="I81" s="40">
        <v>1330.0</v>
      </c>
      <c r="J81" s="40">
        <f t="shared" si="3"/>
        <v>1.6</v>
      </c>
      <c r="K81" s="40"/>
      <c r="L81" s="44"/>
    </row>
    <row r="82" ht="14.25" customHeight="1">
      <c r="B82" s="38">
        <v>45670.0</v>
      </c>
      <c r="C82" s="39">
        <v>45687.0</v>
      </c>
      <c r="D82" s="40" t="s">
        <v>187</v>
      </c>
      <c r="E82" s="40"/>
      <c r="F82" s="40" t="s">
        <v>237</v>
      </c>
      <c r="G82" s="40" t="s">
        <v>240</v>
      </c>
      <c r="H82" s="40">
        <v>1330.0</v>
      </c>
      <c r="I82" s="40">
        <v>1440.0</v>
      </c>
      <c r="J82" s="40">
        <f t="shared" si="3"/>
        <v>110</v>
      </c>
      <c r="K82" s="40">
        <v>462.0</v>
      </c>
      <c r="L82" s="44"/>
    </row>
    <row r="83" ht="14.25" customHeight="1">
      <c r="B83" s="38">
        <v>45692.0</v>
      </c>
      <c r="C83" s="39">
        <v>45694.0</v>
      </c>
      <c r="D83" s="40" t="s">
        <v>187</v>
      </c>
      <c r="E83" s="40"/>
      <c r="F83" s="40" t="s">
        <v>90</v>
      </c>
      <c r="G83" s="40" t="s">
        <v>373</v>
      </c>
      <c r="H83" s="40">
        <v>1440.0</v>
      </c>
      <c r="I83" s="40">
        <v>1461.3</v>
      </c>
      <c r="J83" s="40">
        <f t="shared" si="3"/>
        <v>21.3</v>
      </c>
      <c r="K83" s="40">
        <v>220.0</v>
      </c>
      <c r="L83" s="44"/>
    </row>
    <row r="84" ht="14.25" customHeight="1">
      <c r="B84" s="38">
        <v>45698.0</v>
      </c>
      <c r="C84" s="39">
        <v>45716.0</v>
      </c>
      <c r="D84" s="40" t="s">
        <v>378</v>
      </c>
      <c r="E84" s="40"/>
      <c r="F84" s="40" t="s">
        <v>90</v>
      </c>
      <c r="G84" s="40" t="s">
        <v>394</v>
      </c>
      <c r="H84" s="40">
        <v>1462.9</v>
      </c>
      <c r="I84" s="40">
        <v>1602.3</v>
      </c>
      <c r="J84" s="40">
        <f t="shared" si="3"/>
        <v>139.4</v>
      </c>
      <c r="K84" s="40">
        <v>1100.0</v>
      </c>
      <c r="L84" s="44"/>
    </row>
    <row r="85" ht="14.25" customHeight="1">
      <c r="B85" s="38">
        <v>45719.0</v>
      </c>
      <c r="C85" s="39">
        <v>45747.0</v>
      </c>
      <c r="D85" s="40" t="s">
        <v>187</v>
      </c>
      <c r="E85" s="40"/>
      <c r="F85" s="40" t="s">
        <v>90</v>
      </c>
      <c r="G85" s="40" t="s">
        <v>394</v>
      </c>
      <c r="H85" s="40">
        <v>1602.3</v>
      </c>
      <c r="I85" s="40">
        <v>1817.9</v>
      </c>
      <c r="J85" s="40">
        <f t="shared" si="3"/>
        <v>215.6</v>
      </c>
      <c r="K85" s="40">
        <v>1350.0</v>
      </c>
      <c r="L85" s="44"/>
    </row>
    <row r="86" ht="14.25" customHeight="1">
      <c r="B86" s="38">
        <v>45748.0</v>
      </c>
      <c r="C86" s="39">
        <v>45756.0</v>
      </c>
      <c r="D86" s="40" t="s">
        <v>187</v>
      </c>
      <c r="E86" s="40"/>
      <c r="F86" s="40" t="s">
        <v>90</v>
      </c>
      <c r="G86" s="40" t="s">
        <v>394</v>
      </c>
      <c r="H86" s="40">
        <v>1817.9</v>
      </c>
      <c r="I86" s="40">
        <v>1894.9</v>
      </c>
      <c r="J86" s="40">
        <f t="shared" si="3"/>
        <v>77</v>
      </c>
      <c r="K86" s="40">
        <v>1130.0</v>
      </c>
      <c r="L86" s="44"/>
    </row>
    <row r="87" ht="14.25" customHeight="1">
      <c r="B87" s="38"/>
      <c r="C87" s="39"/>
      <c r="D87" s="40"/>
      <c r="E87" s="40"/>
      <c r="F87" s="40"/>
      <c r="G87" s="40"/>
      <c r="H87" s="40"/>
      <c r="I87" s="40"/>
      <c r="J87" s="40">
        <f t="shared" si="3"/>
        <v>0</v>
      </c>
      <c r="K87" s="40"/>
      <c r="L87" s="44"/>
    </row>
    <row r="88" ht="14.25" customHeight="1">
      <c r="B88" s="84" t="s">
        <v>395</v>
      </c>
      <c r="C88" s="114"/>
      <c r="D88" s="114"/>
      <c r="E88" s="114"/>
      <c r="F88" s="114"/>
      <c r="G88" s="114"/>
      <c r="H88" s="114"/>
      <c r="I88" s="114"/>
      <c r="J88" s="114"/>
      <c r="K88" s="114"/>
      <c r="L88" s="115"/>
    </row>
    <row r="89" ht="14.25" customHeight="1">
      <c r="B89" s="116"/>
      <c r="L89" s="117"/>
    </row>
    <row r="90" ht="14.25" customHeight="1">
      <c r="B90" s="118"/>
      <c r="C90" s="119"/>
      <c r="D90" s="119"/>
      <c r="E90" s="119"/>
      <c r="F90" s="119"/>
      <c r="G90" s="119"/>
      <c r="H90" s="119"/>
      <c r="I90" s="119"/>
      <c r="J90" s="119"/>
      <c r="K90" s="119"/>
      <c r="L90" s="120"/>
    </row>
    <row r="91" ht="14.25" customHeight="1">
      <c r="B91" s="38">
        <v>45756.0</v>
      </c>
      <c r="C91" s="39">
        <v>45777.0</v>
      </c>
      <c r="D91" s="40" t="s">
        <v>187</v>
      </c>
      <c r="E91" s="40"/>
      <c r="F91" s="40" t="s">
        <v>90</v>
      </c>
      <c r="G91" s="40" t="s">
        <v>394</v>
      </c>
      <c r="H91" s="40">
        <v>5769.4</v>
      </c>
      <c r="I91" s="40">
        <v>5917.0</v>
      </c>
      <c r="J91" s="40">
        <f t="shared" ref="J91:J92" si="4">I91-H91</f>
        <v>147.6</v>
      </c>
      <c r="K91" s="40">
        <v>1633.0</v>
      </c>
      <c r="L91" s="44"/>
    </row>
    <row r="92" ht="14.25" customHeight="1">
      <c r="B92" s="38">
        <v>45778.0</v>
      </c>
      <c r="C92" s="39">
        <v>45786.0</v>
      </c>
      <c r="D92" s="40" t="s">
        <v>187</v>
      </c>
      <c r="E92" s="40"/>
      <c r="F92" s="40" t="s">
        <v>90</v>
      </c>
      <c r="G92" s="40" t="s">
        <v>394</v>
      </c>
      <c r="H92" s="40">
        <v>5917.0</v>
      </c>
      <c r="I92" s="40">
        <v>5992.3</v>
      </c>
      <c r="J92" s="40">
        <f t="shared" si="4"/>
        <v>75.3</v>
      </c>
      <c r="K92" s="40">
        <v>925.0</v>
      </c>
      <c r="L92" s="44"/>
    </row>
    <row r="93" ht="14.25" customHeight="1">
      <c r="B93" s="38">
        <v>45788.0</v>
      </c>
      <c r="C93" s="39">
        <v>45793.0</v>
      </c>
      <c r="D93" s="40" t="s">
        <v>187</v>
      </c>
      <c r="E93" s="40"/>
      <c r="F93" s="40" t="s">
        <v>90</v>
      </c>
      <c r="G93" s="40" t="s">
        <v>394</v>
      </c>
      <c r="H93" s="40"/>
      <c r="I93" s="40"/>
      <c r="J93" s="40">
        <v>40.7</v>
      </c>
      <c r="K93" s="40">
        <v>85.0</v>
      </c>
      <c r="L93" s="44"/>
    </row>
    <row r="94" ht="14.25" customHeight="1">
      <c r="B94" s="38">
        <v>45796.0</v>
      </c>
      <c r="C94" s="39">
        <v>45808.0</v>
      </c>
      <c r="D94" s="40" t="s">
        <v>378</v>
      </c>
      <c r="E94" s="40"/>
      <c r="F94" s="40" t="s">
        <v>90</v>
      </c>
      <c r="G94" s="40" t="s">
        <v>394</v>
      </c>
      <c r="H94" s="40">
        <v>5994.5</v>
      </c>
      <c r="I94" s="40">
        <v>6119.8</v>
      </c>
      <c r="J94" s="40">
        <f t="shared" ref="J94:J311" si="5">I94-H94</f>
        <v>125.3</v>
      </c>
      <c r="K94" s="40">
        <v>1449.0</v>
      </c>
      <c r="L94" s="44"/>
    </row>
    <row r="95" ht="14.25" customHeight="1">
      <c r="B95" s="38">
        <v>45810.0</v>
      </c>
      <c r="C95" s="39">
        <v>45829.0</v>
      </c>
      <c r="D95" s="40" t="s">
        <v>187</v>
      </c>
      <c r="E95" s="40"/>
      <c r="F95" s="40" t="s">
        <v>90</v>
      </c>
      <c r="G95" s="40" t="s">
        <v>394</v>
      </c>
      <c r="H95" s="40">
        <v>6119.8</v>
      </c>
      <c r="I95" s="40">
        <v>6267.6</v>
      </c>
      <c r="J95" s="40">
        <f t="shared" si="5"/>
        <v>147.8</v>
      </c>
      <c r="K95" s="40">
        <v>1843.0</v>
      </c>
      <c r="L95" s="44"/>
    </row>
    <row r="96" ht="14.25" customHeight="1">
      <c r="B96" s="38">
        <v>45831.0</v>
      </c>
      <c r="C96" s="39">
        <v>45838.0</v>
      </c>
      <c r="D96" s="40" t="s">
        <v>67</v>
      </c>
      <c r="E96" s="40"/>
      <c r="F96" s="40" t="s">
        <v>36</v>
      </c>
      <c r="G96" s="40"/>
      <c r="H96" s="40">
        <v>6267.6</v>
      </c>
      <c r="I96" s="40">
        <v>6331.1</v>
      </c>
      <c r="J96" s="40">
        <f t="shared" si="5"/>
        <v>63.5</v>
      </c>
      <c r="K96" s="40">
        <v>660.0</v>
      </c>
      <c r="L96" s="44"/>
    </row>
    <row r="97" ht="14.25" customHeight="1">
      <c r="B97" s="38">
        <v>45839.0</v>
      </c>
      <c r="C97" s="39">
        <v>45849.0</v>
      </c>
      <c r="D97" s="40" t="s">
        <v>67</v>
      </c>
      <c r="E97" s="40"/>
      <c r="F97" s="40" t="s">
        <v>36</v>
      </c>
      <c r="G97" s="40" t="s">
        <v>396</v>
      </c>
      <c r="H97" s="40">
        <v>6331.1</v>
      </c>
      <c r="I97" s="40">
        <v>6412.0</v>
      </c>
      <c r="J97" s="40">
        <f t="shared" si="5"/>
        <v>80.9</v>
      </c>
      <c r="K97" s="40">
        <v>669.0</v>
      </c>
      <c r="L97" s="44"/>
    </row>
    <row r="98" ht="14.25" customHeight="1">
      <c r="B98" s="38">
        <v>45853.0</v>
      </c>
      <c r="C98" s="39">
        <v>45869.0</v>
      </c>
      <c r="D98" s="40" t="s">
        <v>397</v>
      </c>
      <c r="E98" s="40"/>
      <c r="F98" s="40" t="s">
        <v>305</v>
      </c>
      <c r="G98" s="40" t="s">
        <v>396</v>
      </c>
      <c r="H98" s="40">
        <v>6412.7</v>
      </c>
      <c r="I98" s="40">
        <v>6562.3</v>
      </c>
      <c r="J98" s="40">
        <f t="shared" si="5"/>
        <v>149.6</v>
      </c>
      <c r="K98" s="40">
        <v>2050.0</v>
      </c>
      <c r="L98" s="44"/>
    </row>
    <row r="99" ht="14.25" customHeight="1">
      <c r="B99" s="38">
        <v>45870.0</v>
      </c>
      <c r="C99" s="39">
        <v>45897.0</v>
      </c>
      <c r="D99" s="40" t="s">
        <v>397</v>
      </c>
      <c r="E99" s="40"/>
      <c r="F99" s="40" t="s">
        <v>305</v>
      </c>
      <c r="G99" s="40" t="s">
        <v>396</v>
      </c>
      <c r="H99" s="40">
        <v>6562.3</v>
      </c>
      <c r="I99" s="40">
        <v>6766.6</v>
      </c>
      <c r="J99" s="40">
        <f t="shared" si="5"/>
        <v>204.3</v>
      </c>
      <c r="K99" s="40">
        <v>3165.0</v>
      </c>
      <c r="L99" s="44"/>
    </row>
    <row r="100" ht="14.25" customHeight="1">
      <c r="B100" s="38">
        <v>45898.0</v>
      </c>
      <c r="C100" s="39">
        <v>45898.0</v>
      </c>
      <c r="D100" s="40" t="s">
        <v>398</v>
      </c>
      <c r="E100" s="40"/>
      <c r="F100" s="40" t="s">
        <v>399</v>
      </c>
      <c r="G100" s="40" t="s">
        <v>394</v>
      </c>
      <c r="H100" s="40">
        <v>6767.2</v>
      </c>
      <c r="I100" s="40">
        <v>6780.9</v>
      </c>
      <c r="J100" s="40">
        <f t="shared" si="5"/>
        <v>13.7</v>
      </c>
      <c r="K100" s="40">
        <v>200.0</v>
      </c>
      <c r="L100" s="44"/>
    </row>
    <row r="101" ht="14.25" customHeight="1">
      <c r="B101" s="38">
        <v>45908.0</v>
      </c>
      <c r="C101" s="39">
        <v>45930.0</v>
      </c>
      <c r="D101" s="40" t="s">
        <v>398</v>
      </c>
      <c r="E101" s="40"/>
      <c r="F101" s="40" t="s">
        <v>400</v>
      </c>
      <c r="G101" s="40" t="s">
        <v>289</v>
      </c>
      <c r="H101" s="40">
        <v>6832.5</v>
      </c>
      <c r="I101" s="40">
        <v>7006.0</v>
      </c>
      <c r="J101" s="40">
        <f t="shared" si="5"/>
        <v>173.5</v>
      </c>
      <c r="K101" s="40"/>
      <c r="L101" s="44"/>
    </row>
    <row r="102" ht="14.25" customHeight="1">
      <c r="B102" s="121">
        <v>45931.0</v>
      </c>
      <c r="C102" s="122">
        <v>45961.0</v>
      </c>
      <c r="D102" s="123" t="s">
        <v>398</v>
      </c>
      <c r="E102" s="40"/>
      <c r="F102" s="123" t="s">
        <v>400</v>
      </c>
      <c r="G102" s="123" t="s">
        <v>289</v>
      </c>
      <c r="H102" s="123">
        <v>7006.0</v>
      </c>
      <c r="I102" s="123">
        <v>7251.0</v>
      </c>
      <c r="J102" s="40">
        <f t="shared" si="5"/>
        <v>245</v>
      </c>
      <c r="K102" s="123">
        <v>3335.0</v>
      </c>
      <c r="L102" s="44"/>
    </row>
    <row r="103" ht="14.25" customHeight="1">
      <c r="B103" s="121">
        <v>45962.0</v>
      </c>
      <c r="C103" s="122">
        <v>45968.0</v>
      </c>
      <c r="D103" s="123" t="s">
        <v>398</v>
      </c>
      <c r="E103" s="40"/>
      <c r="F103" s="123" t="s">
        <v>401</v>
      </c>
      <c r="G103" s="123" t="s">
        <v>289</v>
      </c>
      <c r="H103" s="123">
        <v>7251.0</v>
      </c>
      <c r="I103" s="123">
        <v>7293.0</v>
      </c>
      <c r="J103" s="40">
        <f t="shared" si="5"/>
        <v>42</v>
      </c>
      <c r="K103" s="123">
        <v>585.0</v>
      </c>
      <c r="L103" s="44"/>
    </row>
    <row r="104" ht="14.25" customHeight="1">
      <c r="B104" s="121">
        <v>45968.0</v>
      </c>
      <c r="C104" s="122">
        <v>45968.0</v>
      </c>
      <c r="D104" s="123" t="s">
        <v>402</v>
      </c>
      <c r="E104" s="40"/>
      <c r="F104" s="123" t="s">
        <v>403</v>
      </c>
      <c r="G104" s="123" t="s">
        <v>289</v>
      </c>
      <c r="H104" s="123">
        <v>7293.0</v>
      </c>
      <c r="I104" s="123">
        <v>7296.0</v>
      </c>
      <c r="J104" s="40">
        <f t="shared" si="5"/>
        <v>3</v>
      </c>
      <c r="K104" s="40"/>
      <c r="L104" s="44"/>
    </row>
    <row r="105" ht="14.25" customHeight="1">
      <c r="B105" s="121">
        <v>45970.0</v>
      </c>
      <c r="C105" s="122">
        <v>45970.0</v>
      </c>
      <c r="D105" s="123" t="s">
        <v>259</v>
      </c>
      <c r="E105" s="40"/>
      <c r="F105" s="123" t="s">
        <v>404</v>
      </c>
      <c r="G105" s="123" t="s">
        <v>289</v>
      </c>
      <c r="H105" s="123">
        <v>7296.0</v>
      </c>
      <c r="I105" s="123">
        <v>7301.7</v>
      </c>
      <c r="J105" s="40">
        <f t="shared" si="5"/>
        <v>5.7</v>
      </c>
      <c r="K105" s="40"/>
      <c r="L105" s="44"/>
    </row>
    <row r="106" ht="14.25" customHeight="1">
      <c r="B106" s="124">
        <v>45971.0</v>
      </c>
      <c r="C106" s="122">
        <v>45982.0</v>
      </c>
      <c r="D106" s="123" t="s">
        <v>405</v>
      </c>
      <c r="E106" s="123" t="s">
        <v>406</v>
      </c>
      <c r="F106" s="40"/>
      <c r="G106" s="123" t="s">
        <v>289</v>
      </c>
      <c r="H106" s="123">
        <v>7301.7</v>
      </c>
      <c r="I106" s="123">
        <v>7397.0</v>
      </c>
      <c r="J106" s="40">
        <f t="shared" si="5"/>
        <v>95.3</v>
      </c>
      <c r="K106" s="123">
        <v>1185.0</v>
      </c>
      <c r="L106" s="44"/>
    </row>
    <row r="107" ht="14.25" customHeight="1">
      <c r="B107" s="121">
        <v>45985.0</v>
      </c>
      <c r="C107" s="122">
        <v>45989.0</v>
      </c>
      <c r="D107" s="123" t="s">
        <v>219</v>
      </c>
      <c r="E107" s="40"/>
      <c r="F107" s="40"/>
      <c r="G107" s="123" t="s">
        <v>289</v>
      </c>
      <c r="H107" s="123">
        <v>7397.0</v>
      </c>
      <c r="I107" s="123">
        <v>7451.0</v>
      </c>
      <c r="J107" s="40">
        <f t="shared" si="5"/>
        <v>54</v>
      </c>
      <c r="K107" s="123">
        <v>360.0</v>
      </c>
      <c r="L107" s="44"/>
    </row>
    <row r="108" ht="14.25" customHeight="1">
      <c r="B108" s="121">
        <v>45992.0</v>
      </c>
      <c r="C108" s="122">
        <v>45994.0</v>
      </c>
      <c r="D108" s="123" t="s">
        <v>219</v>
      </c>
      <c r="E108" s="40"/>
      <c r="F108" s="40"/>
      <c r="G108" s="123" t="s">
        <v>289</v>
      </c>
      <c r="H108" s="123">
        <v>7451.0</v>
      </c>
      <c r="I108" s="123">
        <v>7477.5</v>
      </c>
      <c r="J108" s="40">
        <f t="shared" si="5"/>
        <v>26.5</v>
      </c>
      <c r="K108" s="123">
        <v>280.0</v>
      </c>
      <c r="L108" s="44"/>
    </row>
    <row r="109" ht="14.25" customHeight="1">
      <c r="B109" s="121">
        <v>45995.0</v>
      </c>
      <c r="C109" s="122">
        <v>46022.0</v>
      </c>
      <c r="D109" s="123" t="s">
        <v>407</v>
      </c>
      <c r="E109" s="40"/>
      <c r="F109" s="123" t="s">
        <v>408</v>
      </c>
      <c r="G109" s="123" t="s">
        <v>289</v>
      </c>
      <c r="H109" s="123">
        <v>7477.5</v>
      </c>
      <c r="I109" s="123">
        <v>7658.5</v>
      </c>
      <c r="J109" s="40">
        <f t="shared" si="5"/>
        <v>181</v>
      </c>
      <c r="K109" s="123">
        <v>1729.0</v>
      </c>
      <c r="L109" s="44"/>
    </row>
    <row r="110" ht="14.25" customHeight="1">
      <c r="B110" s="38"/>
      <c r="C110" s="39"/>
      <c r="D110" s="40"/>
      <c r="E110" s="40"/>
      <c r="F110" s="40"/>
      <c r="G110" s="40"/>
      <c r="H110" s="40"/>
      <c r="I110" s="40"/>
      <c r="J110" s="40">
        <f t="shared" si="5"/>
        <v>0</v>
      </c>
      <c r="K110" s="40"/>
      <c r="L110" s="44"/>
    </row>
    <row r="111" ht="14.25" customHeight="1">
      <c r="B111" s="38"/>
      <c r="C111" s="39"/>
      <c r="D111" s="40"/>
      <c r="E111" s="40"/>
      <c r="F111" s="40"/>
      <c r="G111" s="40"/>
      <c r="H111" s="40"/>
      <c r="I111" s="40"/>
      <c r="J111" s="40">
        <f t="shared" si="5"/>
        <v>0</v>
      </c>
      <c r="K111" s="40"/>
      <c r="L111" s="44"/>
    </row>
    <row r="112" ht="14.25" customHeight="1">
      <c r="B112" s="38"/>
      <c r="C112" s="39"/>
      <c r="D112" s="40"/>
      <c r="E112" s="40"/>
      <c r="F112" s="40"/>
      <c r="G112" s="40"/>
      <c r="H112" s="40"/>
      <c r="I112" s="40"/>
      <c r="J112" s="40">
        <f t="shared" si="5"/>
        <v>0</v>
      </c>
      <c r="K112" s="40"/>
      <c r="L112" s="44"/>
    </row>
    <row r="113" ht="14.25" customHeight="1">
      <c r="B113" s="38"/>
      <c r="C113" s="39"/>
      <c r="D113" s="40"/>
      <c r="E113" s="40"/>
      <c r="F113" s="40"/>
      <c r="G113" s="40"/>
      <c r="H113" s="40"/>
      <c r="I113" s="40"/>
      <c r="J113" s="40">
        <f t="shared" si="5"/>
        <v>0</v>
      </c>
      <c r="K113" s="40"/>
      <c r="L113" s="44"/>
    </row>
    <row r="114" ht="14.25" customHeight="1">
      <c r="B114" s="38"/>
      <c r="C114" s="39"/>
      <c r="D114" s="40"/>
      <c r="E114" s="40"/>
      <c r="F114" s="40"/>
      <c r="G114" s="40"/>
      <c r="H114" s="40"/>
      <c r="I114" s="40"/>
      <c r="J114" s="40">
        <f t="shared" si="5"/>
        <v>0</v>
      </c>
      <c r="K114" s="40"/>
      <c r="L114" s="44"/>
    </row>
    <row r="115" ht="14.25" customHeight="1">
      <c r="B115" s="38"/>
      <c r="C115" s="39"/>
      <c r="D115" s="40"/>
      <c r="E115" s="40"/>
      <c r="F115" s="40"/>
      <c r="G115" s="40"/>
      <c r="H115" s="40"/>
      <c r="I115" s="40"/>
      <c r="J115" s="40">
        <f t="shared" si="5"/>
        <v>0</v>
      </c>
      <c r="K115" s="40"/>
      <c r="L115" s="44"/>
    </row>
    <row r="116" ht="14.25" customHeight="1">
      <c r="B116" s="38"/>
      <c r="C116" s="39"/>
      <c r="D116" s="40"/>
      <c r="E116" s="40"/>
      <c r="F116" s="40"/>
      <c r="G116" s="40"/>
      <c r="H116" s="40"/>
      <c r="I116" s="40"/>
      <c r="J116" s="40">
        <f t="shared" si="5"/>
        <v>0</v>
      </c>
      <c r="K116" s="40"/>
      <c r="L116" s="44"/>
    </row>
    <row r="117" ht="14.25" customHeight="1">
      <c r="B117" s="38"/>
      <c r="C117" s="39"/>
      <c r="D117" s="40"/>
      <c r="E117" s="40"/>
      <c r="F117" s="40"/>
      <c r="G117" s="40"/>
      <c r="H117" s="40"/>
      <c r="I117" s="40"/>
      <c r="J117" s="40">
        <f t="shared" si="5"/>
        <v>0</v>
      </c>
      <c r="K117" s="40"/>
      <c r="L117" s="44"/>
    </row>
    <row r="118" ht="14.25" customHeight="1">
      <c r="B118" s="38"/>
      <c r="C118" s="39"/>
      <c r="D118" s="40"/>
      <c r="E118" s="40"/>
      <c r="F118" s="40"/>
      <c r="G118" s="40"/>
      <c r="H118" s="40"/>
      <c r="I118" s="40"/>
      <c r="J118" s="40">
        <f t="shared" si="5"/>
        <v>0</v>
      </c>
      <c r="K118" s="40"/>
      <c r="L118" s="44"/>
    </row>
    <row r="119" ht="14.25" customHeight="1">
      <c r="B119" s="38"/>
      <c r="C119" s="39"/>
      <c r="D119" s="40"/>
      <c r="E119" s="40"/>
      <c r="F119" s="40"/>
      <c r="G119" s="40"/>
      <c r="H119" s="40"/>
      <c r="I119" s="40"/>
      <c r="J119" s="40">
        <f t="shared" si="5"/>
        <v>0</v>
      </c>
      <c r="K119" s="40"/>
      <c r="L119" s="44"/>
    </row>
    <row r="120" ht="14.25" customHeight="1">
      <c r="B120" s="38"/>
      <c r="C120" s="39"/>
      <c r="D120" s="40"/>
      <c r="E120" s="40"/>
      <c r="F120" s="40"/>
      <c r="G120" s="40"/>
      <c r="H120" s="40"/>
      <c r="I120" s="40"/>
      <c r="J120" s="40">
        <f t="shared" si="5"/>
        <v>0</v>
      </c>
      <c r="K120" s="40"/>
      <c r="L120" s="44"/>
    </row>
    <row r="121" ht="14.25" customHeight="1">
      <c r="B121" s="38"/>
      <c r="C121" s="39"/>
      <c r="D121" s="40"/>
      <c r="E121" s="40"/>
      <c r="F121" s="40"/>
      <c r="G121" s="40"/>
      <c r="H121" s="40"/>
      <c r="I121" s="40"/>
      <c r="J121" s="40">
        <f t="shared" si="5"/>
        <v>0</v>
      </c>
      <c r="K121" s="40"/>
      <c r="L121" s="44"/>
    </row>
    <row r="122" ht="14.25" customHeight="1">
      <c r="B122" s="38"/>
      <c r="C122" s="39"/>
      <c r="D122" s="40"/>
      <c r="E122" s="40"/>
      <c r="F122" s="40"/>
      <c r="G122" s="40"/>
      <c r="H122" s="40"/>
      <c r="I122" s="40"/>
      <c r="J122" s="40">
        <f t="shared" si="5"/>
        <v>0</v>
      </c>
      <c r="K122" s="40"/>
      <c r="L122" s="44"/>
    </row>
    <row r="123" ht="14.25" customHeight="1">
      <c r="B123" s="38"/>
      <c r="C123" s="39"/>
      <c r="D123" s="40"/>
      <c r="E123" s="40"/>
      <c r="F123" s="40"/>
      <c r="G123" s="40"/>
      <c r="H123" s="40"/>
      <c r="I123" s="40"/>
      <c r="J123" s="40">
        <f t="shared" si="5"/>
        <v>0</v>
      </c>
      <c r="K123" s="40"/>
      <c r="L123" s="44"/>
    </row>
    <row r="124" ht="14.25" customHeight="1">
      <c r="B124" s="38"/>
      <c r="C124" s="39"/>
      <c r="D124" s="40"/>
      <c r="E124" s="40"/>
      <c r="F124" s="40"/>
      <c r="G124" s="40"/>
      <c r="H124" s="40"/>
      <c r="I124" s="40"/>
      <c r="J124" s="40">
        <f t="shared" si="5"/>
        <v>0</v>
      </c>
      <c r="K124" s="40"/>
      <c r="L124" s="44"/>
    </row>
    <row r="125" ht="14.25" customHeight="1">
      <c r="B125" s="38"/>
      <c r="C125" s="39"/>
      <c r="D125" s="40"/>
      <c r="E125" s="40"/>
      <c r="F125" s="40"/>
      <c r="G125" s="40"/>
      <c r="H125" s="40"/>
      <c r="I125" s="40"/>
      <c r="J125" s="40">
        <f t="shared" si="5"/>
        <v>0</v>
      </c>
      <c r="K125" s="40"/>
      <c r="L125" s="44"/>
    </row>
    <row r="126" ht="14.25" customHeight="1">
      <c r="B126" s="38"/>
      <c r="C126" s="39"/>
      <c r="D126" s="40"/>
      <c r="E126" s="40"/>
      <c r="F126" s="40"/>
      <c r="G126" s="40"/>
      <c r="H126" s="40"/>
      <c r="I126" s="40"/>
      <c r="J126" s="40">
        <f t="shared" si="5"/>
        <v>0</v>
      </c>
      <c r="K126" s="40"/>
      <c r="L126" s="44"/>
    </row>
    <row r="127" ht="14.25" customHeight="1">
      <c r="B127" s="38"/>
      <c r="C127" s="39"/>
      <c r="D127" s="40"/>
      <c r="E127" s="40"/>
      <c r="F127" s="40"/>
      <c r="G127" s="40"/>
      <c r="H127" s="40"/>
      <c r="I127" s="40"/>
      <c r="J127" s="40">
        <f t="shared" si="5"/>
        <v>0</v>
      </c>
      <c r="K127" s="40"/>
      <c r="L127" s="44"/>
    </row>
    <row r="128" ht="14.25" customHeight="1">
      <c r="B128" s="38"/>
      <c r="C128" s="39"/>
      <c r="D128" s="40"/>
      <c r="E128" s="40"/>
      <c r="F128" s="40"/>
      <c r="G128" s="40"/>
      <c r="H128" s="40"/>
      <c r="I128" s="40"/>
      <c r="J128" s="40">
        <f t="shared" si="5"/>
        <v>0</v>
      </c>
      <c r="K128" s="40"/>
      <c r="L128" s="44"/>
    </row>
    <row r="129" ht="14.25" customHeight="1">
      <c r="B129" s="38"/>
      <c r="C129" s="39"/>
      <c r="D129" s="40"/>
      <c r="E129" s="40"/>
      <c r="F129" s="40"/>
      <c r="G129" s="40"/>
      <c r="H129" s="40"/>
      <c r="I129" s="40"/>
      <c r="J129" s="40">
        <f t="shared" si="5"/>
        <v>0</v>
      </c>
      <c r="K129" s="40"/>
      <c r="L129" s="44"/>
    </row>
    <row r="130" ht="14.25" customHeight="1">
      <c r="B130" s="38"/>
      <c r="C130" s="39"/>
      <c r="D130" s="40"/>
      <c r="E130" s="40"/>
      <c r="F130" s="40"/>
      <c r="G130" s="40"/>
      <c r="H130" s="40"/>
      <c r="I130" s="40"/>
      <c r="J130" s="40">
        <f t="shared" si="5"/>
        <v>0</v>
      </c>
      <c r="K130" s="40"/>
      <c r="L130" s="44"/>
    </row>
    <row r="131" ht="14.25" customHeight="1">
      <c r="B131" s="38"/>
      <c r="C131" s="39"/>
      <c r="D131" s="40"/>
      <c r="E131" s="40"/>
      <c r="F131" s="40"/>
      <c r="G131" s="40"/>
      <c r="H131" s="40"/>
      <c r="I131" s="40"/>
      <c r="J131" s="40">
        <f t="shared" si="5"/>
        <v>0</v>
      </c>
      <c r="K131" s="40"/>
      <c r="L131" s="44"/>
    </row>
    <row r="132" ht="14.25" customHeight="1">
      <c r="B132" s="38"/>
      <c r="C132" s="39"/>
      <c r="D132" s="40"/>
      <c r="E132" s="40"/>
      <c r="F132" s="40"/>
      <c r="G132" s="40"/>
      <c r="H132" s="40"/>
      <c r="I132" s="40"/>
      <c r="J132" s="40">
        <f t="shared" si="5"/>
        <v>0</v>
      </c>
      <c r="K132" s="40"/>
      <c r="L132" s="44"/>
    </row>
    <row r="133" ht="14.25" customHeight="1">
      <c r="B133" s="38"/>
      <c r="C133" s="39"/>
      <c r="D133" s="40"/>
      <c r="E133" s="40"/>
      <c r="F133" s="40"/>
      <c r="G133" s="40"/>
      <c r="H133" s="40"/>
      <c r="I133" s="40"/>
      <c r="J133" s="40">
        <f t="shared" si="5"/>
        <v>0</v>
      </c>
      <c r="K133" s="40"/>
      <c r="L133" s="44"/>
    </row>
    <row r="134" ht="14.25" customHeight="1">
      <c r="B134" s="38"/>
      <c r="C134" s="39"/>
      <c r="D134" s="40"/>
      <c r="E134" s="40"/>
      <c r="F134" s="40"/>
      <c r="G134" s="40"/>
      <c r="H134" s="40"/>
      <c r="I134" s="40"/>
      <c r="J134" s="40">
        <f t="shared" si="5"/>
        <v>0</v>
      </c>
      <c r="K134" s="40"/>
      <c r="L134" s="44"/>
    </row>
    <row r="135" ht="14.25" customHeight="1">
      <c r="B135" s="38"/>
      <c r="C135" s="39"/>
      <c r="D135" s="40"/>
      <c r="E135" s="40"/>
      <c r="F135" s="40"/>
      <c r="G135" s="40"/>
      <c r="H135" s="40"/>
      <c r="I135" s="40"/>
      <c r="J135" s="40">
        <f t="shared" si="5"/>
        <v>0</v>
      </c>
      <c r="K135" s="40"/>
      <c r="L135" s="44"/>
    </row>
    <row r="136" ht="14.25" customHeight="1">
      <c r="B136" s="38"/>
      <c r="C136" s="39"/>
      <c r="D136" s="40"/>
      <c r="E136" s="40"/>
      <c r="F136" s="40"/>
      <c r="G136" s="40"/>
      <c r="H136" s="40"/>
      <c r="I136" s="40"/>
      <c r="J136" s="40">
        <f t="shared" si="5"/>
        <v>0</v>
      </c>
      <c r="K136" s="40"/>
      <c r="L136" s="44"/>
    </row>
    <row r="137" ht="14.25" customHeight="1">
      <c r="B137" s="38"/>
      <c r="C137" s="39"/>
      <c r="D137" s="40"/>
      <c r="E137" s="40"/>
      <c r="F137" s="40"/>
      <c r="G137" s="40"/>
      <c r="H137" s="40"/>
      <c r="I137" s="40"/>
      <c r="J137" s="40">
        <f t="shared" si="5"/>
        <v>0</v>
      </c>
      <c r="K137" s="40"/>
      <c r="L137" s="44"/>
    </row>
    <row r="138" ht="14.25" customHeight="1">
      <c r="B138" s="38"/>
      <c r="C138" s="39"/>
      <c r="D138" s="40"/>
      <c r="E138" s="40"/>
      <c r="F138" s="40"/>
      <c r="G138" s="40"/>
      <c r="H138" s="40"/>
      <c r="I138" s="40"/>
      <c r="J138" s="40">
        <f t="shared" si="5"/>
        <v>0</v>
      </c>
      <c r="K138" s="40"/>
      <c r="L138" s="44"/>
    </row>
    <row r="139" ht="14.25" customHeight="1">
      <c r="B139" s="38"/>
      <c r="C139" s="39"/>
      <c r="D139" s="40"/>
      <c r="E139" s="40"/>
      <c r="F139" s="40"/>
      <c r="G139" s="40"/>
      <c r="H139" s="40"/>
      <c r="I139" s="40"/>
      <c r="J139" s="40">
        <f t="shared" si="5"/>
        <v>0</v>
      </c>
      <c r="K139" s="40"/>
      <c r="L139" s="44"/>
    </row>
    <row r="140" ht="14.25" customHeight="1">
      <c r="B140" s="38"/>
      <c r="C140" s="39"/>
      <c r="D140" s="40"/>
      <c r="E140" s="40"/>
      <c r="F140" s="40"/>
      <c r="G140" s="40"/>
      <c r="H140" s="40"/>
      <c r="I140" s="40"/>
      <c r="J140" s="40">
        <f t="shared" si="5"/>
        <v>0</v>
      </c>
      <c r="K140" s="40"/>
      <c r="L140" s="44"/>
    </row>
    <row r="141" ht="14.25" customHeight="1">
      <c r="B141" s="38"/>
      <c r="C141" s="39"/>
      <c r="D141" s="40"/>
      <c r="E141" s="40"/>
      <c r="F141" s="40"/>
      <c r="G141" s="40"/>
      <c r="H141" s="40"/>
      <c r="I141" s="40"/>
      <c r="J141" s="40">
        <f t="shared" si="5"/>
        <v>0</v>
      </c>
      <c r="K141" s="40"/>
      <c r="L141" s="44"/>
    </row>
    <row r="142" ht="14.25" customHeight="1">
      <c r="B142" s="38"/>
      <c r="C142" s="39"/>
      <c r="D142" s="40"/>
      <c r="E142" s="40"/>
      <c r="F142" s="40"/>
      <c r="G142" s="40"/>
      <c r="H142" s="40"/>
      <c r="I142" s="40"/>
      <c r="J142" s="40">
        <f t="shared" si="5"/>
        <v>0</v>
      </c>
      <c r="K142" s="40"/>
      <c r="L142" s="44"/>
    </row>
    <row r="143" ht="14.25" customHeight="1">
      <c r="B143" s="38"/>
      <c r="C143" s="39"/>
      <c r="D143" s="40"/>
      <c r="E143" s="40"/>
      <c r="F143" s="40"/>
      <c r="G143" s="40"/>
      <c r="H143" s="40"/>
      <c r="I143" s="40"/>
      <c r="J143" s="40">
        <f t="shared" si="5"/>
        <v>0</v>
      </c>
      <c r="K143" s="40"/>
      <c r="L143" s="44"/>
    </row>
    <row r="144" ht="14.25" customHeight="1">
      <c r="B144" s="38"/>
      <c r="C144" s="39"/>
      <c r="D144" s="40"/>
      <c r="E144" s="40"/>
      <c r="F144" s="40"/>
      <c r="G144" s="40"/>
      <c r="H144" s="40"/>
      <c r="I144" s="40"/>
      <c r="J144" s="40">
        <f t="shared" si="5"/>
        <v>0</v>
      </c>
      <c r="K144" s="40"/>
      <c r="L144" s="44"/>
    </row>
    <row r="145" ht="14.25" customHeight="1">
      <c r="B145" s="38"/>
      <c r="C145" s="39"/>
      <c r="D145" s="40"/>
      <c r="E145" s="40"/>
      <c r="F145" s="40"/>
      <c r="G145" s="40"/>
      <c r="H145" s="40"/>
      <c r="I145" s="40"/>
      <c r="J145" s="40">
        <f t="shared" si="5"/>
        <v>0</v>
      </c>
      <c r="K145" s="40"/>
      <c r="L145" s="44"/>
    </row>
    <row r="146" ht="14.25" customHeight="1">
      <c r="B146" s="38"/>
      <c r="C146" s="39"/>
      <c r="D146" s="40"/>
      <c r="E146" s="40"/>
      <c r="F146" s="40"/>
      <c r="G146" s="40"/>
      <c r="H146" s="40"/>
      <c r="I146" s="40"/>
      <c r="J146" s="40">
        <f t="shared" si="5"/>
        <v>0</v>
      </c>
      <c r="K146" s="40"/>
      <c r="L146" s="44"/>
    </row>
    <row r="147" ht="14.25" customHeight="1">
      <c r="B147" s="38"/>
      <c r="C147" s="39"/>
      <c r="D147" s="40"/>
      <c r="E147" s="40"/>
      <c r="F147" s="40"/>
      <c r="G147" s="40"/>
      <c r="H147" s="40"/>
      <c r="I147" s="40"/>
      <c r="J147" s="40">
        <f t="shared" si="5"/>
        <v>0</v>
      </c>
      <c r="K147" s="40"/>
      <c r="L147" s="44"/>
    </row>
    <row r="148" ht="14.25" customHeight="1">
      <c r="B148" s="38"/>
      <c r="C148" s="39"/>
      <c r="D148" s="40"/>
      <c r="E148" s="40"/>
      <c r="F148" s="40"/>
      <c r="G148" s="40"/>
      <c r="H148" s="40"/>
      <c r="I148" s="40"/>
      <c r="J148" s="40">
        <f t="shared" si="5"/>
        <v>0</v>
      </c>
      <c r="K148" s="40"/>
      <c r="L148" s="44"/>
    </row>
    <row r="149" ht="14.25" customHeight="1">
      <c r="B149" s="38"/>
      <c r="C149" s="39"/>
      <c r="D149" s="40"/>
      <c r="E149" s="40"/>
      <c r="F149" s="40"/>
      <c r="G149" s="40"/>
      <c r="H149" s="40"/>
      <c r="I149" s="40"/>
      <c r="J149" s="40">
        <f t="shared" si="5"/>
        <v>0</v>
      </c>
      <c r="K149" s="40"/>
      <c r="L149" s="44"/>
    </row>
    <row r="150" ht="14.25" customHeight="1">
      <c r="B150" s="38"/>
      <c r="C150" s="39"/>
      <c r="D150" s="40"/>
      <c r="E150" s="40"/>
      <c r="F150" s="40"/>
      <c r="G150" s="40"/>
      <c r="H150" s="40"/>
      <c r="I150" s="40"/>
      <c r="J150" s="40">
        <f t="shared" si="5"/>
        <v>0</v>
      </c>
      <c r="K150" s="40"/>
      <c r="L150" s="44"/>
    </row>
    <row r="151" ht="14.25" customHeight="1">
      <c r="B151" s="38"/>
      <c r="C151" s="39"/>
      <c r="D151" s="40"/>
      <c r="E151" s="40"/>
      <c r="F151" s="40"/>
      <c r="G151" s="40"/>
      <c r="H151" s="40"/>
      <c r="I151" s="40"/>
      <c r="J151" s="40">
        <f t="shared" si="5"/>
        <v>0</v>
      </c>
      <c r="K151" s="40"/>
      <c r="L151" s="44"/>
    </row>
    <row r="152" ht="14.25" customHeight="1">
      <c r="B152" s="38"/>
      <c r="C152" s="39"/>
      <c r="D152" s="40"/>
      <c r="E152" s="40"/>
      <c r="F152" s="40"/>
      <c r="G152" s="40"/>
      <c r="H152" s="40"/>
      <c r="I152" s="40"/>
      <c r="J152" s="40">
        <f t="shared" si="5"/>
        <v>0</v>
      </c>
      <c r="K152" s="40"/>
      <c r="L152" s="44"/>
    </row>
    <row r="153" ht="14.25" customHeight="1">
      <c r="B153" s="38"/>
      <c r="C153" s="39"/>
      <c r="D153" s="40"/>
      <c r="E153" s="40"/>
      <c r="F153" s="40"/>
      <c r="G153" s="40"/>
      <c r="H153" s="40"/>
      <c r="I153" s="40"/>
      <c r="J153" s="40">
        <f t="shared" si="5"/>
        <v>0</v>
      </c>
      <c r="K153" s="40"/>
      <c r="L153" s="44"/>
    </row>
    <row r="154" ht="14.25" customHeight="1">
      <c r="B154" s="38"/>
      <c r="C154" s="39"/>
      <c r="D154" s="40"/>
      <c r="E154" s="40"/>
      <c r="F154" s="40"/>
      <c r="G154" s="40"/>
      <c r="H154" s="40"/>
      <c r="I154" s="40"/>
      <c r="J154" s="40">
        <f t="shared" si="5"/>
        <v>0</v>
      </c>
      <c r="K154" s="40"/>
      <c r="L154" s="44"/>
    </row>
    <row r="155" ht="14.25" customHeight="1">
      <c r="B155" s="38"/>
      <c r="C155" s="39"/>
      <c r="D155" s="40"/>
      <c r="E155" s="40"/>
      <c r="F155" s="40"/>
      <c r="G155" s="40"/>
      <c r="H155" s="40"/>
      <c r="I155" s="40"/>
      <c r="J155" s="40">
        <f t="shared" si="5"/>
        <v>0</v>
      </c>
      <c r="K155" s="40"/>
      <c r="L155" s="44"/>
    </row>
    <row r="156" ht="14.25" customHeight="1">
      <c r="B156" s="38"/>
      <c r="C156" s="39"/>
      <c r="D156" s="40"/>
      <c r="E156" s="40"/>
      <c r="F156" s="40"/>
      <c r="G156" s="40"/>
      <c r="H156" s="40"/>
      <c r="I156" s="40"/>
      <c r="J156" s="40">
        <f t="shared" si="5"/>
        <v>0</v>
      </c>
      <c r="K156" s="40"/>
      <c r="L156" s="44"/>
    </row>
    <row r="157" ht="14.25" customHeight="1">
      <c r="B157" s="38"/>
      <c r="C157" s="39"/>
      <c r="D157" s="40"/>
      <c r="E157" s="40"/>
      <c r="F157" s="40"/>
      <c r="G157" s="40"/>
      <c r="H157" s="40"/>
      <c r="I157" s="40"/>
      <c r="J157" s="40">
        <f t="shared" si="5"/>
        <v>0</v>
      </c>
      <c r="K157" s="40"/>
      <c r="L157" s="44"/>
    </row>
    <row r="158" ht="14.25" customHeight="1">
      <c r="B158" s="38"/>
      <c r="C158" s="39"/>
      <c r="D158" s="40"/>
      <c r="E158" s="40"/>
      <c r="F158" s="40"/>
      <c r="G158" s="40"/>
      <c r="H158" s="40"/>
      <c r="I158" s="40"/>
      <c r="J158" s="40">
        <f t="shared" si="5"/>
        <v>0</v>
      </c>
      <c r="K158" s="40"/>
      <c r="L158" s="44"/>
    </row>
    <row r="159" ht="14.25" customHeight="1">
      <c r="B159" s="38"/>
      <c r="C159" s="39"/>
      <c r="D159" s="40"/>
      <c r="E159" s="40"/>
      <c r="F159" s="40"/>
      <c r="G159" s="40"/>
      <c r="H159" s="40"/>
      <c r="I159" s="40"/>
      <c r="J159" s="40">
        <f t="shared" si="5"/>
        <v>0</v>
      </c>
      <c r="K159" s="40"/>
      <c r="L159" s="44"/>
    </row>
    <row r="160" ht="14.25" customHeight="1">
      <c r="B160" s="38"/>
      <c r="C160" s="39"/>
      <c r="D160" s="40"/>
      <c r="E160" s="40"/>
      <c r="F160" s="40"/>
      <c r="G160" s="40"/>
      <c r="H160" s="40"/>
      <c r="I160" s="40"/>
      <c r="J160" s="40">
        <f t="shared" si="5"/>
        <v>0</v>
      </c>
      <c r="K160" s="40"/>
      <c r="L160" s="44"/>
    </row>
    <row r="161" ht="14.25" customHeight="1">
      <c r="B161" s="38"/>
      <c r="C161" s="39"/>
      <c r="D161" s="40"/>
      <c r="E161" s="40"/>
      <c r="F161" s="40"/>
      <c r="G161" s="40"/>
      <c r="H161" s="40"/>
      <c r="I161" s="40"/>
      <c r="J161" s="40">
        <f t="shared" si="5"/>
        <v>0</v>
      </c>
      <c r="K161" s="40"/>
      <c r="L161" s="44"/>
    </row>
    <row r="162" ht="14.25" customHeight="1">
      <c r="B162" s="38"/>
      <c r="C162" s="39"/>
      <c r="D162" s="40"/>
      <c r="E162" s="40"/>
      <c r="F162" s="40"/>
      <c r="G162" s="40"/>
      <c r="H162" s="40"/>
      <c r="I162" s="40"/>
      <c r="J162" s="40">
        <f t="shared" si="5"/>
        <v>0</v>
      </c>
      <c r="K162" s="40"/>
      <c r="L162" s="44"/>
    </row>
    <row r="163" ht="14.25" customHeight="1">
      <c r="B163" s="38"/>
      <c r="C163" s="39"/>
      <c r="D163" s="40"/>
      <c r="E163" s="40"/>
      <c r="F163" s="40"/>
      <c r="G163" s="40"/>
      <c r="H163" s="40"/>
      <c r="I163" s="40"/>
      <c r="J163" s="40">
        <f t="shared" si="5"/>
        <v>0</v>
      </c>
      <c r="K163" s="40"/>
      <c r="L163" s="44"/>
    </row>
    <row r="164" ht="14.25" customHeight="1">
      <c r="B164" s="38"/>
      <c r="C164" s="39"/>
      <c r="D164" s="40"/>
      <c r="E164" s="40"/>
      <c r="F164" s="40"/>
      <c r="G164" s="40"/>
      <c r="H164" s="40"/>
      <c r="I164" s="40"/>
      <c r="J164" s="40">
        <f t="shared" si="5"/>
        <v>0</v>
      </c>
      <c r="K164" s="40"/>
      <c r="L164" s="44"/>
    </row>
    <row r="165" ht="14.25" customHeight="1">
      <c r="B165" s="38"/>
      <c r="C165" s="39"/>
      <c r="D165" s="40"/>
      <c r="E165" s="40"/>
      <c r="F165" s="40"/>
      <c r="G165" s="40"/>
      <c r="H165" s="40"/>
      <c r="I165" s="40"/>
      <c r="J165" s="40">
        <f t="shared" si="5"/>
        <v>0</v>
      </c>
      <c r="K165" s="40"/>
      <c r="L165" s="44"/>
    </row>
    <row r="166" ht="14.25" customHeight="1">
      <c r="B166" s="38"/>
      <c r="C166" s="39"/>
      <c r="D166" s="40"/>
      <c r="E166" s="40"/>
      <c r="F166" s="40"/>
      <c r="G166" s="40"/>
      <c r="H166" s="40"/>
      <c r="I166" s="40"/>
      <c r="J166" s="40">
        <f t="shared" si="5"/>
        <v>0</v>
      </c>
      <c r="K166" s="40"/>
      <c r="L166" s="44"/>
    </row>
    <row r="167" ht="14.25" customHeight="1">
      <c r="B167" s="38"/>
      <c r="C167" s="39"/>
      <c r="D167" s="40"/>
      <c r="E167" s="40"/>
      <c r="F167" s="40"/>
      <c r="G167" s="40"/>
      <c r="H167" s="40"/>
      <c r="I167" s="40"/>
      <c r="J167" s="40">
        <f t="shared" si="5"/>
        <v>0</v>
      </c>
      <c r="K167" s="40"/>
      <c r="L167" s="44"/>
    </row>
    <row r="168" ht="14.25" customHeight="1">
      <c r="B168" s="38"/>
      <c r="C168" s="39"/>
      <c r="D168" s="40"/>
      <c r="E168" s="40"/>
      <c r="F168" s="40"/>
      <c r="G168" s="40"/>
      <c r="H168" s="40"/>
      <c r="I168" s="40"/>
      <c r="J168" s="40">
        <f t="shared" si="5"/>
        <v>0</v>
      </c>
      <c r="K168" s="40"/>
      <c r="L168" s="44"/>
    </row>
    <row r="169" ht="14.25" customHeight="1">
      <c r="B169" s="38"/>
      <c r="C169" s="39"/>
      <c r="D169" s="40"/>
      <c r="E169" s="40"/>
      <c r="F169" s="40"/>
      <c r="G169" s="40"/>
      <c r="H169" s="40"/>
      <c r="I169" s="40"/>
      <c r="J169" s="40">
        <f t="shared" si="5"/>
        <v>0</v>
      </c>
      <c r="K169" s="40"/>
      <c r="L169" s="44"/>
    </row>
    <row r="170" ht="14.25" customHeight="1">
      <c r="B170" s="38"/>
      <c r="C170" s="39"/>
      <c r="D170" s="40"/>
      <c r="E170" s="40"/>
      <c r="F170" s="40"/>
      <c r="G170" s="40"/>
      <c r="H170" s="40"/>
      <c r="I170" s="40"/>
      <c r="J170" s="40">
        <f t="shared" si="5"/>
        <v>0</v>
      </c>
      <c r="K170" s="40"/>
      <c r="L170" s="44"/>
    </row>
    <row r="171" ht="14.25" customHeight="1">
      <c r="B171" s="38"/>
      <c r="C171" s="39"/>
      <c r="D171" s="40"/>
      <c r="E171" s="40"/>
      <c r="F171" s="40"/>
      <c r="G171" s="40"/>
      <c r="H171" s="40"/>
      <c r="I171" s="40"/>
      <c r="J171" s="40">
        <f t="shared" si="5"/>
        <v>0</v>
      </c>
      <c r="K171" s="40"/>
      <c r="L171" s="44"/>
    </row>
    <row r="172" ht="14.25" customHeight="1">
      <c r="B172" s="38"/>
      <c r="C172" s="39"/>
      <c r="D172" s="40"/>
      <c r="E172" s="40"/>
      <c r="F172" s="40"/>
      <c r="G172" s="40"/>
      <c r="H172" s="40"/>
      <c r="I172" s="40"/>
      <c r="J172" s="40">
        <f t="shared" si="5"/>
        <v>0</v>
      </c>
      <c r="K172" s="40"/>
      <c r="L172" s="44"/>
    </row>
    <row r="173" ht="14.25" customHeight="1">
      <c r="B173" s="38"/>
      <c r="C173" s="39"/>
      <c r="D173" s="40"/>
      <c r="E173" s="40"/>
      <c r="F173" s="40"/>
      <c r="G173" s="40"/>
      <c r="H173" s="40"/>
      <c r="I173" s="40"/>
      <c r="J173" s="40">
        <f t="shared" si="5"/>
        <v>0</v>
      </c>
      <c r="K173" s="40"/>
      <c r="L173" s="44"/>
    </row>
    <row r="174" ht="14.25" customHeight="1">
      <c r="B174" s="38"/>
      <c r="C174" s="39"/>
      <c r="D174" s="40"/>
      <c r="E174" s="40"/>
      <c r="F174" s="40"/>
      <c r="G174" s="40"/>
      <c r="H174" s="40"/>
      <c r="I174" s="40"/>
      <c r="J174" s="40">
        <f t="shared" si="5"/>
        <v>0</v>
      </c>
      <c r="K174" s="40"/>
      <c r="L174" s="44"/>
    </row>
    <row r="175" ht="14.25" customHeight="1">
      <c r="B175" s="38"/>
      <c r="C175" s="39"/>
      <c r="D175" s="40"/>
      <c r="E175" s="40"/>
      <c r="F175" s="40"/>
      <c r="G175" s="40"/>
      <c r="H175" s="40"/>
      <c r="I175" s="40"/>
      <c r="J175" s="40">
        <f t="shared" si="5"/>
        <v>0</v>
      </c>
      <c r="K175" s="40"/>
      <c r="L175" s="44"/>
    </row>
    <row r="176" ht="14.25" customHeight="1">
      <c r="B176" s="38"/>
      <c r="C176" s="39"/>
      <c r="D176" s="40"/>
      <c r="E176" s="40"/>
      <c r="F176" s="40"/>
      <c r="G176" s="40"/>
      <c r="H176" s="40"/>
      <c r="I176" s="40"/>
      <c r="J176" s="40">
        <f t="shared" si="5"/>
        <v>0</v>
      </c>
      <c r="K176" s="40"/>
      <c r="L176" s="44"/>
    </row>
    <row r="177" ht="14.25" customHeight="1">
      <c r="B177" s="38"/>
      <c r="C177" s="39"/>
      <c r="D177" s="40"/>
      <c r="E177" s="40"/>
      <c r="F177" s="40"/>
      <c r="G177" s="40"/>
      <c r="H177" s="40"/>
      <c r="I177" s="40"/>
      <c r="J177" s="40">
        <f t="shared" si="5"/>
        <v>0</v>
      </c>
      <c r="K177" s="40"/>
      <c r="L177" s="44"/>
    </row>
    <row r="178" ht="14.25" customHeight="1">
      <c r="B178" s="38"/>
      <c r="C178" s="39"/>
      <c r="D178" s="40"/>
      <c r="E178" s="40"/>
      <c r="F178" s="40"/>
      <c r="G178" s="40"/>
      <c r="H178" s="40"/>
      <c r="I178" s="40"/>
      <c r="J178" s="40">
        <f t="shared" si="5"/>
        <v>0</v>
      </c>
      <c r="K178" s="40"/>
      <c r="L178" s="44"/>
    </row>
    <row r="179" ht="14.25" customHeight="1">
      <c r="B179" s="38"/>
      <c r="C179" s="39"/>
      <c r="D179" s="40"/>
      <c r="E179" s="40"/>
      <c r="F179" s="40"/>
      <c r="G179" s="40"/>
      <c r="H179" s="40"/>
      <c r="I179" s="40"/>
      <c r="J179" s="40">
        <f t="shared" si="5"/>
        <v>0</v>
      </c>
      <c r="K179" s="40"/>
      <c r="L179" s="44"/>
    </row>
    <row r="180" ht="14.25" customHeight="1">
      <c r="B180" s="38"/>
      <c r="C180" s="39"/>
      <c r="D180" s="40"/>
      <c r="E180" s="40"/>
      <c r="F180" s="40"/>
      <c r="G180" s="40"/>
      <c r="H180" s="40"/>
      <c r="I180" s="40"/>
      <c r="J180" s="40">
        <f t="shared" si="5"/>
        <v>0</v>
      </c>
      <c r="K180" s="40"/>
      <c r="L180" s="44"/>
    </row>
    <row r="181" ht="14.25" customHeight="1">
      <c r="B181" s="38"/>
      <c r="C181" s="39"/>
      <c r="D181" s="40"/>
      <c r="E181" s="40"/>
      <c r="F181" s="40"/>
      <c r="G181" s="40"/>
      <c r="H181" s="40"/>
      <c r="I181" s="40"/>
      <c r="J181" s="40">
        <f t="shared" si="5"/>
        <v>0</v>
      </c>
      <c r="K181" s="40"/>
      <c r="L181" s="44"/>
    </row>
    <row r="182" ht="14.25" customHeight="1">
      <c r="B182" s="38"/>
      <c r="C182" s="39"/>
      <c r="D182" s="40"/>
      <c r="E182" s="40"/>
      <c r="F182" s="40"/>
      <c r="G182" s="40"/>
      <c r="H182" s="40"/>
      <c r="I182" s="40"/>
      <c r="J182" s="40">
        <f t="shared" si="5"/>
        <v>0</v>
      </c>
      <c r="K182" s="40"/>
      <c r="L182" s="44"/>
    </row>
    <row r="183" ht="14.25" customHeight="1">
      <c r="B183" s="38"/>
      <c r="C183" s="39"/>
      <c r="D183" s="40"/>
      <c r="E183" s="40"/>
      <c r="F183" s="40"/>
      <c r="G183" s="40"/>
      <c r="H183" s="40"/>
      <c r="I183" s="40"/>
      <c r="J183" s="40">
        <f t="shared" si="5"/>
        <v>0</v>
      </c>
      <c r="K183" s="40"/>
      <c r="L183" s="44"/>
    </row>
    <row r="184" ht="14.25" customHeight="1">
      <c r="B184" s="38"/>
      <c r="C184" s="39"/>
      <c r="D184" s="40"/>
      <c r="E184" s="40"/>
      <c r="F184" s="40"/>
      <c r="G184" s="40"/>
      <c r="H184" s="40"/>
      <c r="I184" s="40"/>
      <c r="J184" s="40">
        <f t="shared" si="5"/>
        <v>0</v>
      </c>
      <c r="K184" s="40"/>
      <c r="L184" s="44"/>
    </row>
    <row r="185" ht="14.25" customHeight="1">
      <c r="B185" s="38"/>
      <c r="C185" s="39"/>
      <c r="D185" s="40"/>
      <c r="E185" s="40"/>
      <c r="F185" s="40"/>
      <c r="G185" s="40"/>
      <c r="H185" s="40"/>
      <c r="I185" s="40"/>
      <c r="J185" s="40">
        <f t="shared" si="5"/>
        <v>0</v>
      </c>
      <c r="K185" s="40"/>
      <c r="L185" s="44"/>
    </row>
    <row r="186" ht="14.25" customHeight="1">
      <c r="B186" s="38"/>
      <c r="C186" s="39"/>
      <c r="D186" s="40"/>
      <c r="E186" s="40"/>
      <c r="F186" s="40"/>
      <c r="G186" s="40"/>
      <c r="H186" s="40"/>
      <c r="I186" s="40"/>
      <c r="J186" s="40">
        <f t="shared" si="5"/>
        <v>0</v>
      </c>
      <c r="K186" s="40"/>
      <c r="L186" s="44"/>
    </row>
    <row r="187" ht="14.25" customHeight="1">
      <c r="B187" s="38"/>
      <c r="C187" s="39"/>
      <c r="D187" s="40"/>
      <c r="E187" s="40"/>
      <c r="F187" s="40"/>
      <c r="G187" s="40"/>
      <c r="H187" s="40"/>
      <c r="I187" s="40"/>
      <c r="J187" s="40">
        <f t="shared" si="5"/>
        <v>0</v>
      </c>
      <c r="K187" s="40"/>
      <c r="L187" s="44"/>
    </row>
    <row r="188" ht="14.25" customHeight="1">
      <c r="B188" s="38"/>
      <c r="C188" s="39"/>
      <c r="D188" s="40"/>
      <c r="E188" s="40"/>
      <c r="F188" s="40"/>
      <c r="G188" s="40"/>
      <c r="H188" s="40"/>
      <c r="I188" s="40"/>
      <c r="J188" s="40">
        <f t="shared" si="5"/>
        <v>0</v>
      </c>
      <c r="K188" s="40"/>
      <c r="L188" s="44"/>
    </row>
    <row r="189" ht="14.25" customHeight="1">
      <c r="B189" s="38"/>
      <c r="C189" s="39"/>
      <c r="D189" s="40"/>
      <c r="E189" s="40"/>
      <c r="F189" s="40"/>
      <c r="G189" s="40"/>
      <c r="H189" s="40"/>
      <c r="I189" s="40"/>
      <c r="J189" s="40">
        <f t="shared" si="5"/>
        <v>0</v>
      </c>
      <c r="K189" s="40"/>
      <c r="L189" s="44"/>
    </row>
    <row r="190" ht="14.25" customHeight="1">
      <c r="B190" s="38"/>
      <c r="C190" s="39"/>
      <c r="D190" s="40"/>
      <c r="E190" s="40"/>
      <c r="F190" s="40"/>
      <c r="G190" s="40"/>
      <c r="H190" s="40"/>
      <c r="I190" s="40"/>
      <c r="J190" s="40">
        <f t="shared" si="5"/>
        <v>0</v>
      </c>
      <c r="K190" s="40"/>
      <c r="L190" s="44"/>
    </row>
    <row r="191" ht="14.25" customHeight="1">
      <c r="B191" s="38"/>
      <c r="C191" s="39"/>
      <c r="D191" s="40"/>
      <c r="E191" s="40"/>
      <c r="F191" s="40"/>
      <c r="G191" s="40"/>
      <c r="H191" s="40"/>
      <c r="I191" s="40"/>
      <c r="J191" s="40">
        <f t="shared" si="5"/>
        <v>0</v>
      </c>
      <c r="K191" s="40"/>
      <c r="L191" s="44"/>
    </row>
    <row r="192" ht="14.25" customHeight="1">
      <c r="B192" s="38"/>
      <c r="C192" s="39"/>
      <c r="D192" s="40"/>
      <c r="E192" s="40"/>
      <c r="F192" s="40"/>
      <c r="G192" s="40"/>
      <c r="H192" s="40"/>
      <c r="I192" s="40"/>
      <c r="J192" s="40">
        <f t="shared" si="5"/>
        <v>0</v>
      </c>
      <c r="K192" s="40"/>
      <c r="L192" s="44"/>
    </row>
    <row r="193" ht="14.25" customHeight="1">
      <c r="B193" s="38"/>
      <c r="C193" s="39"/>
      <c r="D193" s="40"/>
      <c r="E193" s="40"/>
      <c r="F193" s="40"/>
      <c r="G193" s="40"/>
      <c r="H193" s="40"/>
      <c r="I193" s="40"/>
      <c r="J193" s="40">
        <f t="shared" si="5"/>
        <v>0</v>
      </c>
      <c r="K193" s="40"/>
      <c r="L193" s="44"/>
    </row>
    <row r="194" ht="14.25" customHeight="1">
      <c r="B194" s="38"/>
      <c r="C194" s="39"/>
      <c r="D194" s="40"/>
      <c r="E194" s="40"/>
      <c r="F194" s="40"/>
      <c r="G194" s="40"/>
      <c r="H194" s="40"/>
      <c r="I194" s="40"/>
      <c r="J194" s="40">
        <f t="shared" si="5"/>
        <v>0</v>
      </c>
      <c r="K194" s="40"/>
      <c r="L194" s="44"/>
    </row>
    <row r="195" ht="14.25" customHeight="1">
      <c r="B195" s="38"/>
      <c r="C195" s="39"/>
      <c r="D195" s="40"/>
      <c r="E195" s="40"/>
      <c r="F195" s="40"/>
      <c r="G195" s="40"/>
      <c r="H195" s="40"/>
      <c r="I195" s="40"/>
      <c r="J195" s="40">
        <f t="shared" si="5"/>
        <v>0</v>
      </c>
      <c r="K195" s="40"/>
      <c r="L195" s="44"/>
    </row>
    <row r="196" ht="14.25" customHeight="1">
      <c r="B196" s="38"/>
      <c r="C196" s="39"/>
      <c r="D196" s="40"/>
      <c r="E196" s="40"/>
      <c r="F196" s="40"/>
      <c r="G196" s="40"/>
      <c r="H196" s="40"/>
      <c r="I196" s="40"/>
      <c r="J196" s="40">
        <f t="shared" si="5"/>
        <v>0</v>
      </c>
      <c r="K196" s="40"/>
      <c r="L196" s="44"/>
    </row>
    <row r="197" ht="14.25" customHeight="1">
      <c r="B197" s="38"/>
      <c r="C197" s="39"/>
      <c r="D197" s="40"/>
      <c r="E197" s="40"/>
      <c r="F197" s="40"/>
      <c r="G197" s="40"/>
      <c r="H197" s="40"/>
      <c r="I197" s="40"/>
      <c r="J197" s="40">
        <f t="shared" si="5"/>
        <v>0</v>
      </c>
      <c r="K197" s="40"/>
      <c r="L197" s="44"/>
    </row>
    <row r="198" ht="14.25" customHeight="1">
      <c r="B198" s="38"/>
      <c r="C198" s="39"/>
      <c r="D198" s="40"/>
      <c r="E198" s="40"/>
      <c r="F198" s="40"/>
      <c r="G198" s="40"/>
      <c r="H198" s="40"/>
      <c r="I198" s="40"/>
      <c r="J198" s="40">
        <f t="shared" si="5"/>
        <v>0</v>
      </c>
      <c r="K198" s="40"/>
      <c r="L198" s="44"/>
    </row>
    <row r="199" ht="14.25" customHeight="1">
      <c r="B199" s="38"/>
      <c r="C199" s="39"/>
      <c r="D199" s="40"/>
      <c r="E199" s="40"/>
      <c r="F199" s="40"/>
      <c r="G199" s="40"/>
      <c r="H199" s="40"/>
      <c r="I199" s="40"/>
      <c r="J199" s="40">
        <f t="shared" si="5"/>
        <v>0</v>
      </c>
      <c r="K199" s="40"/>
      <c r="L199" s="44"/>
    </row>
    <row r="200" ht="14.25" customHeight="1">
      <c r="B200" s="38"/>
      <c r="C200" s="39"/>
      <c r="D200" s="40"/>
      <c r="E200" s="40"/>
      <c r="F200" s="40"/>
      <c r="G200" s="40"/>
      <c r="H200" s="40"/>
      <c r="I200" s="40"/>
      <c r="J200" s="40">
        <f t="shared" si="5"/>
        <v>0</v>
      </c>
      <c r="K200" s="40"/>
      <c r="L200" s="44"/>
    </row>
    <row r="201" ht="14.25" customHeight="1">
      <c r="B201" s="38"/>
      <c r="C201" s="39"/>
      <c r="D201" s="40"/>
      <c r="E201" s="40"/>
      <c r="F201" s="40"/>
      <c r="G201" s="40"/>
      <c r="H201" s="40"/>
      <c r="I201" s="40"/>
      <c r="J201" s="40">
        <f t="shared" si="5"/>
        <v>0</v>
      </c>
      <c r="K201" s="40"/>
      <c r="L201" s="44"/>
    </row>
    <row r="202" ht="14.25" customHeight="1">
      <c r="B202" s="38"/>
      <c r="C202" s="39"/>
      <c r="D202" s="40"/>
      <c r="E202" s="40"/>
      <c r="F202" s="40"/>
      <c r="G202" s="40"/>
      <c r="H202" s="40"/>
      <c r="I202" s="40"/>
      <c r="J202" s="40">
        <f t="shared" si="5"/>
        <v>0</v>
      </c>
      <c r="K202" s="40"/>
      <c r="L202" s="44"/>
    </row>
    <row r="203" ht="14.25" customHeight="1">
      <c r="B203" s="38"/>
      <c r="C203" s="39"/>
      <c r="D203" s="40"/>
      <c r="E203" s="40"/>
      <c r="F203" s="40"/>
      <c r="G203" s="40"/>
      <c r="H203" s="40"/>
      <c r="I203" s="40"/>
      <c r="J203" s="40">
        <f t="shared" si="5"/>
        <v>0</v>
      </c>
      <c r="K203" s="40"/>
      <c r="L203" s="44"/>
    </row>
    <row r="204" ht="14.25" customHeight="1">
      <c r="B204" s="38"/>
      <c r="C204" s="39"/>
      <c r="D204" s="40"/>
      <c r="E204" s="40"/>
      <c r="F204" s="40"/>
      <c r="G204" s="40"/>
      <c r="H204" s="40"/>
      <c r="I204" s="40"/>
      <c r="J204" s="40">
        <f t="shared" si="5"/>
        <v>0</v>
      </c>
      <c r="K204" s="40"/>
      <c r="L204" s="44"/>
    </row>
    <row r="205" ht="14.25" customHeight="1">
      <c r="B205" s="38"/>
      <c r="C205" s="39"/>
      <c r="D205" s="40"/>
      <c r="E205" s="40"/>
      <c r="F205" s="40"/>
      <c r="G205" s="40"/>
      <c r="H205" s="40"/>
      <c r="I205" s="40"/>
      <c r="J205" s="40">
        <f t="shared" si="5"/>
        <v>0</v>
      </c>
      <c r="K205" s="40"/>
      <c r="L205" s="44"/>
    </row>
    <row r="206" ht="14.25" customHeight="1">
      <c r="B206" s="38"/>
      <c r="C206" s="39"/>
      <c r="D206" s="40"/>
      <c r="E206" s="40"/>
      <c r="F206" s="40"/>
      <c r="G206" s="40"/>
      <c r="H206" s="40"/>
      <c r="I206" s="40"/>
      <c r="J206" s="40">
        <f t="shared" si="5"/>
        <v>0</v>
      </c>
      <c r="K206" s="40"/>
      <c r="L206" s="44"/>
    </row>
    <row r="207" ht="14.25" customHeight="1">
      <c r="B207" s="38"/>
      <c r="C207" s="39"/>
      <c r="D207" s="40"/>
      <c r="E207" s="40"/>
      <c r="F207" s="40"/>
      <c r="G207" s="40"/>
      <c r="H207" s="40"/>
      <c r="I207" s="40"/>
      <c r="J207" s="40">
        <f t="shared" si="5"/>
        <v>0</v>
      </c>
      <c r="K207" s="40"/>
      <c r="L207" s="44"/>
    </row>
    <row r="208" ht="14.25" customHeight="1">
      <c r="B208" s="38"/>
      <c r="C208" s="39"/>
      <c r="D208" s="40"/>
      <c r="E208" s="40"/>
      <c r="F208" s="40"/>
      <c r="G208" s="40"/>
      <c r="H208" s="40"/>
      <c r="I208" s="40"/>
      <c r="J208" s="40">
        <f t="shared" si="5"/>
        <v>0</v>
      </c>
      <c r="K208" s="40"/>
      <c r="L208" s="44"/>
    </row>
    <row r="209" ht="14.25" customHeight="1">
      <c r="B209" s="38"/>
      <c r="C209" s="39"/>
      <c r="D209" s="40"/>
      <c r="E209" s="40"/>
      <c r="F209" s="40"/>
      <c r="G209" s="40"/>
      <c r="H209" s="40"/>
      <c r="I209" s="40"/>
      <c r="J209" s="40">
        <f t="shared" si="5"/>
        <v>0</v>
      </c>
      <c r="K209" s="40"/>
      <c r="L209" s="44"/>
    </row>
    <row r="210" ht="14.25" customHeight="1">
      <c r="B210" s="38"/>
      <c r="C210" s="39"/>
      <c r="D210" s="40"/>
      <c r="E210" s="40"/>
      <c r="F210" s="40"/>
      <c r="G210" s="40"/>
      <c r="H210" s="40"/>
      <c r="I210" s="40"/>
      <c r="J210" s="40">
        <f t="shared" si="5"/>
        <v>0</v>
      </c>
      <c r="K210" s="40"/>
      <c r="L210" s="44"/>
    </row>
    <row r="211" ht="14.25" customHeight="1">
      <c r="B211" s="38"/>
      <c r="C211" s="39"/>
      <c r="D211" s="40"/>
      <c r="E211" s="40"/>
      <c r="F211" s="40"/>
      <c r="G211" s="40"/>
      <c r="H211" s="40"/>
      <c r="I211" s="40"/>
      <c r="J211" s="40">
        <f t="shared" si="5"/>
        <v>0</v>
      </c>
      <c r="K211" s="40"/>
      <c r="L211" s="44"/>
    </row>
    <row r="212" ht="14.25" customHeight="1">
      <c r="B212" s="38"/>
      <c r="C212" s="39"/>
      <c r="D212" s="40"/>
      <c r="E212" s="40"/>
      <c r="F212" s="40"/>
      <c r="G212" s="40"/>
      <c r="H212" s="40"/>
      <c r="I212" s="40"/>
      <c r="J212" s="40">
        <f t="shared" si="5"/>
        <v>0</v>
      </c>
      <c r="K212" s="40"/>
      <c r="L212" s="44"/>
    </row>
    <row r="213" ht="14.25" customHeight="1">
      <c r="B213" s="38"/>
      <c r="C213" s="39"/>
      <c r="D213" s="40"/>
      <c r="E213" s="40"/>
      <c r="F213" s="40"/>
      <c r="G213" s="40"/>
      <c r="H213" s="40"/>
      <c r="I213" s="40"/>
      <c r="J213" s="40">
        <f t="shared" si="5"/>
        <v>0</v>
      </c>
      <c r="K213" s="40"/>
      <c r="L213" s="44"/>
    </row>
    <row r="214" ht="14.25" customHeight="1">
      <c r="B214" s="38"/>
      <c r="C214" s="39"/>
      <c r="D214" s="40"/>
      <c r="E214" s="40"/>
      <c r="F214" s="40"/>
      <c r="G214" s="40"/>
      <c r="H214" s="40"/>
      <c r="I214" s="40"/>
      <c r="J214" s="40">
        <f t="shared" si="5"/>
        <v>0</v>
      </c>
      <c r="K214" s="40"/>
      <c r="L214" s="44"/>
    </row>
    <row r="215" ht="14.25" customHeight="1">
      <c r="B215" s="38"/>
      <c r="C215" s="39"/>
      <c r="D215" s="40"/>
      <c r="E215" s="40"/>
      <c r="F215" s="40"/>
      <c r="G215" s="40"/>
      <c r="H215" s="40"/>
      <c r="I215" s="40"/>
      <c r="J215" s="40">
        <f t="shared" si="5"/>
        <v>0</v>
      </c>
      <c r="K215" s="40"/>
      <c r="L215" s="44"/>
    </row>
    <row r="216" ht="14.25" customHeight="1">
      <c r="B216" s="38"/>
      <c r="C216" s="39"/>
      <c r="D216" s="40"/>
      <c r="E216" s="40"/>
      <c r="F216" s="40"/>
      <c r="G216" s="40"/>
      <c r="H216" s="40"/>
      <c r="I216" s="40"/>
      <c r="J216" s="40">
        <f t="shared" si="5"/>
        <v>0</v>
      </c>
      <c r="K216" s="40"/>
      <c r="L216" s="44"/>
    </row>
    <row r="217" ht="14.25" customHeight="1">
      <c r="B217" s="38"/>
      <c r="C217" s="39"/>
      <c r="D217" s="40"/>
      <c r="E217" s="40"/>
      <c r="F217" s="40"/>
      <c r="G217" s="40"/>
      <c r="H217" s="40"/>
      <c r="I217" s="40"/>
      <c r="J217" s="40">
        <f t="shared" si="5"/>
        <v>0</v>
      </c>
      <c r="K217" s="40"/>
      <c r="L217" s="44"/>
    </row>
    <row r="218" ht="14.25" customHeight="1">
      <c r="B218" s="38"/>
      <c r="C218" s="39"/>
      <c r="D218" s="40"/>
      <c r="E218" s="40"/>
      <c r="F218" s="40"/>
      <c r="G218" s="40"/>
      <c r="H218" s="40"/>
      <c r="I218" s="40"/>
      <c r="J218" s="40">
        <f t="shared" si="5"/>
        <v>0</v>
      </c>
      <c r="K218" s="40"/>
      <c r="L218" s="44"/>
    </row>
    <row r="219" ht="14.25" customHeight="1">
      <c r="B219" s="38"/>
      <c r="C219" s="39"/>
      <c r="D219" s="40"/>
      <c r="E219" s="40"/>
      <c r="F219" s="40"/>
      <c r="G219" s="40"/>
      <c r="H219" s="40"/>
      <c r="I219" s="40"/>
      <c r="J219" s="40">
        <f t="shared" si="5"/>
        <v>0</v>
      </c>
      <c r="K219" s="40"/>
      <c r="L219" s="44"/>
    </row>
    <row r="220" ht="14.25" customHeight="1">
      <c r="B220" s="38"/>
      <c r="C220" s="39"/>
      <c r="D220" s="40"/>
      <c r="E220" s="40"/>
      <c r="F220" s="40"/>
      <c r="G220" s="40"/>
      <c r="H220" s="40"/>
      <c r="I220" s="40"/>
      <c r="J220" s="40">
        <f t="shared" si="5"/>
        <v>0</v>
      </c>
      <c r="K220" s="40"/>
      <c r="L220" s="44"/>
    </row>
    <row r="221" ht="14.25" customHeight="1">
      <c r="B221" s="38"/>
      <c r="C221" s="39"/>
      <c r="D221" s="40"/>
      <c r="E221" s="40"/>
      <c r="F221" s="40"/>
      <c r="G221" s="40"/>
      <c r="H221" s="40"/>
      <c r="I221" s="40"/>
      <c r="J221" s="40">
        <f t="shared" si="5"/>
        <v>0</v>
      </c>
      <c r="K221" s="40"/>
      <c r="L221" s="44"/>
    </row>
    <row r="222" ht="14.25" customHeight="1">
      <c r="B222" s="38"/>
      <c r="C222" s="39"/>
      <c r="D222" s="40"/>
      <c r="E222" s="40"/>
      <c r="F222" s="40"/>
      <c r="G222" s="40"/>
      <c r="H222" s="40"/>
      <c r="I222" s="40"/>
      <c r="J222" s="40">
        <f t="shared" si="5"/>
        <v>0</v>
      </c>
      <c r="K222" s="40"/>
      <c r="L222" s="44"/>
    </row>
    <row r="223" ht="14.25" customHeight="1">
      <c r="B223" s="38"/>
      <c r="C223" s="39"/>
      <c r="D223" s="40"/>
      <c r="E223" s="40"/>
      <c r="F223" s="40"/>
      <c r="G223" s="40"/>
      <c r="H223" s="40"/>
      <c r="I223" s="40"/>
      <c r="J223" s="40">
        <f t="shared" si="5"/>
        <v>0</v>
      </c>
      <c r="K223" s="40"/>
      <c r="L223" s="44"/>
    </row>
    <row r="224" ht="14.25" customHeight="1">
      <c r="B224" s="38"/>
      <c r="C224" s="39"/>
      <c r="D224" s="40"/>
      <c r="E224" s="40"/>
      <c r="F224" s="40"/>
      <c r="G224" s="40"/>
      <c r="H224" s="40"/>
      <c r="I224" s="40"/>
      <c r="J224" s="40">
        <f t="shared" si="5"/>
        <v>0</v>
      </c>
      <c r="K224" s="40"/>
      <c r="L224" s="44"/>
    </row>
    <row r="225" ht="14.25" customHeight="1">
      <c r="B225" s="38"/>
      <c r="C225" s="39"/>
      <c r="D225" s="40"/>
      <c r="E225" s="40"/>
      <c r="F225" s="40"/>
      <c r="G225" s="40"/>
      <c r="H225" s="40"/>
      <c r="I225" s="40"/>
      <c r="J225" s="40">
        <f t="shared" si="5"/>
        <v>0</v>
      </c>
      <c r="K225" s="40"/>
      <c r="L225" s="44"/>
    </row>
    <row r="226" ht="14.25" customHeight="1">
      <c r="B226" s="38"/>
      <c r="C226" s="39"/>
      <c r="D226" s="40"/>
      <c r="E226" s="40"/>
      <c r="F226" s="40"/>
      <c r="G226" s="40"/>
      <c r="H226" s="40"/>
      <c r="I226" s="40"/>
      <c r="J226" s="40">
        <f t="shared" si="5"/>
        <v>0</v>
      </c>
      <c r="K226" s="40"/>
      <c r="L226" s="44"/>
    </row>
    <row r="227" ht="14.25" customHeight="1">
      <c r="B227" s="38"/>
      <c r="C227" s="39"/>
      <c r="D227" s="40"/>
      <c r="E227" s="40"/>
      <c r="F227" s="40"/>
      <c r="G227" s="40"/>
      <c r="H227" s="40"/>
      <c r="I227" s="40"/>
      <c r="J227" s="40">
        <f t="shared" si="5"/>
        <v>0</v>
      </c>
      <c r="K227" s="40"/>
      <c r="L227" s="44"/>
    </row>
    <row r="228" ht="14.25" customHeight="1">
      <c r="B228" s="38"/>
      <c r="C228" s="39"/>
      <c r="D228" s="40"/>
      <c r="E228" s="40"/>
      <c r="F228" s="40"/>
      <c r="G228" s="40"/>
      <c r="H228" s="40"/>
      <c r="I228" s="40"/>
      <c r="J228" s="40">
        <f t="shared" si="5"/>
        <v>0</v>
      </c>
      <c r="K228" s="40"/>
      <c r="L228" s="44"/>
    </row>
    <row r="229" ht="14.25" customHeight="1">
      <c r="B229" s="38"/>
      <c r="C229" s="39"/>
      <c r="D229" s="40"/>
      <c r="E229" s="40"/>
      <c r="F229" s="40"/>
      <c r="G229" s="40"/>
      <c r="H229" s="40"/>
      <c r="I229" s="40"/>
      <c r="J229" s="40">
        <f t="shared" si="5"/>
        <v>0</v>
      </c>
      <c r="K229" s="40"/>
      <c r="L229" s="44"/>
    </row>
    <row r="230" ht="14.25" customHeight="1">
      <c r="B230" s="38"/>
      <c r="C230" s="39"/>
      <c r="D230" s="40"/>
      <c r="E230" s="40"/>
      <c r="F230" s="40"/>
      <c r="G230" s="40"/>
      <c r="H230" s="40"/>
      <c r="I230" s="40"/>
      <c r="J230" s="40">
        <f t="shared" si="5"/>
        <v>0</v>
      </c>
      <c r="K230" s="40"/>
      <c r="L230" s="44"/>
    </row>
    <row r="231" ht="14.25" customHeight="1">
      <c r="B231" s="38"/>
      <c r="C231" s="39"/>
      <c r="D231" s="40"/>
      <c r="E231" s="40"/>
      <c r="F231" s="40"/>
      <c r="G231" s="40"/>
      <c r="H231" s="40"/>
      <c r="I231" s="40"/>
      <c r="J231" s="40">
        <f t="shared" si="5"/>
        <v>0</v>
      </c>
      <c r="K231" s="40"/>
      <c r="L231" s="44"/>
    </row>
    <row r="232" ht="14.25" customHeight="1">
      <c r="B232" s="38"/>
      <c r="C232" s="39"/>
      <c r="D232" s="40"/>
      <c r="E232" s="40"/>
      <c r="F232" s="40"/>
      <c r="G232" s="40"/>
      <c r="H232" s="40"/>
      <c r="I232" s="40"/>
      <c r="J232" s="40">
        <f t="shared" si="5"/>
        <v>0</v>
      </c>
      <c r="K232" s="40"/>
      <c r="L232" s="44"/>
    </row>
    <row r="233" ht="14.25" customHeight="1">
      <c r="B233" s="38"/>
      <c r="C233" s="39"/>
      <c r="D233" s="40"/>
      <c r="E233" s="40"/>
      <c r="F233" s="40"/>
      <c r="G233" s="40"/>
      <c r="H233" s="40"/>
      <c r="I233" s="40"/>
      <c r="J233" s="40">
        <f t="shared" si="5"/>
        <v>0</v>
      </c>
      <c r="K233" s="40"/>
      <c r="L233" s="44"/>
    </row>
    <row r="234" ht="14.25" customHeight="1">
      <c r="B234" s="38"/>
      <c r="C234" s="39"/>
      <c r="D234" s="40"/>
      <c r="E234" s="40"/>
      <c r="F234" s="40"/>
      <c r="G234" s="40"/>
      <c r="H234" s="40"/>
      <c r="I234" s="40"/>
      <c r="J234" s="40">
        <f t="shared" si="5"/>
        <v>0</v>
      </c>
      <c r="K234" s="40"/>
      <c r="L234" s="44"/>
    </row>
    <row r="235" ht="14.25" customHeight="1">
      <c r="B235" s="38"/>
      <c r="C235" s="39"/>
      <c r="D235" s="40"/>
      <c r="E235" s="40"/>
      <c r="F235" s="40"/>
      <c r="G235" s="40"/>
      <c r="H235" s="40"/>
      <c r="I235" s="40"/>
      <c r="J235" s="40">
        <f t="shared" si="5"/>
        <v>0</v>
      </c>
      <c r="K235" s="40"/>
      <c r="L235" s="44"/>
    </row>
    <row r="236" ht="14.25" customHeight="1">
      <c r="B236" s="38"/>
      <c r="C236" s="39"/>
      <c r="D236" s="40"/>
      <c r="E236" s="40"/>
      <c r="F236" s="40"/>
      <c r="G236" s="40"/>
      <c r="H236" s="40"/>
      <c r="I236" s="40"/>
      <c r="J236" s="40">
        <f t="shared" si="5"/>
        <v>0</v>
      </c>
      <c r="K236" s="40"/>
      <c r="L236" s="44"/>
    </row>
    <row r="237" ht="14.25" customHeight="1">
      <c r="B237" s="38"/>
      <c r="C237" s="39"/>
      <c r="D237" s="40"/>
      <c r="E237" s="40"/>
      <c r="F237" s="40"/>
      <c r="G237" s="40"/>
      <c r="H237" s="40"/>
      <c r="I237" s="40"/>
      <c r="J237" s="40">
        <f t="shared" si="5"/>
        <v>0</v>
      </c>
      <c r="K237" s="40"/>
      <c r="L237" s="44"/>
    </row>
    <row r="238" ht="14.25" customHeight="1">
      <c r="B238" s="38"/>
      <c r="C238" s="39"/>
      <c r="D238" s="40"/>
      <c r="E238" s="40"/>
      <c r="F238" s="40"/>
      <c r="G238" s="40"/>
      <c r="H238" s="40"/>
      <c r="I238" s="40"/>
      <c r="J238" s="40">
        <f t="shared" si="5"/>
        <v>0</v>
      </c>
      <c r="K238" s="40"/>
      <c r="L238" s="44"/>
    </row>
    <row r="239" ht="14.25" customHeight="1">
      <c r="B239" s="38"/>
      <c r="C239" s="39"/>
      <c r="D239" s="40"/>
      <c r="E239" s="40"/>
      <c r="F239" s="40"/>
      <c r="G239" s="40"/>
      <c r="H239" s="40"/>
      <c r="I239" s="40"/>
      <c r="J239" s="40">
        <f t="shared" si="5"/>
        <v>0</v>
      </c>
      <c r="K239" s="40"/>
      <c r="L239" s="44"/>
    </row>
    <row r="240" ht="14.25" customHeight="1">
      <c r="B240" s="38"/>
      <c r="C240" s="39"/>
      <c r="D240" s="40"/>
      <c r="E240" s="40"/>
      <c r="F240" s="40"/>
      <c r="G240" s="40"/>
      <c r="H240" s="40"/>
      <c r="I240" s="40"/>
      <c r="J240" s="40">
        <f t="shared" si="5"/>
        <v>0</v>
      </c>
      <c r="K240" s="40"/>
      <c r="L240" s="44"/>
    </row>
    <row r="241" ht="14.25" customHeight="1">
      <c r="B241" s="38"/>
      <c r="C241" s="39"/>
      <c r="D241" s="40"/>
      <c r="E241" s="40"/>
      <c r="F241" s="40"/>
      <c r="G241" s="40"/>
      <c r="H241" s="40"/>
      <c r="I241" s="40"/>
      <c r="J241" s="40">
        <f t="shared" si="5"/>
        <v>0</v>
      </c>
      <c r="K241" s="40"/>
      <c r="L241" s="44"/>
    </row>
    <row r="242" ht="14.25" customHeight="1">
      <c r="B242" s="38"/>
      <c r="C242" s="39"/>
      <c r="D242" s="40"/>
      <c r="E242" s="40"/>
      <c r="F242" s="40"/>
      <c r="G242" s="40"/>
      <c r="H242" s="40"/>
      <c r="I242" s="40"/>
      <c r="J242" s="40">
        <f t="shared" si="5"/>
        <v>0</v>
      </c>
      <c r="K242" s="40"/>
      <c r="L242" s="44"/>
    </row>
    <row r="243" ht="14.25" customHeight="1">
      <c r="B243" s="38"/>
      <c r="C243" s="39"/>
      <c r="D243" s="40"/>
      <c r="E243" s="40"/>
      <c r="F243" s="40"/>
      <c r="G243" s="40"/>
      <c r="H243" s="40"/>
      <c r="I243" s="40"/>
      <c r="J243" s="40">
        <f t="shared" si="5"/>
        <v>0</v>
      </c>
      <c r="K243" s="40"/>
      <c r="L243" s="44"/>
    </row>
    <row r="244" ht="14.25" customHeight="1">
      <c r="B244" s="38"/>
      <c r="C244" s="39"/>
      <c r="D244" s="40"/>
      <c r="E244" s="40"/>
      <c r="F244" s="40"/>
      <c r="G244" s="40"/>
      <c r="H244" s="40"/>
      <c r="I244" s="40"/>
      <c r="J244" s="40">
        <f t="shared" si="5"/>
        <v>0</v>
      </c>
      <c r="K244" s="40"/>
      <c r="L244" s="44"/>
    </row>
    <row r="245" ht="14.25" customHeight="1">
      <c r="B245" s="38"/>
      <c r="C245" s="39"/>
      <c r="D245" s="40"/>
      <c r="E245" s="40"/>
      <c r="F245" s="40"/>
      <c r="G245" s="40"/>
      <c r="H245" s="40"/>
      <c r="I245" s="40"/>
      <c r="J245" s="40">
        <f t="shared" si="5"/>
        <v>0</v>
      </c>
      <c r="K245" s="40"/>
      <c r="L245" s="44"/>
    </row>
    <row r="246" ht="14.25" customHeight="1">
      <c r="B246" s="38"/>
      <c r="C246" s="39"/>
      <c r="D246" s="40"/>
      <c r="E246" s="40"/>
      <c r="F246" s="40"/>
      <c r="G246" s="40"/>
      <c r="H246" s="40"/>
      <c r="I246" s="40"/>
      <c r="J246" s="40">
        <f t="shared" si="5"/>
        <v>0</v>
      </c>
      <c r="K246" s="40"/>
      <c r="L246" s="44"/>
    </row>
    <row r="247" ht="14.25" customHeight="1">
      <c r="B247" s="38"/>
      <c r="C247" s="39"/>
      <c r="D247" s="40"/>
      <c r="E247" s="40"/>
      <c r="F247" s="40"/>
      <c r="G247" s="40"/>
      <c r="H247" s="40"/>
      <c r="I247" s="40"/>
      <c r="J247" s="40">
        <f t="shared" si="5"/>
        <v>0</v>
      </c>
      <c r="K247" s="40"/>
      <c r="L247" s="44"/>
    </row>
    <row r="248" ht="14.25" customHeight="1">
      <c r="B248" s="38"/>
      <c r="C248" s="39"/>
      <c r="D248" s="40"/>
      <c r="E248" s="40"/>
      <c r="F248" s="40"/>
      <c r="G248" s="40"/>
      <c r="H248" s="40"/>
      <c r="I248" s="40"/>
      <c r="J248" s="40">
        <f t="shared" si="5"/>
        <v>0</v>
      </c>
      <c r="K248" s="40"/>
      <c r="L248" s="44"/>
    </row>
    <row r="249" ht="14.25" customHeight="1">
      <c r="B249" s="38"/>
      <c r="C249" s="39"/>
      <c r="D249" s="40"/>
      <c r="E249" s="40"/>
      <c r="F249" s="40"/>
      <c r="G249" s="40"/>
      <c r="H249" s="40"/>
      <c r="I249" s="40"/>
      <c r="J249" s="40">
        <f t="shared" si="5"/>
        <v>0</v>
      </c>
      <c r="K249" s="40"/>
      <c r="L249" s="44"/>
    </row>
    <row r="250" ht="14.25" customHeight="1">
      <c r="B250" s="38"/>
      <c r="C250" s="39"/>
      <c r="D250" s="40"/>
      <c r="E250" s="40"/>
      <c r="F250" s="40"/>
      <c r="G250" s="40"/>
      <c r="H250" s="40"/>
      <c r="I250" s="40"/>
      <c r="J250" s="40">
        <f t="shared" si="5"/>
        <v>0</v>
      </c>
      <c r="K250" s="40"/>
      <c r="L250" s="44"/>
    </row>
    <row r="251" ht="14.25" customHeight="1">
      <c r="B251" s="38"/>
      <c r="C251" s="39"/>
      <c r="D251" s="40"/>
      <c r="E251" s="40"/>
      <c r="F251" s="40"/>
      <c r="G251" s="40"/>
      <c r="H251" s="40"/>
      <c r="I251" s="40"/>
      <c r="J251" s="40">
        <f t="shared" si="5"/>
        <v>0</v>
      </c>
      <c r="K251" s="40"/>
      <c r="L251" s="44"/>
    </row>
    <row r="252" ht="14.25" customHeight="1">
      <c r="B252" s="38"/>
      <c r="C252" s="39"/>
      <c r="D252" s="40"/>
      <c r="E252" s="40"/>
      <c r="F252" s="40"/>
      <c r="G252" s="40"/>
      <c r="H252" s="40"/>
      <c r="I252" s="40"/>
      <c r="J252" s="40">
        <f t="shared" si="5"/>
        <v>0</v>
      </c>
      <c r="K252" s="40"/>
      <c r="L252" s="44"/>
    </row>
    <row r="253" ht="14.25" customHeight="1">
      <c r="B253" s="38"/>
      <c r="C253" s="39"/>
      <c r="D253" s="40"/>
      <c r="E253" s="40"/>
      <c r="F253" s="40"/>
      <c r="G253" s="40"/>
      <c r="H253" s="40"/>
      <c r="I253" s="40"/>
      <c r="J253" s="40">
        <f t="shared" si="5"/>
        <v>0</v>
      </c>
      <c r="K253" s="40"/>
      <c r="L253" s="44"/>
    </row>
    <row r="254" ht="14.25" customHeight="1">
      <c r="B254" s="38"/>
      <c r="C254" s="39"/>
      <c r="D254" s="40"/>
      <c r="E254" s="40"/>
      <c r="F254" s="40"/>
      <c r="G254" s="40"/>
      <c r="H254" s="40"/>
      <c r="I254" s="40"/>
      <c r="J254" s="40">
        <f t="shared" si="5"/>
        <v>0</v>
      </c>
      <c r="K254" s="40"/>
      <c r="L254" s="44"/>
    </row>
    <row r="255" ht="14.25" customHeight="1">
      <c r="B255" s="38"/>
      <c r="C255" s="39"/>
      <c r="D255" s="40"/>
      <c r="E255" s="40"/>
      <c r="F255" s="40"/>
      <c r="G255" s="40"/>
      <c r="H255" s="40"/>
      <c r="I255" s="40"/>
      <c r="J255" s="40">
        <f t="shared" si="5"/>
        <v>0</v>
      </c>
      <c r="K255" s="40"/>
      <c r="L255" s="44"/>
    </row>
    <row r="256" ht="14.25" customHeight="1">
      <c r="B256" s="38"/>
      <c r="C256" s="39"/>
      <c r="D256" s="40"/>
      <c r="E256" s="40"/>
      <c r="F256" s="40"/>
      <c r="G256" s="40"/>
      <c r="H256" s="40"/>
      <c r="I256" s="40"/>
      <c r="J256" s="40">
        <f t="shared" si="5"/>
        <v>0</v>
      </c>
      <c r="K256" s="40"/>
      <c r="L256" s="44"/>
    </row>
    <row r="257" ht="14.25" customHeight="1">
      <c r="B257" s="38"/>
      <c r="C257" s="39"/>
      <c r="D257" s="40"/>
      <c r="E257" s="40"/>
      <c r="F257" s="40"/>
      <c r="G257" s="40"/>
      <c r="H257" s="40"/>
      <c r="I257" s="40"/>
      <c r="J257" s="40">
        <f t="shared" si="5"/>
        <v>0</v>
      </c>
      <c r="K257" s="40"/>
      <c r="L257" s="44"/>
    </row>
    <row r="258" ht="14.25" customHeight="1">
      <c r="B258" s="38"/>
      <c r="C258" s="39"/>
      <c r="D258" s="40"/>
      <c r="E258" s="40"/>
      <c r="F258" s="40"/>
      <c r="G258" s="40"/>
      <c r="H258" s="40"/>
      <c r="I258" s="40"/>
      <c r="J258" s="40">
        <f t="shared" si="5"/>
        <v>0</v>
      </c>
      <c r="K258" s="40"/>
      <c r="L258" s="44"/>
    </row>
    <row r="259" ht="14.25" customHeight="1">
      <c r="B259" s="38"/>
      <c r="C259" s="39"/>
      <c r="D259" s="40"/>
      <c r="E259" s="40"/>
      <c r="F259" s="40"/>
      <c r="G259" s="40"/>
      <c r="H259" s="40"/>
      <c r="I259" s="40"/>
      <c r="J259" s="40">
        <f t="shared" si="5"/>
        <v>0</v>
      </c>
      <c r="K259" s="40"/>
      <c r="L259" s="44"/>
    </row>
    <row r="260" ht="14.25" customHeight="1">
      <c r="B260" s="38"/>
      <c r="C260" s="39"/>
      <c r="D260" s="40"/>
      <c r="E260" s="40"/>
      <c r="F260" s="40"/>
      <c r="G260" s="40"/>
      <c r="H260" s="40"/>
      <c r="I260" s="40"/>
      <c r="J260" s="40">
        <f t="shared" si="5"/>
        <v>0</v>
      </c>
      <c r="K260" s="40"/>
      <c r="L260" s="44"/>
    </row>
    <row r="261" ht="14.25" customHeight="1">
      <c r="B261" s="38"/>
      <c r="C261" s="39"/>
      <c r="D261" s="40"/>
      <c r="E261" s="40"/>
      <c r="F261" s="40"/>
      <c r="G261" s="40"/>
      <c r="H261" s="40"/>
      <c r="I261" s="40"/>
      <c r="J261" s="40">
        <f t="shared" si="5"/>
        <v>0</v>
      </c>
      <c r="K261" s="40"/>
      <c r="L261" s="44"/>
    </row>
    <row r="262" ht="14.25" customHeight="1">
      <c r="B262" s="38"/>
      <c r="C262" s="39"/>
      <c r="D262" s="40"/>
      <c r="E262" s="40"/>
      <c r="F262" s="40"/>
      <c r="G262" s="40"/>
      <c r="H262" s="40"/>
      <c r="I262" s="40"/>
      <c r="J262" s="40">
        <f t="shared" si="5"/>
        <v>0</v>
      </c>
      <c r="K262" s="40"/>
      <c r="L262" s="44"/>
    </row>
    <row r="263" ht="14.25" customHeight="1">
      <c r="B263" s="38"/>
      <c r="C263" s="39"/>
      <c r="D263" s="40"/>
      <c r="E263" s="40"/>
      <c r="F263" s="40"/>
      <c r="G263" s="40"/>
      <c r="H263" s="40"/>
      <c r="I263" s="40"/>
      <c r="J263" s="40">
        <f t="shared" si="5"/>
        <v>0</v>
      </c>
      <c r="K263" s="40"/>
      <c r="L263" s="44"/>
    </row>
    <row r="264" ht="14.25" customHeight="1">
      <c r="B264" s="38"/>
      <c r="C264" s="39"/>
      <c r="D264" s="40"/>
      <c r="E264" s="40"/>
      <c r="F264" s="40"/>
      <c r="G264" s="40"/>
      <c r="H264" s="40"/>
      <c r="I264" s="40"/>
      <c r="J264" s="40">
        <f t="shared" si="5"/>
        <v>0</v>
      </c>
      <c r="K264" s="40"/>
      <c r="L264" s="44"/>
    </row>
    <row r="265" ht="14.25" customHeight="1">
      <c r="B265" s="38"/>
      <c r="C265" s="39"/>
      <c r="D265" s="40"/>
      <c r="E265" s="40"/>
      <c r="F265" s="40"/>
      <c r="G265" s="40"/>
      <c r="H265" s="40"/>
      <c r="I265" s="40"/>
      <c r="J265" s="40">
        <f t="shared" si="5"/>
        <v>0</v>
      </c>
      <c r="K265" s="40"/>
      <c r="L265" s="44"/>
    </row>
    <row r="266" ht="14.25" customHeight="1">
      <c r="B266" s="38"/>
      <c r="C266" s="39"/>
      <c r="D266" s="40"/>
      <c r="E266" s="40"/>
      <c r="F266" s="40"/>
      <c r="G266" s="40"/>
      <c r="H266" s="40"/>
      <c r="I266" s="40"/>
      <c r="J266" s="40">
        <f t="shared" si="5"/>
        <v>0</v>
      </c>
      <c r="K266" s="40"/>
      <c r="L266" s="44"/>
    </row>
    <row r="267" ht="14.25" customHeight="1">
      <c r="B267" s="38"/>
      <c r="C267" s="39"/>
      <c r="D267" s="40"/>
      <c r="E267" s="40"/>
      <c r="F267" s="40"/>
      <c r="G267" s="40"/>
      <c r="H267" s="40"/>
      <c r="I267" s="40"/>
      <c r="J267" s="40">
        <f t="shared" si="5"/>
        <v>0</v>
      </c>
      <c r="K267" s="40"/>
      <c r="L267" s="44"/>
    </row>
    <row r="268" ht="14.25" customHeight="1">
      <c r="B268" s="38"/>
      <c r="C268" s="39"/>
      <c r="D268" s="40"/>
      <c r="E268" s="40"/>
      <c r="F268" s="40"/>
      <c r="G268" s="40"/>
      <c r="H268" s="40"/>
      <c r="I268" s="40"/>
      <c r="J268" s="40">
        <f t="shared" si="5"/>
        <v>0</v>
      </c>
      <c r="K268" s="40"/>
      <c r="L268" s="44"/>
    </row>
    <row r="269" ht="14.25" customHeight="1">
      <c r="B269" s="38"/>
      <c r="C269" s="39"/>
      <c r="D269" s="40"/>
      <c r="E269" s="40"/>
      <c r="F269" s="40"/>
      <c r="G269" s="40"/>
      <c r="H269" s="40"/>
      <c r="I269" s="40"/>
      <c r="J269" s="40">
        <f t="shared" si="5"/>
        <v>0</v>
      </c>
      <c r="K269" s="40"/>
      <c r="L269" s="44"/>
    </row>
    <row r="270" ht="14.25" customHeight="1">
      <c r="B270" s="38"/>
      <c r="C270" s="39"/>
      <c r="D270" s="40"/>
      <c r="E270" s="40"/>
      <c r="F270" s="40"/>
      <c r="G270" s="40"/>
      <c r="H270" s="40"/>
      <c r="I270" s="40"/>
      <c r="J270" s="40">
        <f t="shared" si="5"/>
        <v>0</v>
      </c>
      <c r="K270" s="40"/>
      <c r="L270" s="44"/>
    </row>
    <row r="271" ht="14.25" customHeight="1">
      <c r="B271" s="38"/>
      <c r="C271" s="39"/>
      <c r="D271" s="40"/>
      <c r="E271" s="40"/>
      <c r="F271" s="40"/>
      <c r="G271" s="40"/>
      <c r="H271" s="40"/>
      <c r="I271" s="40"/>
      <c r="J271" s="40">
        <f t="shared" si="5"/>
        <v>0</v>
      </c>
      <c r="K271" s="40"/>
      <c r="L271" s="44"/>
    </row>
    <row r="272" ht="14.25" customHeight="1">
      <c r="B272" s="38"/>
      <c r="C272" s="39"/>
      <c r="D272" s="40"/>
      <c r="E272" s="40"/>
      <c r="F272" s="40"/>
      <c r="G272" s="40"/>
      <c r="H272" s="40"/>
      <c r="I272" s="40"/>
      <c r="J272" s="40">
        <f t="shared" si="5"/>
        <v>0</v>
      </c>
      <c r="K272" s="40"/>
      <c r="L272" s="44"/>
    </row>
    <row r="273" ht="14.25" customHeight="1">
      <c r="B273" s="38"/>
      <c r="C273" s="39"/>
      <c r="D273" s="40"/>
      <c r="E273" s="40"/>
      <c r="F273" s="40"/>
      <c r="G273" s="40"/>
      <c r="H273" s="40"/>
      <c r="I273" s="40"/>
      <c r="J273" s="40">
        <f t="shared" si="5"/>
        <v>0</v>
      </c>
      <c r="K273" s="40"/>
      <c r="L273" s="44"/>
    </row>
    <row r="274" ht="14.25" customHeight="1">
      <c r="B274" s="38"/>
      <c r="C274" s="39"/>
      <c r="D274" s="40"/>
      <c r="E274" s="40"/>
      <c r="F274" s="40"/>
      <c r="G274" s="40"/>
      <c r="H274" s="40"/>
      <c r="I274" s="40"/>
      <c r="J274" s="40">
        <f t="shared" si="5"/>
        <v>0</v>
      </c>
      <c r="K274" s="40"/>
      <c r="L274" s="44"/>
    </row>
    <row r="275" ht="14.25" customHeight="1">
      <c r="B275" s="38"/>
      <c r="C275" s="39"/>
      <c r="D275" s="40"/>
      <c r="E275" s="40"/>
      <c r="F275" s="40"/>
      <c r="G275" s="40"/>
      <c r="H275" s="40"/>
      <c r="I275" s="40"/>
      <c r="J275" s="40">
        <f t="shared" si="5"/>
        <v>0</v>
      </c>
      <c r="K275" s="40"/>
      <c r="L275" s="44"/>
    </row>
    <row r="276" ht="14.25" customHeight="1">
      <c r="B276" s="38"/>
      <c r="C276" s="39"/>
      <c r="D276" s="40"/>
      <c r="E276" s="40"/>
      <c r="F276" s="40"/>
      <c r="G276" s="40"/>
      <c r="H276" s="40"/>
      <c r="I276" s="40"/>
      <c r="J276" s="40">
        <f t="shared" si="5"/>
        <v>0</v>
      </c>
      <c r="K276" s="40"/>
      <c r="L276" s="44"/>
    </row>
    <row r="277" ht="14.25" customHeight="1">
      <c r="B277" s="38"/>
      <c r="C277" s="39"/>
      <c r="D277" s="40"/>
      <c r="E277" s="40"/>
      <c r="F277" s="40"/>
      <c r="G277" s="40"/>
      <c r="H277" s="40"/>
      <c r="I277" s="40"/>
      <c r="J277" s="40">
        <f t="shared" si="5"/>
        <v>0</v>
      </c>
      <c r="K277" s="40"/>
      <c r="L277" s="44"/>
    </row>
    <row r="278" ht="14.25" customHeight="1">
      <c r="B278" s="38"/>
      <c r="C278" s="39"/>
      <c r="D278" s="40"/>
      <c r="E278" s="40"/>
      <c r="F278" s="40"/>
      <c r="G278" s="40"/>
      <c r="H278" s="40"/>
      <c r="I278" s="40"/>
      <c r="J278" s="40">
        <f t="shared" si="5"/>
        <v>0</v>
      </c>
      <c r="K278" s="40"/>
      <c r="L278" s="44"/>
    </row>
    <row r="279" ht="14.25" customHeight="1">
      <c r="B279" s="38"/>
      <c r="C279" s="39"/>
      <c r="D279" s="40"/>
      <c r="E279" s="40"/>
      <c r="F279" s="40"/>
      <c r="G279" s="40"/>
      <c r="H279" s="40"/>
      <c r="I279" s="40"/>
      <c r="J279" s="40">
        <f t="shared" si="5"/>
        <v>0</v>
      </c>
      <c r="K279" s="40"/>
      <c r="L279" s="44"/>
    </row>
    <row r="280" ht="14.25" customHeight="1">
      <c r="B280" s="38"/>
      <c r="C280" s="39"/>
      <c r="D280" s="40"/>
      <c r="E280" s="40"/>
      <c r="F280" s="40"/>
      <c r="G280" s="40"/>
      <c r="H280" s="40"/>
      <c r="I280" s="40"/>
      <c r="J280" s="40">
        <f t="shared" si="5"/>
        <v>0</v>
      </c>
      <c r="K280" s="40"/>
      <c r="L280" s="44"/>
    </row>
    <row r="281" ht="14.25" customHeight="1">
      <c r="B281" s="38"/>
      <c r="C281" s="39"/>
      <c r="D281" s="40"/>
      <c r="E281" s="40"/>
      <c r="F281" s="40"/>
      <c r="G281" s="40"/>
      <c r="H281" s="40"/>
      <c r="I281" s="40"/>
      <c r="J281" s="40">
        <f t="shared" si="5"/>
        <v>0</v>
      </c>
      <c r="K281" s="40"/>
      <c r="L281" s="44"/>
    </row>
    <row r="282" ht="14.25" customHeight="1">
      <c r="B282" s="38"/>
      <c r="C282" s="39"/>
      <c r="D282" s="40"/>
      <c r="E282" s="40"/>
      <c r="F282" s="40"/>
      <c r="G282" s="40"/>
      <c r="H282" s="40"/>
      <c r="I282" s="40"/>
      <c r="J282" s="40">
        <f t="shared" si="5"/>
        <v>0</v>
      </c>
      <c r="K282" s="40"/>
      <c r="L282" s="44"/>
    </row>
    <row r="283" ht="14.25" customHeight="1">
      <c r="B283" s="38"/>
      <c r="C283" s="39"/>
      <c r="D283" s="40"/>
      <c r="E283" s="40"/>
      <c r="F283" s="40"/>
      <c r="G283" s="40"/>
      <c r="H283" s="40"/>
      <c r="I283" s="40"/>
      <c r="J283" s="40">
        <f t="shared" si="5"/>
        <v>0</v>
      </c>
      <c r="K283" s="40"/>
      <c r="L283" s="44"/>
    </row>
    <row r="284" ht="14.25" customHeight="1">
      <c r="B284" s="38"/>
      <c r="C284" s="39"/>
      <c r="D284" s="40"/>
      <c r="E284" s="40"/>
      <c r="F284" s="40"/>
      <c r="G284" s="40"/>
      <c r="H284" s="40"/>
      <c r="I284" s="40"/>
      <c r="J284" s="40">
        <f t="shared" si="5"/>
        <v>0</v>
      </c>
      <c r="K284" s="40"/>
      <c r="L284" s="44"/>
    </row>
    <row r="285" ht="14.25" customHeight="1">
      <c r="B285" s="38"/>
      <c r="C285" s="39"/>
      <c r="D285" s="40"/>
      <c r="E285" s="40"/>
      <c r="F285" s="40"/>
      <c r="G285" s="40"/>
      <c r="H285" s="40"/>
      <c r="I285" s="40"/>
      <c r="J285" s="40">
        <f t="shared" si="5"/>
        <v>0</v>
      </c>
      <c r="K285" s="40"/>
      <c r="L285" s="44"/>
    </row>
    <row r="286" ht="14.25" customHeight="1">
      <c r="B286" s="38"/>
      <c r="C286" s="39"/>
      <c r="D286" s="40"/>
      <c r="E286" s="40"/>
      <c r="F286" s="40"/>
      <c r="G286" s="40"/>
      <c r="H286" s="40"/>
      <c r="I286" s="40"/>
      <c r="J286" s="40">
        <f t="shared" si="5"/>
        <v>0</v>
      </c>
      <c r="K286" s="40"/>
      <c r="L286" s="44"/>
    </row>
    <row r="287" ht="14.25" customHeight="1">
      <c r="B287" s="38"/>
      <c r="C287" s="39"/>
      <c r="D287" s="40"/>
      <c r="E287" s="40"/>
      <c r="F287" s="40"/>
      <c r="G287" s="40"/>
      <c r="H287" s="40"/>
      <c r="I287" s="40"/>
      <c r="J287" s="40">
        <f t="shared" si="5"/>
        <v>0</v>
      </c>
      <c r="K287" s="40"/>
      <c r="L287" s="44"/>
    </row>
    <row r="288" ht="14.25" customHeight="1">
      <c r="B288" s="38"/>
      <c r="C288" s="39"/>
      <c r="D288" s="40"/>
      <c r="E288" s="40"/>
      <c r="F288" s="40"/>
      <c r="G288" s="40"/>
      <c r="H288" s="40"/>
      <c r="I288" s="40"/>
      <c r="J288" s="40">
        <f t="shared" si="5"/>
        <v>0</v>
      </c>
      <c r="K288" s="40"/>
      <c r="L288" s="44"/>
    </row>
    <row r="289" ht="14.25" customHeight="1">
      <c r="B289" s="38"/>
      <c r="C289" s="39"/>
      <c r="D289" s="40"/>
      <c r="E289" s="40"/>
      <c r="F289" s="40"/>
      <c r="G289" s="40"/>
      <c r="H289" s="40"/>
      <c r="I289" s="40"/>
      <c r="J289" s="40">
        <f t="shared" si="5"/>
        <v>0</v>
      </c>
      <c r="K289" s="40"/>
      <c r="L289" s="44"/>
    </row>
    <row r="290" ht="14.25" customHeight="1">
      <c r="B290" s="38"/>
      <c r="C290" s="39"/>
      <c r="D290" s="40"/>
      <c r="E290" s="40"/>
      <c r="F290" s="40"/>
      <c r="G290" s="40"/>
      <c r="H290" s="40"/>
      <c r="I290" s="40"/>
      <c r="J290" s="40">
        <f t="shared" si="5"/>
        <v>0</v>
      </c>
      <c r="K290" s="40"/>
      <c r="L290" s="44"/>
    </row>
    <row r="291" ht="14.25" customHeight="1">
      <c r="B291" s="38"/>
      <c r="C291" s="39"/>
      <c r="D291" s="40"/>
      <c r="E291" s="40"/>
      <c r="F291" s="40"/>
      <c r="G291" s="40"/>
      <c r="H291" s="40"/>
      <c r="I291" s="40"/>
      <c r="J291" s="40">
        <f t="shared" si="5"/>
        <v>0</v>
      </c>
      <c r="K291" s="40"/>
      <c r="L291" s="44"/>
    </row>
    <row r="292" ht="14.25" customHeight="1">
      <c r="B292" s="38"/>
      <c r="C292" s="39"/>
      <c r="D292" s="40"/>
      <c r="E292" s="40"/>
      <c r="F292" s="40"/>
      <c r="G292" s="40"/>
      <c r="H292" s="40"/>
      <c r="I292" s="40"/>
      <c r="J292" s="40">
        <f t="shared" si="5"/>
        <v>0</v>
      </c>
      <c r="K292" s="40"/>
      <c r="L292" s="44"/>
    </row>
    <row r="293" ht="14.25" customHeight="1">
      <c r="B293" s="38"/>
      <c r="C293" s="39"/>
      <c r="D293" s="40"/>
      <c r="E293" s="40"/>
      <c r="F293" s="40"/>
      <c r="G293" s="40"/>
      <c r="H293" s="40"/>
      <c r="I293" s="40"/>
      <c r="J293" s="40">
        <f t="shared" si="5"/>
        <v>0</v>
      </c>
      <c r="K293" s="40"/>
      <c r="L293" s="44"/>
    </row>
    <row r="294" ht="14.25" customHeight="1">
      <c r="B294" s="38"/>
      <c r="C294" s="39"/>
      <c r="D294" s="40"/>
      <c r="E294" s="40"/>
      <c r="F294" s="40"/>
      <c r="G294" s="40"/>
      <c r="H294" s="40"/>
      <c r="I294" s="40"/>
      <c r="J294" s="40">
        <f t="shared" si="5"/>
        <v>0</v>
      </c>
      <c r="K294" s="40"/>
      <c r="L294" s="44"/>
    </row>
    <row r="295" ht="14.25" customHeight="1">
      <c r="B295" s="38"/>
      <c r="C295" s="39"/>
      <c r="D295" s="40"/>
      <c r="E295" s="40"/>
      <c r="F295" s="40"/>
      <c r="G295" s="40"/>
      <c r="H295" s="40"/>
      <c r="I295" s="40"/>
      <c r="J295" s="40">
        <f t="shared" si="5"/>
        <v>0</v>
      </c>
      <c r="K295" s="40"/>
      <c r="L295" s="44"/>
    </row>
    <row r="296" ht="14.25" customHeight="1">
      <c r="B296" s="38"/>
      <c r="C296" s="39"/>
      <c r="D296" s="40"/>
      <c r="E296" s="40"/>
      <c r="F296" s="40"/>
      <c r="G296" s="40"/>
      <c r="H296" s="40"/>
      <c r="I296" s="40"/>
      <c r="J296" s="40">
        <f t="shared" si="5"/>
        <v>0</v>
      </c>
      <c r="K296" s="40"/>
      <c r="L296" s="44"/>
    </row>
    <row r="297" ht="14.25" customHeight="1">
      <c r="B297" s="38"/>
      <c r="C297" s="39"/>
      <c r="D297" s="40"/>
      <c r="E297" s="40"/>
      <c r="F297" s="40"/>
      <c r="G297" s="40"/>
      <c r="H297" s="40"/>
      <c r="I297" s="40"/>
      <c r="J297" s="40">
        <f t="shared" si="5"/>
        <v>0</v>
      </c>
      <c r="K297" s="40"/>
      <c r="L297" s="44"/>
    </row>
    <row r="298" ht="14.25" customHeight="1">
      <c r="B298" s="38"/>
      <c r="C298" s="39"/>
      <c r="D298" s="40"/>
      <c r="E298" s="40"/>
      <c r="F298" s="40"/>
      <c r="G298" s="40"/>
      <c r="H298" s="40"/>
      <c r="I298" s="40"/>
      <c r="J298" s="40">
        <f t="shared" si="5"/>
        <v>0</v>
      </c>
      <c r="K298" s="40"/>
      <c r="L298" s="44"/>
    </row>
    <row r="299" ht="14.25" customHeight="1">
      <c r="B299" s="38"/>
      <c r="C299" s="39"/>
      <c r="D299" s="40"/>
      <c r="E299" s="40"/>
      <c r="F299" s="40"/>
      <c r="G299" s="40"/>
      <c r="H299" s="40"/>
      <c r="I299" s="40"/>
      <c r="J299" s="40">
        <f t="shared" si="5"/>
        <v>0</v>
      </c>
      <c r="K299" s="40"/>
      <c r="L299" s="44"/>
    </row>
    <row r="300" ht="14.25" customHeight="1">
      <c r="B300" s="38"/>
      <c r="C300" s="39"/>
      <c r="D300" s="40"/>
      <c r="E300" s="40"/>
      <c r="F300" s="40"/>
      <c r="G300" s="40"/>
      <c r="H300" s="40"/>
      <c r="I300" s="40"/>
      <c r="J300" s="40">
        <f t="shared" si="5"/>
        <v>0</v>
      </c>
      <c r="K300" s="40"/>
      <c r="L300" s="44"/>
    </row>
    <row r="301" ht="14.25" customHeight="1">
      <c r="B301" s="38"/>
      <c r="C301" s="39"/>
      <c r="D301" s="40"/>
      <c r="E301" s="40"/>
      <c r="F301" s="40"/>
      <c r="G301" s="40"/>
      <c r="H301" s="40"/>
      <c r="I301" s="40"/>
      <c r="J301" s="40">
        <f t="shared" si="5"/>
        <v>0</v>
      </c>
      <c r="K301" s="40"/>
      <c r="L301" s="44"/>
    </row>
    <row r="302" ht="14.25" customHeight="1">
      <c r="B302" s="38"/>
      <c r="C302" s="39"/>
      <c r="D302" s="40"/>
      <c r="E302" s="40"/>
      <c r="F302" s="40"/>
      <c r="G302" s="40"/>
      <c r="H302" s="40"/>
      <c r="I302" s="40"/>
      <c r="J302" s="40">
        <f t="shared" si="5"/>
        <v>0</v>
      </c>
      <c r="K302" s="40"/>
      <c r="L302" s="44"/>
    </row>
    <row r="303" ht="14.25" customHeight="1">
      <c r="B303" s="38"/>
      <c r="C303" s="39"/>
      <c r="D303" s="40"/>
      <c r="E303" s="40"/>
      <c r="F303" s="40"/>
      <c r="G303" s="40"/>
      <c r="H303" s="40"/>
      <c r="I303" s="40"/>
      <c r="J303" s="40">
        <f t="shared" si="5"/>
        <v>0</v>
      </c>
      <c r="K303" s="40"/>
      <c r="L303" s="44"/>
    </row>
    <row r="304" ht="14.25" customHeight="1">
      <c r="B304" s="38"/>
      <c r="C304" s="39"/>
      <c r="D304" s="40"/>
      <c r="E304" s="40"/>
      <c r="F304" s="40"/>
      <c r="G304" s="40"/>
      <c r="H304" s="40"/>
      <c r="I304" s="40"/>
      <c r="J304" s="40">
        <f t="shared" si="5"/>
        <v>0</v>
      </c>
      <c r="K304" s="40"/>
      <c r="L304" s="44"/>
    </row>
    <row r="305" ht="14.25" customHeight="1">
      <c r="B305" s="38"/>
      <c r="C305" s="39"/>
      <c r="D305" s="40"/>
      <c r="E305" s="40"/>
      <c r="F305" s="40"/>
      <c r="G305" s="40"/>
      <c r="H305" s="40"/>
      <c r="I305" s="40"/>
      <c r="J305" s="40">
        <f t="shared" si="5"/>
        <v>0</v>
      </c>
      <c r="K305" s="40"/>
      <c r="L305" s="44"/>
    </row>
    <row r="306" ht="14.25" customHeight="1">
      <c r="B306" s="38"/>
      <c r="C306" s="39"/>
      <c r="D306" s="40"/>
      <c r="E306" s="40"/>
      <c r="F306" s="40"/>
      <c r="G306" s="40"/>
      <c r="H306" s="40"/>
      <c r="I306" s="40"/>
      <c r="J306" s="40">
        <f t="shared" si="5"/>
        <v>0</v>
      </c>
      <c r="K306" s="40"/>
      <c r="L306" s="44"/>
    </row>
    <row r="307" ht="14.25" customHeight="1">
      <c r="B307" s="38"/>
      <c r="C307" s="39"/>
      <c r="D307" s="40"/>
      <c r="E307" s="40"/>
      <c r="F307" s="40"/>
      <c r="G307" s="40"/>
      <c r="H307" s="40"/>
      <c r="I307" s="40"/>
      <c r="J307" s="40">
        <f t="shared" si="5"/>
        <v>0</v>
      </c>
      <c r="K307" s="40"/>
      <c r="L307" s="44"/>
    </row>
    <row r="308" ht="14.25" customHeight="1">
      <c r="B308" s="38"/>
      <c r="C308" s="39"/>
      <c r="D308" s="40"/>
      <c r="E308" s="40"/>
      <c r="F308" s="40"/>
      <c r="G308" s="40"/>
      <c r="H308" s="40"/>
      <c r="I308" s="40"/>
      <c r="J308" s="40">
        <f t="shared" si="5"/>
        <v>0</v>
      </c>
      <c r="K308" s="40"/>
      <c r="L308" s="44"/>
    </row>
    <row r="309" ht="14.25" customHeight="1">
      <c r="B309" s="38"/>
      <c r="C309" s="39"/>
      <c r="D309" s="40"/>
      <c r="E309" s="40"/>
      <c r="F309" s="40"/>
      <c r="G309" s="40"/>
      <c r="H309" s="40"/>
      <c r="I309" s="40"/>
      <c r="J309" s="40">
        <f t="shared" si="5"/>
        <v>0</v>
      </c>
      <c r="K309" s="40"/>
      <c r="L309" s="44"/>
    </row>
    <row r="310" ht="14.25" customHeight="1">
      <c r="B310" s="38"/>
      <c r="C310" s="39"/>
      <c r="D310" s="40"/>
      <c r="E310" s="40"/>
      <c r="F310" s="40"/>
      <c r="G310" s="40"/>
      <c r="H310" s="40"/>
      <c r="I310" s="40"/>
      <c r="J310" s="40">
        <f t="shared" si="5"/>
        <v>0</v>
      </c>
      <c r="K310" s="40"/>
      <c r="L310" s="44"/>
    </row>
    <row r="311" ht="14.25" customHeight="1">
      <c r="B311" s="38"/>
      <c r="C311" s="39"/>
      <c r="D311" s="40"/>
      <c r="E311" s="40"/>
      <c r="F311" s="40"/>
      <c r="G311" s="40"/>
      <c r="H311" s="40"/>
      <c r="I311" s="40"/>
      <c r="J311" s="40">
        <f t="shared" si="5"/>
        <v>0</v>
      </c>
      <c r="K311" s="40"/>
      <c r="L311" s="44"/>
    </row>
    <row r="312" ht="14.25" customHeight="1">
      <c r="B312" s="43"/>
      <c r="C312" s="43"/>
      <c r="D312" s="44"/>
      <c r="E312" s="44"/>
      <c r="F312" s="44"/>
      <c r="G312" s="44"/>
      <c r="H312" s="44"/>
      <c r="I312" s="44"/>
      <c r="J312" s="44"/>
      <c r="K312" s="44"/>
      <c r="L312" s="44"/>
    </row>
    <row r="313" ht="14.25" customHeight="1">
      <c r="B313" s="43"/>
      <c r="C313" s="43"/>
      <c r="D313" s="44"/>
      <c r="E313" s="44"/>
      <c r="F313" s="44"/>
      <c r="G313" s="44"/>
      <c r="H313" s="44"/>
      <c r="I313" s="44"/>
      <c r="J313" s="44"/>
      <c r="K313" s="44"/>
      <c r="L313" s="44"/>
    </row>
    <row r="314" ht="14.25" customHeight="1">
      <c r="B314" s="43"/>
      <c r="C314" s="43"/>
      <c r="D314" s="44"/>
      <c r="E314" s="44"/>
      <c r="F314" s="44"/>
      <c r="G314" s="44"/>
      <c r="H314" s="44"/>
      <c r="I314" s="44"/>
      <c r="J314" s="44"/>
      <c r="K314" s="44"/>
      <c r="L314" s="44"/>
    </row>
    <row r="315" ht="14.25" customHeight="1">
      <c r="B315" s="43"/>
      <c r="C315" s="43"/>
      <c r="D315" s="44"/>
      <c r="E315" s="44"/>
      <c r="F315" s="44"/>
      <c r="G315" s="44"/>
      <c r="H315" s="44"/>
      <c r="I315" s="44"/>
      <c r="J315" s="44"/>
      <c r="K315" s="44"/>
      <c r="L315" s="44"/>
    </row>
    <row r="316" ht="14.25" customHeight="1">
      <c r="B316" s="43"/>
      <c r="C316" s="43"/>
      <c r="D316" s="44"/>
      <c r="E316" s="44"/>
      <c r="F316" s="44"/>
      <c r="G316" s="44"/>
      <c r="H316" s="44"/>
      <c r="I316" s="44"/>
      <c r="J316" s="44"/>
      <c r="K316" s="44"/>
      <c r="L316" s="44"/>
    </row>
    <row r="317" ht="14.25" customHeight="1">
      <c r="B317" s="43"/>
      <c r="C317" s="43"/>
      <c r="D317" s="44"/>
      <c r="E317" s="44"/>
      <c r="F317" s="44"/>
      <c r="G317" s="44"/>
      <c r="H317" s="44"/>
      <c r="I317" s="44"/>
      <c r="J317" s="44"/>
      <c r="K317" s="44"/>
      <c r="L317" s="44"/>
    </row>
    <row r="318" ht="14.25" customHeight="1">
      <c r="B318" s="43"/>
      <c r="C318" s="43"/>
      <c r="D318" s="44"/>
      <c r="E318" s="44"/>
      <c r="F318" s="44"/>
      <c r="G318" s="44"/>
      <c r="H318" s="44"/>
      <c r="I318" s="44"/>
      <c r="J318" s="44"/>
      <c r="K318" s="44"/>
      <c r="L318" s="44"/>
    </row>
    <row r="319" ht="14.25" customHeight="1">
      <c r="B319" s="43"/>
      <c r="C319" s="43"/>
      <c r="D319" s="44"/>
      <c r="E319" s="44"/>
      <c r="F319" s="44"/>
      <c r="G319" s="44"/>
      <c r="H319" s="44"/>
      <c r="I319" s="44"/>
      <c r="J319" s="44"/>
      <c r="K319" s="44"/>
      <c r="L319" s="44"/>
    </row>
    <row r="320" ht="14.25" customHeight="1">
      <c r="B320" s="43"/>
      <c r="C320" s="43"/>
      <c r="D320" s="44"/>
      <c r="E320" s="44"/>
      <c r="F320" s="44"/>
      <c r="G320" s="44"/>
      <c r="H320" s="44"/>
      <c r="I320" s="44"/>
      <c r="J320" s="44"/>
      <c r="K320" s="44"/>
      <c r="L320" s="44"/>
    </row>
    <row r="321" ht="14.25" customHeight="1">
      <c r="B321" s="43"/>
      <c r="C321" s="43"/>
      <c r="D321" s="44"/>
      <c r="E321" s="44"/>
      <c r="F321" s="44"/>
      <c r="G321" s="44"/>
      <c r="H321" s="44"/>
      <c r="I321" s="44"/>
      <c r="J321" s="44"/>
      <c r="K321" s="44"/>
      <c r="L321" s="44"/>
    </row>
    <row r="322" ht="14.25" customHeight="1">
      <c r="B322" s="43"/>
      <c r="C322" s="43"/>
      <c r="D322" s="44"/>
      <c r="E322" s="44"/>
      <c r="F322" s="44"/>
      <c r="G322" s="44"/>
      <c r="H322" s="44"/>
      <c r="I322" s="44"/>
      <c r="J322" s="44"/>
      <c r="K322" s="44"/>
      <c r="L322" s="44"/>
    </row>
    <row r="323" ht="14.25" customHeight="1">
      <c r="B323" s="43"/>
      <c r="C323" s="43"/>
      <c r="D323" s="44"/>
      <c r="E323" s="44"/>
      <c r="F323" s="44"/>
      <c r="G323" s="44"/>
      <c r="H323" s="44"/>
      <c r="I323" s="44"/>
      <c r="J323" s="44"/>
      <c r="K323" s="44"/>
      <c r="L323" s="44"/>
    </row>
    <row r="324" ht="14.25" customHeight="1">
      <c r="B324" s="43"/>
      <c r="C324" s="43"/>
      <c r="D324" s="44"/>
      <c r="E324" s="44"/>
      <c r="F324" s="44"/>
      <c r="G324" s="44"/>
      <c r="H324" s="44"/>
      <c r="I324" s="44"/>
      <c r="J324" s="44"/>
      <c r="K324" s="44"/>
      <c r="L324" s="44"/>
    </row>
    <row r="325" ht="14.25" customHeight="1">
      <c r="B325" s="43"/>
      <c r="C325" s="43"/>
      <c r="D325" s="44"/>
      <c r="E325" s="44"/>
      <c r="F325" s="44"/>
      <c r="G325" s="44"/>
      <c r="H325" s="44"/>
      <c r="I325" s="44"/>
      <c r="J325" s="44"/>
      <c r="K325" s="44"/>
      <c r="L325" s="44"/>
    </row>
    <row r="326" ht="14.25" customHeight="1">
      <c r="B326" s="43"/>
      <c r="C326" s="43"/>
      <c r="D326" s="44"/>
      <c r="E326" s="44"/>
      <c r="F326" s="44"/>
      <c r="G326" s="44"/>
      <c r="H326" s="44"/>
      <c r="I326" s="44"/>
      <c r="J326" s="44"/>
      <c r="K326" s="44"/>
      <c r="L326" s="44"/>
    </row>
    <row r="327" ht="14.25" customHeight="1">
      <c r="B327" s="43"/>
      <c r="C327" s="43"/>
      <c r="D327" s="44"/>
      <c r="E327" s="44"/>
      <c r="F327" s="44"/>
      <c r="G327" s="44"/>
      <c r="H327" s="44"/>
      <c r="I327" s="44"/>
      <c r="J327" s="44"/>
      <c r="K327" s="44"/>
      <c r="L327" s="44"/>
    </row>
    <row r="328" ht="14.25" customHeight="1">
      <c r="B328" s="43"/>
      <c r="C328" s="43"/>
      <c r="D328" s="44"/>
      <c r="E328" s="44"/>
      <c r="F328" s="44"/>
      <c r="G328" s="44"/>
      <c r="H328" s="44"/>
      <c r="I328" s="44"/>
      <c r="J328" s="44"/>
      <c r="K328" s="44"/>
      <c r="L328" s="44"/>
    </row>
    <row r="329" ht="14.25" customHeight="1">
      <c r="B329" s="43"/>
      <c r="C329" s="43"/>
      <c r="D329" s="44"/>
      <c r="E329" s="44"/>
      <c r="F329" s="44"/>
      <c r="G329" s="44"/>
      <c r="H329" s="44"/>
      <c r="I329" s="44"/>
      <c r="J329" s="44"/>
      <c r="K329" s="44"/>
      <c r="L329" s="44"/>
    </row>
    <row r="330" ht="14.25" customHeight="1">
      <c r="B330" s="43"/>
      <c r="C330" s="43"/>
      <c r="D330" s="44"/>
      <c r="E330" s="44"/>
      <c r="F330" s="44"/>
      <c r="G330" s="44"/>
      <c r="H330" s="44"/>
      <c r="I330" s="44"/>
      <c r="J330" s="44"/>
      <c r="K330" s="44"/>
      <c r="L330" s="44"/>
    </row>
    <row r="331" ht="14.25" customHeight="1">
      <c r="B331" s="43"/>
      <c r="C331" s="43"/>
      <c r="D331" s="44"/>
      <c r="E331" s="44"/>
      <c r="F331" s="44"/>
      <c r="G331" s="44"/>
      <c r="H331" s="44"/>
      <c r="I331" s="44"/>
      <c r="J331" s="44"/>
      <c r="K331" s="44"/>
      <c r="L331" s="44"/>
    </row>
    <row r="332" ht="14.25" customHeight="1">
      <c r="B332" s="43"/>
      <c r="C332" s="43"/>
      <c r="D332" s="44"/>
      <c r="E332" s="44"/>
      <c r="F332" s="44"/>
      <c r="G332" s="44"/>
      <c r="H332" s="44"/>
      <c r="I332" s="44"/>
      <c r="J332" s="44"/>
      <c r="K332" s="44"/>
      <c r="L332" s="44"/>
    </row>
    <row r="333" ht="14.25" customHeight="1">
      <c r="B333" s="43"/>
      <c r="C333" s="43"/>
      <c r="D333" s="44"/>
      <c r="E333" s="44"/>
      <c r="F333" s="44"/>
      <c r="G333" s="44"/>
      <c r="H333" s="44"/>
      <c r="I333" s="44"/>
      <c r="J333" s="44"/>
      <c r="K333" s="44"/>
      <c r="L333" s="44"/>
    </row>
    <row r="334" ht="14.25" customHeight="1">
      <c r="B334" s="43"/>
      <c r="C334" s="43"/>
      <c r="D334" s="44"/>
      <c r="E334" s="44"/>
      <c r="F334" s="44"/>
      <c r="G334" s="44"/>
      <c r="H334" s="44"/>
      <c r="I334" s="44"/>
      <c r="J334" s="44"/>
      <c r="K334" s="44"/>
      <c r="L334" s="44"/>
    </row>
    <row r="335" ht="14.25" customHeight="1">
      <c r="B335" s="43"/>
      <c r="C335" s="43"/>
      <c r="D335" s="44"/>
      <c r="E335" s="44"/>
      <c r="F335" s="44"/>
      <c r="G335" s="44"/>
      <c r="H335" s="44"/>
      <c r="I335" s="44"/>
      <c r="J335" s="44"/>
      <c r="K335" s="44"/>
      <c r="L335" s="44"/>
    </row>
    <row r="336" ht="14.25" customHeight="1">
      <c r="B336" s="43"/>
      <c r="C336" s="43"/>
      <c r="D336" s="44"/>
      <c r="E336" s="44"/>
      <c r="F336" s="44"/>
      <c r="G336" s="44"/>
      <c r="H336" s="44"/>
      <c r="I336" s="44"/>
      <c r="J336" s="44"/>
      <c r="K336" s="44"/>
      <c r="L336" s="44"/>
    </row>
    <row r="337" ht="14.25" customHeight="1">
      <c r="B337" s="43"/>
      <c r="C337" s="43"/>
      <c r="D337" s="44"/>
      <c r="E337" s="44"/>
      <c r="F337" s="44"/>
      <c r="G337" s="44"/>
      <c r="H337" s="44"/>
      <c r="I337" s="44"/>
      <c r="J337" s="44"/>
      <c r="K337" s="44"/>
      <c r="L337" s="44"/>
    </row>
    <row r="338" ht="14.25" customHeight="1">
      <c r="B338" s="43"/>
      <c r="C338" s="43"/>
      <c r="D338" s="44"/>
      <c r="E338" s="44"/>
      <c r="F338" s="44"/>
      <c r="G338" s="44"/>
      <c r="H338" s="44"/>
      <c r="I338" s="44"/>
      <c r="J338" s="44"/>
      <c r="K338" s="44"/>
      <c r="L338" s="44"/>
    </row>
    <row r="339" ht="14.25" customHeight="1">
      <c r="B339" s="43"/>
      <c r="C339" s="43"/>
      <c r="D339" s="44"/>
      <c r="E339" s="44"/>
      <c r="F339" s="44"/>
      <c r="G339" s="44"/>
      <c r="H339" s="44"/>
      <c r="I339" s="44"/>
      <c r="J339" s="44"/>
      <c r="K339" s="44"/>
      <c r="L339" s="44"/>
    </row>
    <row r="340" ht="14.25" customHeight="1">
      <c r="B340" s="43"/>
      <c r="C340" s="43"/>
      <c r="D340" s="44"/>
      <c r="E340" s="44"/>
      <c r="F340" s="44"/>
      <c r="G340" s="44"/>
      <c r="H340" s="44"/>
      <c r="I340" s="44"/>
      <c r="J340" s="44"/>
      <c r="K340" s="44"/>
      <c r="L340" s="44"/>
    </row>
    <row r="341" ht="14.25" customHeight="1">
      <c r="B341" s="43"/>
      <c r="C341" s="43"/>
      <c r="D341" s="44"/>
      <c r="E341" s="44"/>
      <c r="F341" s="44"/>
      <c r="G341" s="44"/>
      <c r="H341" s="44"/>
      <c r="I341" s="44"/>
      <c r="J341" s="44"/>
      <c r="K341" s="44"/>
      <c r="L341" s="44"/>
    </row>
    <row r="342" ht="14.25" customHeight="1">
      <c r="B342" s="43"/>
      <c r="C342" s="43"/>
      <c r="D342" s="44"/>
      <c r="E342" s="44"/>
      <c r="F342" s="44"/>
      <c r="G342" s="44"/>
      <c r="H342" s="44"/>
      <c r="I342" s="44"/>
      <c r="J342" s="44"/>
      <c r="K342" s="44"/>
      <c r="L342" s="44"/>
    </row>
    <row r="343" ht="14.25" customHeight="1">
      <c r="B343" s="43"/>
      <c r="C343" s="43"/>
      <c r="D343" s="44"/>
      <c r="E343" s="44"/>
      <c r="F343" s="44"/>
      <c r="G343" s="44"/>
      <c r="H343" s="44"/>
      <c r="I343" s="44"/>
      <c r="J343" s="44"/>
      <c r="K343" s="44"/>
      <c r="L343" s="44"/>
    </row>
    <row r="344" ht="14.25" customHeight="1">
      <c r="B344" s="43"/>
      <c r="C344" s="43"/>
      <c r="D344" s="44"/>
      <c r="E344" s="44"/>
      <c r="F344" s="44"/>
      <c r="G344" s="44"/>
      <c r="H344" s="44"/>
      <c r="I344" s="44"/>
      <c r="J344" s="44"/>
      <c r="K344" s="44"/>
      <c r="L344" s="44"/>
    </row>
    <row r="345" ht="14.25" customHeight="1">
      <c r="B345" s="43"/>
      <c r="C345" s="43"/>
      <c r="D345" s="44"/>
      <c r="E345" s="44"/>
      <c r="F345" s="44"/>
      <c r="G345" s="44"/>
      <c r="H345" s="44"/>
      <c r="I345" s="44"/>
      <c r="J345" s="44"/>
      <c r="K345" s="44"/>
      <c r="L345" s="44"/>
    </row>
    <row r="346" ht="14.25" customHeight="1">
      <c r="B346" s="43"/>
      <c r="C346" s="43"/>
      <c r="D346" s="44"/>
      <c r="E346" s="44"/>
      <c r="F346" s="44"/>
      <c r="G346" s="44"/>
      <c r="H346" s="44"/>
      <c r="I346" s="44"/>
      <c r="J346" s="44"/>
      <c r="K346" s="44"/>
      <c r="L346" s="44"/>
    </row>
    <row r="347" ht="14.25" customHeight="1">
      <c r="B347" s="43"/>
      <c r="C347" s="43"/>
      <c r="D347" s="44"/>
      <c r="E347" s="44"/>
      <c r="F347" s="44"/>
      <c r="G347" s="44"/>
      <c r="H347" s="44"/>
      <c r="I347" s="44"/>
      <c r="J347" s="44"/>
      <c r="K347" s="44"/>
      <c r="L347" s="44"/>
    </row>
    <row r="348" ht="14.25" customHeight="1">
      <c r="B348" s="43"/>
      <c r="C348" s="43"/>
      <c r="D348" s="44"/>
      <c r="E348" s="44"/>
      <c r="F348" s="44"/>
      <c r="G348" s="44"/>
      <c r="H348" s="44"/>
      <c r="I348" s="44"/>
      <c r="J348" s="44"/>
      <c r="K348" s="44"/>
      <c r="L348" s="44"/>
    </row>
    <row r="349" ht="14.25" customHeight="1">
      <c r="B349" s="43"/>
      <c r="C349" s="43"/>
      <c r="D349" s="44"/>
      <c r="E349" s="44"/>
      <c r="F349" s="44"/>
      <c r="G349" s="44"/>
      <c r="H349" s="44"/>
      <c r="I349" s="44"/>
      <c r="J349" s="44"/>
      <c r="K349" s="44"/>
      <c r="L349" s="44"/>
    </row>
    <row r="350" ht="14.25" customHeight="1">
      <c r="B350" s="43"/>
      <c r="C350" s="43"/>
      <c r="D350" s="44"/>
      <c r="E350" s="44"/>
      <c r="F350" s="44"/>
      <c r="G350" s="44"/>
      <c r="H350" s="44"/>
      <c r="I350" s="44"/>
      <c r="J350" s="44"/>
      <c r="K350" s="44"/>
      <c r="L350" s="44"/>
    </row>
    <row r="351" ht="14.25" customHeight="1">
      <c r="B351" s="43"/>
      <c r="C351" s="43"/>
      <c r="D351" s="44"/>
      <c r="E351" s="44"/>
      <c r="F351" s="44"/>
      <c r="G351" s="44"/>
      <c r="H351" s="44"/>
      <c r="I351" s="44"/>
      <c r="J351" s="44"/>
      <c r="K351" s="44"/>
      <c r="L351" s="44"/>
    </row>
    <row r="352" ht="14.25" customHeight="1">
      <c r="B352" s="43"/>
      <c r="C352" s="43"/>
      <c r="D352" s="44"/>
      <c r="E352" s="44"/>
      <c r="F352" s="44"/>
      <c r="G352" s="44"/>
      <c r="H352" s="44"/>
      <c r="I352" s="44"/>
      <c r="J352" s="44"/>
      <c r="K352" s="44"/>
      <c r="L352" s="44"/>
    </row>
    <row r="353" ht="14.25" customHeight="1">
      <c r="B353" s="43"/>
      <c r="C353" s="43"/>
      <c r="D353" s="44"/>
      <c r="E353" s="44"/>
      <c r="F353" s="44"/>
      <c r="G353" s="44"/>
      <c r="H353" s="44"/>
      <c r="I353" s="44"/>
      <c r="J353" s="44"/>
      <c r="K353" s="44"/>
      <c r="L353" s="44"/>
    </row>
    <row r="354" ht="14.25" customHeight="1">
      <c r="B354" s="43"/>
      <c r="C354" s="43"/>
      <c r="D354" s="44"/>
      <c r="E354" s="44"/>
      <c r="F354" s="44"/>
      <c r="G354" s="44"/>
      <c r="H354" s="44"/>
      <c r="I354" s="44"/>
      <c r="J354" s="44"/>
      <c r="K354" s="44"/>
      <c r="L354" s="44"/>
    </row>
    <row r="355" ht="14.25" customHeight="1">
      <c r="B355" s="43"/>
      <c r="C355" s="43"/>
      <c r="D355" s="44"/>
      <c r="E355" s="44"/>
      <c r="F355" s="44"/>
      <c r="G355" s="44"/>
      <c r="H355" s="44"/>
      <c r="I355" s="44"/>
      <c r="J355" s="44"/>
      <c r="K355" s="44"/>
      <c r="L355" s="44"/>
    </row>
    <row r="356" ht="14.25" customHeight="1">
      <c r="B356" s="43"/>
      <c r="C356" s="43"/>
      <c r="D356" s="44"/>
      <c r="E356" s="44"/>
      <c r="F356" s="44"/>
      <c r="G356" s="44"/>
      <c r="H356" s="44"/>
      <c r="I356" s="44"/>
      <c r="J356" s="44"/>
      <c r="K356" s="44"/>
      <c r="L356" s="44"/>
    </row>
    <row r="357" ht="14.25" customHeight="1">
      <c r="B357" s="43"/>
      <c r="C357" s="43"/>
      <c r="D357" s="44"/>
      <c r="E357" s="44"/>
      <c r="F357" s="44"/>
      <c r="G357" s="44"/>
      <c r="H357" s="44"/>
      <c r="I357" s="44"/>
      <c r="J357" s="44"/>
      <c r="K357" s="44"/>
      <c r="L357" s="44"/>
    </row>
    <row r="358" ht="14.25" customHeight="1">
      <c r="B358" s="43"/>
      <c r="C358" s="43"/>
      <c r="D358" s="44"/>
      <c r="E358" s="44"/>
      <c r="F358" s="44"/>
      <c r="G358" s="44"/>
      <c r="H358" s="44"/>
      <c r="I358" s="44"/>
      <c r="J358" s="44"/>
      <c r="K358" s="44"/>
      <c r="L358" s="44"/>
    </row>
    <row r="359" ht="14.25" customHeight="1">
      <c r="B359" s="43"/>
      <c r="C359" s="43"/>
      <c r="D359" s="44"/>
      <c r="E359" s="44"/>
      <c r="F359" s="44"/>
      <c r="G359" s="44"/>
      <c r="H359" s="44"/>
      <c r="I359" s="44"/>
      <c r="J359" s="44"/>
      <c r="K359" s="44"/>
      <c r="L359" s="44"/>
    </row>
    <row r="360" ht="14.25" customHeight="1">
      <c r="B360" s="43"/>
      <c r="C360" s="43"/>
      <c r="D360" s="44"/>
      <c r="E360" s="44"/>
      <c r="F360" s="44"/>
      <c r="G360" s="44"/>
      <c r="H360" s="44"/>
      <c r="I360" s="44"/>
      <c r="J360" s="44"/>
      <c r="K360" s="44"/>
      <c r="L360" s="44"/>
    </row>
    <row r="361" ht="14.25" customHeight="1">
      <c r="B361" s="43"/>
      <c r="C361" s="43"/>
      <c r="D361" s="44"/>
      <c r="E361" s="44"/>
      <c r="F361" s="44"/>
      <c r="G361" s="44"/>
      <c r="H361" s="44"/>
      <c r="I361" s="44"/>
      <c r="J361" s="44"/>
      <c r="K361" s="44"/>
      <c r="L361" s="44"/>
    </row>
    <row r="362" ht="14.25" customHeight="1">
      <c r="B362" s="43"/>
      <c r="C362" s="43"/>
      <c r="D362" s="44"/>
      <c r="E362" s="44"/>
      <c r="F362" s="44"/>
      <c r="G362" s="44"/>
      <c r="H362" s="44"/>
      <c r="I362" s="44"/>
      <c r="J362" s="44"/>
      <c r="K362" s="44"/>
      <c r="L362" s="44"/>
    </row>
    <row r="363" ht="14.25" customHeight="1">
      <c r="B363" s="43"/>
      <c r="C363" s="43"/>
      <c r="D363" s="44"/>
      <c r="E363" s="44"/>
      <c r="F363" s="44"/>
      <c r="G363" s="44"/>
      <c r="H363" s="44"/>
      <c r="I363" s="44"/>
      <c r="J363" s="44"/>
      <c r="K363" s="44"/>
      <c r="L363" s="44"/>
    </row>
    <row r="364" ht="14.25" customHeight="1">
      <c r="B364" s="43"/>
      <c r="C364" s="43"/>
      <c r="D364" s="44"/>
      <c r="E364" s="44"/>
      <c r="F364" s="44"/>
      <c r="G364" s="44"/>
      <c r="H364" s="44"/>
      <c r="I364" s="44"/>
      <c r="J364" s="44"/>
      <c r="K364" s="44"/>
      <c r="L364" s="44"/>
    </row>
    <row r="365" ht="14.25" customHeight="1">
      <c r="B365" s="43"/>
      <c r="C365" s="43"/>
      <c r="D365" s="44"/>
      <c r="E365" s="44"/>
      <c r="F365" s="44"/>
      <c r="G365" s="44"/>
      <c r="H365" s="44"/>
      <c r="I365" s="44"/>
      <c r="J365" s="44"/>
      <c r="K365" s="44"/>
      <c r="L365" s="44"/>
    </row>
    <row r="366" ht="14.25" customHeight="1">
      <c r="B366" s="43"/>
      <c r="C366" s="43"/>
      <c r="D366" s="44"/>
      <c r="E366" s="44"/>
      <c r="F366" s="44"/>
      <c r="G366" s="44"/>
      <c r="H366" s="44"/>
      <c r="I366" s="44"/>
      <c r="J366" s="44"/>
      <c r="K366" s="44"/>
      <c r="L366" s="44"/>
    </row>
    <row r="367" ht="14.25" customHeight="1">
      <c r="B367" s="43"/>
      <c r="C367" s="43"/>
      <c r="D367" s="44"/>
      <c r="E367" s="44"/>
      <c r="F367" s="44"/>
      <c r="G367" s="44"/>
      <c r="H367" s="44"/>
      <c r="I367" s="44"/>
      <c r="J367" s="44"/>
      <c r="K367" s="44"/>
      <c r="L367" s="44"/>
    </row>
    <row r="368" ht="14.25" customHeight="1">
      <c r="B368" s="43"/>
      <c r="C368" s="43"/>
      <c r="D368" s="44"/>
      <c r="E368" s="44"/>
      <c r="F368" s="44"/>
      <c r="G368" s="44"/>
      <c r="H368" s="44"/>
      <c r="I368" s="44"/>
      <c r="J368" s="44"/>
      <c r="K368" s="44"/>
      <c r="L368" s="44"/>
    </row>
    <row r="369" ht="14.25" customHeight="1">
      <c r="B369" s="43"/>
      <c r="C369" s="43"/>
      <c r="D369" s="44"/>
      <c r="E369" s="44"/>
      <c r="F369" s="44"/>
      <c r="G369" s="44"/>
      <c r="H369" s="44"/>
      <c r="I369" s="44"/>
      <c r="J369" s="44"/>
      <c r="K369" s="44"/>
      <c r="L369" s="44"/>
    </row>
    <row r="370" ht="14.25" customHeight="1">
      <c r="B370" s="43"/>
      <c r="C370" s="43"/>
      <c r="D370" s="44"/>
      <c r="E370" s="44"/>
      <c r="F370" s="44"/>
      <c r="G370" s="44"/>
      <c r="H370" s="44"/>
      <c r="I370" s="44"/>
      <c r="J370" s="44"/>
      <c r="K370" s="44"/>
      <c r="L370" s="44"/>
    </row>
    <row r="371" ht="14.25" customHeight="1">
      <c r="B371" s="43"/>
      <c r="C371" s="43"/>
      <c r="D371" s="44"/>
      <c r="E371" s="44"/>
      <c r="F371" s="44"/>
      <c r="G371" s="44"/>
      <c r="H371" s="44"/>
      <c r="I371" s="44"/>
      <c r="J371" s="44"/>
      <c r="K371" s="44"/>
      <c r="L371" s="44"/>
    </row>
    <row r="372" ht="14.25" customHeight="1">
      <c r="B372" s="43"/>
      <c r="C372" s="43"/>
      <c r="D372" s="44"/>
      <c r="E372" s="44"/>
      <c r="F372" s="44"/>
      <c r="G372" s="44"/>
      <c r="H372" s="44"/>
      <c r="I372" s="44"/>
      <c r="J372" s="44"/>
      <c r="K372" s="44"/>
      <c r="L372" s="44"/>
    </row>
    <row r="373" ht="14.25" customHeight="1">
      <c r="B373" s="43"/>
      <c r="C373" s="43"/>
      <c r="D373" s="44"/>
      <c r="E373" s="44"/>
      <c r="F373" s="44"/>
      <c r="G373" s="44"/>
      <c r="H373" s="44"/>
      <c r="I373" s="44"/>
      <c r="J373" s="44"/>
      <c r="K373" s="44"/>
      <c r="L373" s="44"/>
    </row>
    <row r="374" ht="14.25" customHeight="1">
      <c r="B374" s="43"/>
      <c r="C374" s="43"/>
      <c r="D374" s="44"/>
      <c r="E374" s="44"/>
      <c r="F374" s="44"/>
      <c r="G374" s="44"/>
      <c r="H374" s="44"/>
      <c r="I374" s="44"/>
      <c r="J374" s="44"/>
      <c r="K374" s="44"/>
      <c r="L374" s="44"/>
    </row>
    <row r="375" ht="14.25" customHeight="1">
      <c r="B375" s="43"/>
      <c r="C375" s="43"/>
      <c r="D375" s="44"/>
      <c r="E375" s="44"/>
      <c r="F375" s="44"/>
      <c r="G375" s="44"/>
      <c r="H375" s="44"/>
      <c r="I375" s="44"/>
      <c r="J375" s="44"/>
      <c r="K375" s="44"/>
      <c r="L375" s="44"/>
    </row>
    <row r="376" ht="14.25" customHeight="1">
      <c r="B376" s="43"/>
      <c r="C376" s="43"/>
      <c r="D376" s="44"/>
      <c r="E376" s="44"/>
      <c r="F376" s="44"/>
      <c r="G376" s="44"/>
      <c r="H376" s="44"/>
      <c r="I376" s="44"/>
      <c r="J376" s="44"/>
      <c r="K376" s="44"/>
      <c r="L376" s="44"/>
    </row>
    <row r="377" ht="14.25" customHeight="1">
      <c r="B377" s="43"/>
      <c r="C377" s="43"/>
      <c r="D377" s="44"/>
      <c r="E377" s="44"/>
      <c r="F377" s="44"/>
      <c r="G377" s="44"/>
      <c r="H377" s="44"/>
      <c r="I377" s="44"/>
      <c r="J377" s="44"/>
      <c r="K377" s="44"/>
      <c r="L377" s="44"/>
    </row>
    <row r="378" ht="14.25" customHeight="1">
      <c r="B378" s="43"/>
      <c r="C378" s="43"/>
      <c r="D378" s="44"/>
      <c r="E378" s="44"/>
      <c r="F378" s="44"/>
      <c r="G378" s="44"/>
      <c r="H378" s="44"/>
      <c r="I378" s="44"/>
      <c r="J378" s="44"/>
      <c r="K378" s="44"/>
      <c r="L378" s="44"/>
    </row>
    <row r="379" ht="14.25" customHeight="1">
      <c r="B379" s="43"/>
      <c r="C379" s="43"/>
      <c r="D379" s="44"/>
      <c r="E379" s="44"/>
      <c r="F379" s="44"/>
      <c r="G379" s="44"/>
      <c r="H379" s="44"/>
      <c r="I379" s="44"/>
      <c r="J379" s="44"/>
      <c r="K379" s="44"/>
      <c r="L379" s="44"/>
    </row>
    <row r="380" ht="14.25" customHeight="1">
      <c r="B380" s="43"/>
      <c r="C380" s="43"/>
      <c r="D380" s="44"/>
      <c r="E380" s="44"/>
      <c r="F380" s="44"/>
      <c r="G380" s="44"/>
      <c r="H380" s="44"/>
      <c r="I380" s="44"/>
      <c r="J380" s="44"/>
      <c r="K380" s="44"/>
      <c r="L380" s="44"/>
    </row>
    <row r="381" ht="14.25" customHeight="1">
      <c r="B381" s="43"/>
      <c r="C381" s="43"/>
      <c r="D381" s="44"/>
      <c r="E381" s="44"/>
      <c r="F381" s="44"/>
      <c r="G381" s="44"/>
      <c r="H381" s="44"/>
      <c r="I381" s="44"/>
      <c r="J381" s="44"/>
      <c r="K381" s="44"/>
      <c r="L381" s="44"/>
    </row>
    <row r="382" ht="14.25" customHeight="1">
      <c r="B382" s="43"/>
      <c r="C382" s="43"/>
      <c r="D382" s="44"/>
      <c r="E382" s="44"/>
      <c r="F382" s="44"/>
      <c r="G382" s="44"/>
      <c r="H382" s="44"/>
      <c r="I382" s="44"/>
      <c r="J382" s="44"/>
      <c r="K382" s="44"/>
      <c r="L382" s="44"/>
    </row>
    <row r="383" ht="14.25" customHeight="1">
      <c r="B383" s="43"/>
      <c r="C383" s="43"/>
      <c r="D383" s="44"/>
      <c r="E383" s="44"/>
      <c r="F383" s="44"/>
      <c r="G383" s="44"/>
      <c r="H383" s="44"/>
      <c r="I383" s="44"/>
      <c r="J383" s="44"/>
      <c r="K383" s="44"/>
      <c r="L383" s="44"/>
    </row>
    <row r="384" ht="14.25" customHeight="1">
      <c r="B384" s="43"/>
      <c r="C384" s="43"/>
      <c r="D384" s="44"/>
      <c r="E384" s="44"/>
      <c r="F384" s="44"/>
      <c r="G384" s="44"/>
      <c r="H384" s="44"/>
      <c r="I384" s="44"/>
      <c r="J384" s="44"/>
      <c r="K384" s="44"/>
      <c r="L384" s="44"/>
    </row>
    <row r="385" ht="14.25" customHeight="1">
      <c r="B385" s="43"/>
      <c r="C385" s="43"/>
      <c r="D385" s="44"/>
      <c r="E385" s="44"/>
      <c r="F385" s="44"/>
      <c r="G385" s="44"/>
      <c r="H385" s="44"/>
      <c r="I385" s="44"/>
      <c r="J385" s="44"/>
      <c r="K385" s="44"/>
      <c r="L385" s="44"/>
    </row>
    <row r="386" ht="14.25" customHeight="1">
      <c r="B386" s="43"/>
      <c r="C386" s="43"/>
      <c r="D386" s="44"/>
      <c r="E386" s="44"/>
      <c r="F386" s="44"/>
      <c r="G386" s="44"/>
      <c r="H386" s="44"/>
      <c r="I386" s="44"/>
      <c r="J386" s="44"/>
      <c r="K386" s="44"/>
      <c r="L386" s="44"/>
    </row>
    <row r="387" ht="14.25" customHeight="1">
      <c r="B387" s="43"/>
      <c r="C387" s="43"/>
      <c r="D387" s="44"/>
      <c r="E387" s="44"/>
      <c r="F387" s="44"/>
      <c r="G387" s="44"/>
      <c r="H387" s="44"/>
      <c r="I387" s="44"/>
      <c r="J387" s="44"/>
      <c r="K387" s="44"/>
      <c r="L387" s="44"/>
    </row>
    <row r="388" ht="14.25" customHeight="1">
      <c r="B388" s="43"/>
      <c r="C388" s="43"/>
      <c r="D388" s="44"/>
      <c r="E388" s="44"/>
      <c r="F388" s="44"/>
      <c r="G388" s="44"/>
      <c r="H388" s="44"/>
      <c r="I388" s="44"/>
      <c r="J388" s="44"/>
      <c r="K388" s="44"/>
      <c r="L388" s="44"/>
    </row>
    <row r="389" ht="14.25" customHeight="1">
      <c r="B389" s="43"/>
      <c r="C389" s="43"/>
      <c r="D389" s="44"/>
      <c r="E389" s="44"/>
      <c r="F389" s="44"/>
      <c r="G389" s="44"/>
      <c r="H389" s="44"/>
      <c r="I389" s="44"/>
      <c r="J389" s="44"/>
      <c r="K389" s="44"/>
      <c r="L389" s="44"/>
    </row>
    <row r="390" ht="14.25" customHeight="1">
      <c r="B390" s="43"/>
      <c r="C390" s="43"/>
      <c r="D390" s="44"/>
      <c r="E390" s="44"/>
      <c r="F390" s="44"/>
      <c r="G390" s="44"/>
      <c r="H390" s="44"/>
      <c r="I390" s="44"/>
      <c r="J390" s="44"/>
      <c r="K390" s="44"/>
      <c r="L390" s="44"/>
    </row>
    <row r="391" ht="14.25" customHeight="1">
      <c r="B391" s="43"/>
      <c r="C391" s="43"/>
      <c r="D391" s="44"/>
      <c r="E391" s="44"/>
      <c r="F391" s="44"/>
      <c r="G391" s="44"/>
      <c r="H391" s="44"/>
      <c r="I391" s="44"/>
      <c r="J391" s="44"/>
      <c r="K391" s="44"/>
      <c r="L391" s="44"/>
    </row>
    <row r="392" ht="14.25" customHeight="1">
      <c r="B392" s="43"/>
      <c r="C392" s="43"/>
      <c r="D392" s="44"/>
      <c r="E392" s="44"/>
      <c r="F392" s="44"/>
      <c r="G392" s="44"/>
      <c r="H392" s="44"/>
      <c r="I392" s="44"/>
      <c r="J392" s="44"/>
      <c r="K392" s="44"/>
      <c r="L392" s="44"/>
    </row>
    <row r="393" ht="14.25" customHeight="1">
      <c r="B393" s="43"/>
      <c r="C393" s="43"/>
      <c r="D393" s="44"/>
      <c r="E393" s="44"/>
      <c r="F393" s="44"/>
      <c r="G393" s="44"/>
      <c r="H393" s="44"/>
      <c r="I393" s="44"/>
      <c r="J393" s="44"/>
      <c r="K393" s="44"/>
      <c r="L393" s="44"/>
    </row>
    <row r="394" ht="14.25" customHeight="1">
      <c r="B394" s="43"/>
      <c r="C394" s="43"/>
      <c r="D394" s="44"/>
      <c r="E394" s="44"/>
      <c r="F394" s="44"/>
      <c r="G394" s="44"/>
      <c r="H394" s="44"/>
      <c r="I394" s="44"/>
      <c r="J394" s="44"/>
      <c r="K394" s="44"/>
      <c r="L394" s="44"/>
    </row>
    <row r="395" ht="14.25" customHeight="1">
      <c r="B395" s="43"/>
      <c r="C395" s="43"/>
      <c r="D395" s="44"/>
      <c r="E395" s="44"/>
      <c r="F395" s="44"/>
      <c r="G395" s="44"/>
      <c r="H395" s="44"/>
      <c r="I395" s="44"/>
      <c r="J395" s="44"/>
      <c r="K395" s="44"/>
      <c r="L395" s="44"/>
    </row>
    <row r="396" ht="14.25" customHeight="1">
      <c r="B396" s="43"/>
      <c r="C396" s="43"/>
      <c r="D396" s="44"/>
      <c r="E396" s="44"/>
      <c r="F396" s="44"/>
      <c r="G396" s="44"/>
      <c r="H396" s="44"/>
      <c r="I396" s="44"/>
      <c r="J396" s="44"/>
      <c r="K396" s="44"/>
      <c r="L396" s="44"/>
    </row>
    <row r="397" ht="14.25" customHeight="1">
      <c r="B397" s="43"/>
      <c r="C397" s="43"/>
      <c r="D397" s="44"/>
      <c r="E397" s="44"/>
      <c r="F397" s="44"/>
      <c r="G397" s="44"/>
      <c r="H397" s="44"/>
      <c r="I397" s="44"/>
      <c r="J397" s="44"/>
      <c r="K397" s="44"/>
      <c r="L397" s="44"/>
    </row>
    <row r="398" ht="14.25" customHeight="1">
      <c r="B398" s="43"/>
      <c r="C398" s="43"/>
      <c r="D398" s="44"/>
      <c r="E398" s="44"/>
      <c r="F398" s="44"/>
      <c r="G398" s="44"/>
      <c r="H398" s="44"/>
      <c r="I398" s="44"/>
      <c r="J398" s="44"/>
      <c r="K398" s="44"/>
      <c r="L398" s="44"/>
    </row>
    <row r="399" ht="14.25" customHeight="1">
      <c r="B399" s="43"/>
      <c r="C399" s="43"/>
      <c r="D399" s="44"/>
      <c r="E399" s="44"/>
      <c r="F399" s="44"/>
      <c r="G399" s="44"/>
      <c r="H399" s="44"/>
      <c r="I399" s="44"/>
      <c r="J399" s="44"/>
      <c r="K399" s="44"/>
      <c r="L399" s="44"/>
    </row>
    <row r="400" ht="14.25" customHeight="1">
      <c r="B400" s="43"/>
      <c r="C400" s="43"/>
      <c r="D400" s="44"/>
      <c r="E400" s="44"/>
      <c r="F400" s="44"/>
      <c r="G400" s="44"/>
      <c r="H400" s="44"/>
      <c r="I400" s="44"/>
      <c r="J400" s="44"/>
      <c r="K400" s="44"/>
      <c r="L400" s="44"/>
    </row>
    <row r="401" ht="14.25" customHeight="1">
      <c r="B401" s="43"/>
      <c r="C401" s="43"/>
      <c r="D401" s="44"/>
      <c r="E401" s="44"/>
      <c r="F401" s="44"/>
      <c r="G401" s="44"/>
      <c r="H401" s="44"/>
      <c r="I401" s="44"/>
      <c r="J401" s="44"/>
      <c r="K401" s="44"/>
      <c r="L401" s="44"/>
    </row>
    <row r="402" ht="14.25" customHeight="1">
      <c r="B402" s="43"/>
      <c r="C402" s="43"/>
      <c r="D402" s="44"/>
      <c r="E402" s="44"/>
      <c r="F402" s="44"/>
      <c r="G402" s="44"/>
      <c r="H402" s="44"/>
      <c r="I402" s="44"/>
      <c r="J402" s="44"/>
      <c r="K402" s="44"/>
      <c r="L402" s="44"/>
    </row>
    <row r="403" ht="14.25" customHeight="1">
      <c r="B403" s="43"/>
      <c r="C403" s="43"/>
      <c r="D403" s="44"/>
      <c r="E403" s="44"/>
      <c r="F403" s="44"/>
      <c r="G403" s="44"/>
      <c r="H403" s="44"/>
      <c r="I403" s="44"/>
      <c r="J403" s="44"/>
      <c r="K403" s="44"/>
      <c r="L403" s="44"/>
    </row>
    <row r="404" ht="14.25" customHeight="1">
      <c r="B404" s="43"/>
      <c r="C404" s="43"/>
      <c r="D404" s="44"/>
      <c r="E404" s="44"/>
      <c r="F404" s="44"/>
      <c r="G404" s="44"/>
      <c r="H404" s="44"/>
      <c r="I404" s="44"/>
      <c r="J404" s="44"/>
      <c r="K404" s="44"/>
      <c r="L404" s="44"/>
    </row>
    <row r="405" ht="14.25" customHeight="1">
      <c r="B405" s="43"/>
      <c r="C405" s="43"/>
      <c r="D405" s="44"/>
      <c r="E405" s="44"/>
      <c r="F405" s="44"/>
      <c r="G405" s="44"/>
      <c r="H405" s="44"/>
      <c r="I405" s="44"/>
      <c r="J405" s="44"/>
      <c r="K405" s="44"/>
      <c r="L405" s="44"/>
    </row>
    <row r="406" ht="14.25" customHeight="1">
      <c r="B406" s="43"/>
      <c r="C406" s="43"/>
      <c r="D406" s="44"/>
      <c r="E406" s="44"/>
      <c r="F406" s="44"/>
      <c r="G406" s="44"/>
      <c r="H406" s="44"/>
      <c r="I406" s="44"/>
      <c r="J406" s="44"/>
      <c r="K406" s="44"/>
      <c r="L406" s="44"/>
    </row>
    <row r="407" ht="14.25" customHeight="1">
      <c r="B407" s="43"/>
      <c r="C407" s="43"/>
      <c r="D407" s="44"/>
      <c r="E407" s="44"/>
      <c r="F407" s="44"/>
      <c r="G407" s="44"/>
      <c r="H407" s="44"/>
      <c r="I407" s="44"/>
      <c r="J407" s="44"/>
      <c r="K407" s="44"/>
      <c r="L407" s="44"/>
    </row>
    <row r="408" ht="14.25" customHeight="1">
      <c r="B408" s="43"/>
      <c r="C408" s="43"/>
      <c r="D408" s="44"/>
      <c r="E408" s="44"/>
      <c r="F408" s="44"/>
      <c r="G408" s="44"/>
      <c r="H408" s="44"/>
      <c r="I408" s="44"/>
      <c r="J408" s="44"/>
      <c r="K408" s="44"/>
      <c r="L408" s="44"/>
    </row>
    <row r="409" ht="14.25" customHeight="1">
      <c r="B409" s="43"/>
      <c r="C409" s="43"/>
      <c r="D409" s="44"/>
      <c r="E409" s="44"/>
      <c r="F409" s="44"/>
      <c r="G409" s="44"/>
      <c r="H409" s="44"/>
      <c r="I409" s="44"/>
      <c r="J409" s="44"/>
      <c r="K409" s="44"/>
      <c r="L409" s="44"/>
    </row>
    <row r="410" ht="14.25" customHeight="1">
      <c r="B410" s="43"/>
      <c r="C410" s="43"/>
      <c r="D410" s="44"/>
      <c r="E410" s="44"/>
      <c r="F410" s="44"/>
      <c r="G410" s="44"/>
      <c r="H410" s="44"/>
      <c r="I410" s="44"/>
      <c r="J410" s="44"/>
      <c r="K410" s="44"/>
      <c r="L410" s="44"/>
    </row>
    <row r="411" ht="14.25" customHeight="1">
      <c r="B411" s="43"/>
      <c r="C411" s="43"/>
      <c r="D411" s="44"/>
      <c r="E411" s="44"/>
      <c r="F411" s="44"/>
      <c r="G411" s="44"/>
      <c r="H411" s="44"/>
      <c r="I411" s="44"/>
      <c r="J411" s="44"/>
      <c r="K411" s="44"/>
      <c r="L411" s="44"/>
    </row>
    <row r="412" ht="14.25" customHeight="1">
      <c r="B412" s="43"/>
      <c r="C412" s="43"/>
      <c r="D412" s="44"/>
      <c r="E412" s="44"/>
      <c r="F412" s="44"/>
      <c r="G412" s="44"/>
      <c r="H412" s="44"/>
      <c r="I412" s="44"/>
      <c r="J412" s="44"/>
      <c r="K412" s="44"/>
      <c r="L412" s="44"/>
    </row>
    <row r="413" ht="14.25" customHeight="1">
      <c r="B413" s="43"/>
      <c r="C413" s="43"/>
      <c r="D413" s="44"/>
      <c r="E413" s="44"/>
      <c r="F413" s="44"/>
      <c r="G413" s="44"/>
      <c r="H413" s="44"/>
      <c r="I413" s="44"/>
      <c r="J413" s="44"/>
      <c r="K413" s="44"/>
      <c r="L413" s="44"/>
    </row>
    <row r="414" ht="14.25" customHeight="1">
      <c r="B414" s="43"/>
      <c r="C414" s="43"/>
      <c r="D414" s="44"/>
      <c r="E414" s="44"/>
      <c r="F414" s="44"/>
      <c r="G414" s="44"/>
      <c r="H414" s="44"/>
      <c r="I414" s="44"/>
      <c r="J414" s="44"/>
      <c r="K414" s="44"/>
      <c r="L414" s="44"/>
    </row>
    <row r="415" ht="14.25" customHeight="1">
      <c r="B415" s="43"/>
      <c r="C415" s="43"/>
      <c r="D415" s="44"/>
      <c r="E415" s="44"/>
      <c r="F415" s="44"/>
      <c r="G415" s="44"/>
      <c r="H415" s="44"/>
      <c r="I415" s="44"/>
      <c r="J415" s="44"/>
      <c r="K415" s="44"/>
      <c r="L415" s="44"/>
    </row>
    <row r="416" ht="14.25" customHeight="1">
      <c r="B416" s="43"/>
      <c r="C416" s="43"/>
      <c r="D416" s="44"/>
      <c r="E416" s="44"/>
      <c r="F416" s="44"/>
      <c r="G416" s="44"/>
      <c r="H416" s="44"/>
      <c r="I416" s="44"/>
      <c r="J416" s="44"/>
      <c r="K416" s="44"/>
      <c r="L416" s="44"/>
    </row>
    <row r="417" ht="14.25" customHeight="1">
      <c r="B417" s="43"/>
      <c r="C417" s="43"/>
      <c r="D417" s="44"/>
      <c r="E417" s="44"/>
      <c r="F417" s="44"/>
      <c r="G417" s="44"/>
      <c r="H417" s="44"/>
      <c r="I417" s="44"/>
      <c r="J417" s="44"/>
      <c r="K417" s="44"/>
      <c r="L417" s="44"/>
    </row>
    <row r="418" ht="14.25" customHeight="1">
      <c r="B418" s="43"/>
      <c r="C418" s="43"/>
      <c r="D418" s="44"/>
      <c r="E418" s="44"/>
      <c r="F418" s="44"/>
      <c r="G418" s="44"/>
      <c r="H418" s="44"/>
      <c r="I418" s="44"/>
      <c r="J418" s="44"/>
      <c r="K418" s="44"/>
      <c r="L418" s="44"/>
    </row>
    <row r="419" ht="14.25" customHeight="1">
      <c r="B419" s="43"/>
      <c r="C419" s="43"/>
      <c r="D419" s="44"/>
      <c r="E419" s="44"/>
      <c r="F419" s="44"/>
      <c r="G419" s="44"/>
      <c r="H419" s="44"/>
      <c r="I419" s="44"/>
      <c r="J419" s="44"/>
      <c r="K419" s="44"/>
      <c r="L419" s="44"/>
    </row>
    <row r="420" ht="14.25" customHeight="1">
      <c r="B420" s="43"/>
      <c r="C420" s="43"/>
      <c r="D420" s="44"/>
      <c r="E420" s="44"/>
      <c r="F420" s="44"/>
      <c r="G420" s="44"/>
      <c r="H420" s="44"/>
      <c r="I420" s="44"/>
      <c r="J420" s="44"/>
      <c r="K420" s="44"/>
      <c r="L420" s="44"/>
    </row>
    <row r="421" ht="14.25" customHeight="1">
      <c r="B421" s="43"/>
      <c r="C421" s="43"/>
      <c r="D421" s="44"/>
      <c r="E421" s="44"/>
      <c r="F421" s="44"/>
      <c r="G421" s="44"/>
      <c r="H421" s="44"/>
      <c r="I421" s="44"/>
      <c r="J421" s="44"/>
      <c r="K421" s="44"/>
      <c r="L421" s="44"/>
    </row>
    <row r="422" ht="14.25" customHeight="1">
      <c r="B422" s="43"/>
      <c r="C422" s="43"/>
      <c r="D422" s="44"/>
      <c r="E422" s="44"/>
      <c r="F422" s="44"/>
      <c r="G422" s="44"/>
      <c r="H422" s="44"/>
      <c r="I422" s="44"/>
      <c r="J422" s="44"/>
      <c r="K422" s="44"/>
      <c r="L422" s="44"/>
    </row>
    <row r="423" ht="14.25" customHeight="1">
      <c r="B423" s="43"/>
      <c r="C423" s="43"/>
      <c r="D423" s="44"/>
      <c r="E423" s="44"/>
      <c r="F423" s="44"/>
      <c r="G423" s="44"/>
      <c r="H423" s="44"/>
      <c r="I423" s="44"/>
      <c r="J423" s="44"/>
      <c r="K423" s="44"/>
      <c r="L423" s="44"/>
    </row>
    <row r="424" ht="14.25" customHeight="1">
      <c r="B424" s="43"/>
      <c r="C424" s="43"/>
      <c r="D424" s="44"/>
      <c r="E424" s="44"/>
      <c r="F424" s="44"/>
      <c r="G424" s="44"/>
      <c r="H424" s="44"/>
      <c r="I424" s="44"/>
      <c r="J424" s="44"/>
      <c r="K424" s="44"/>
      <c r="L424" s="44"/>
    </row>
    <row r="425" ht="14.25" customHeight="1">
      <c r="B425" s="43"/>
      <c r="C425" s="43"/>
      <c r="D425" s="44"/>
      <c r="E425" s="44"/>
      <c r="F425" s="44"/>
      <c r="G425" s="44"/>
      <c r="H425" s="44"/>
      <c r="I425" s="44"/>
      <c r="J425" s="44"/>
      <c r="K425" s="44"/>
      <c r="L425" s="44"/>
    </row>
    <row r="426" ht="14.25" customHeight="1">
      <c r="B426" s="43"/>
      <c r="C426" s="43"/>
      <c r="D426" s="44"/>
      <c r="E426" s="44"/>
      <c r="F426" s="44"/>
      <c r="G426" s="44"/>
      <c r="H426" s="44"/>
      <c r="I426" s="44"/>
      <c r="J426" s="44"/>
      <c r="K426" s="44"/>
      <c r="L426" s="44"/>
    </row>
    <row r="427" ht="14.25" customHeight="1">
      <c r="B427" s="43"/>
      <c r="C427" s="43"/>
      <c r="D427" s="44"/>
      <c r="E427" s="44"/>
      <c r="F427" s="44"/>
      <c r="G427" s="44"/>
      <c r="H427" s="44"/>
      <c r="I427" s="44"/>
      <c r="J427" s="44"/>
      <c r="K427" s="44"/>
      <c r="L427" s="44"/>
    </row>
    <row r="428" ht="14.25" customHeight="1">
      <c r="B428" s="43"/>
      <c r="C428" s="43"/>
      <c r="D428" s="44"/>
      <c r="E428" s="44"/>
      <c r="F428" s="44"/>
      <c r="G428" s="44"/>
      <c r="H428" s="44"/>
      <c r="I428" s="44"/>
      <c r="J428" s="44"/>
      <c r="K428" s="44"/>
      <c r="L428" s="44"/>
    </row>
    <row r="429" ht="14.25" customHeight="1">
      <c r="B429" s="43"/>
      <c r="C429" s="43"/>
      <c r="D429" s="44"/>
      <c r="E429" s="44"/>
      <c r="F429" s="44"/>
      <c r="G429" s="44"/>
      <c r="H429" s="44"/>
      <c r="I429" s="44"/>
      <c r="J429" s="44"/>
      <c r="K429" s="44"/>
      <c r="L429" s="44"/>
    </row>
    <row r="430" ht="14.25" customHeight="1">
      <c r="B430" s="43"/>
      <c r="C430" s="43"/>
      <c r="D430" s="44"/>
      <c r="E430" s="44"/>
      <c r="F430" s="44"/>
      <c r="G430" s="44"/>
      <c r="H430" s="44"/>
      <c r="I430" s="44"/>
      <c r="J430" s="44"/>
      <c r="K430" s="44"/>
      <c r="L430" s="44"/>
    </row>
    <row r="431" ht="14.25" customHeight="1">
      <c r="B431" s="43"/>
      <c r="C431" s="43"/>
      <c r="D431" s="44"/>
      <c r="E431" s="44"/>
      <c r="F431" s="44"/>
      <c r="G431" s="44"/>
      <c r="H431" s="44"/>
      <c r="I431" s="44"/>
      <c r="J431" s="44"/>
      <c r="K431" s="44"/>
      <c r="L431" s="44"/>
    </row>
    <row r="432" ht="14.25" customHeight="1">
      <c r="B432" s="43"/>
      <c r="C432" s="43"/>
      <c r="D432" s="44"/>
      <c r="E432" s="44"/>
      <c r="F432" s="44"/>
      <c r="G432" s="44"/>
      <c r="H432" s="44"/>
      <c r="I432" s="44"/>
      <c r="J432" s="44"/>
      <c r="K432" s="44"/>
      <c r="L432" s="44"/>
    </row>
    <row r="433" ht="14.25" customHeight="1">
      <c r="B433" s="43"/>
      <c r="C433" s="43"/>
      <c r="D433" s="44"/>
      <c r="E433" s="44"/>
      <c r="F433" s="44"/>
      <c r="G433" s="44"/>
      <c r="H433" s="44"/>
      <c r="I433" s="44"/>
      <c r="J433" s="44"/>
      <c r="K433" s="44"/>
      <c r="L433" s="44"/>
    </row>
    <row r="434" ht="14.25" customHeight="1">
      <c r="B434" s="43"/>
      <c r="C434" s="43"/>
      <c r="D434" s="44"/>
      <c r="E434" s="44"/>
      <c r="F434" s="44"/>
      <c r="G434" s="44"/>
      <c r="H434" s="44"/>
      <c r="I434" s="44"/>
      <c r="J434" s="44"/>
      <c r="K434" s="44"/>
      <c r="L434" s="44"/>
    </row>
    <row r="435" ht="14.25" customHeight="1">
      <c r="B435" s="43"/>
      <c r="C435" s="43"/>
      <c r="D435" s="44"/>
      <c r="E435" s="44"/>
      <c r="F435" s="44"/>
      <c r="G435" s="44"/>
      <c r="H435" s="44"/>
      <c r="I435" s="44"/>
      <c r="J435" s="44"/>
      <c r="K435" s="44"/>
      <c r="L435" s="44"/>
    </row>
    <row r="436" ht="14.25" customHeight="1">
      <c r="B436" s="43"/>
      <c r="C436" s="43"/>
      <c r="D436" s="44"/>
      <c r="E436" s="44"/>
      <c r="F436" s="44"/>
      <c r="G436" s="44"/>
      <c r="H436" s="44"/>
      <c r="I436" s="44"/>
      <c r="J436" s="44"/>
      <c r="K436" s="44"/>
      <c r="L436" s="44"/>
    </row>
    <row r="437" ht="14.25" customHeight="1">
      <c r="B437" s="43"/>
      <c r="C437" s="43"/>
      <c r="D437" s="44"/>
      <c r="E437" s="44"/>
      <c r="F437" s="44"/>
      <c r="G437" s="44"/>
      <c r="H437" s="44"/>
      <c r="I437" s="44"/>
      <c r="J437" s="44"/>
      <c r="K437" s="44"/>
      <c r="L437" s="44"/>
    </row>
    <row r="438" ht="14.25" customHeight="1">
      <c r="B438" s="43"/>
      <c r="C438" s="43"/>
      <c r="D438" s="44"/>
      <c r="E438" s="44"/>
      <c r="F438" s="44"/>
      <c r="G438" s="44"/>
      <c r="H438" s="44"/>
      <c r="I438" s="44"/>
      <c r="J438" s="44"/>
      <c r="K438" s="44"/>
      <c r="L438" s="44"/>
    </row>
    <row r="439" ht="14.25" customHeight="1">
      <c r="B439" s="43"/>
      <c r="C439" s="43"/>
      <c r="D439" s="44"/>
      <c r="E439" s="44"/>
      <c r="F439" s="44"/>
      <c r="G439" s="44"/>
      <c r="H439" s="44"/>
      <c r="I439" s="44"/>
      <c r="J439" s="44"/>
      <c r="K439" s="44"/>
      <c r="L439" s="44"/>
    </row>
    <row r="440" ht="14.25" customHeight="1">
      <c r="B440" s="43"/>
      <c r="C440" s="43"/>
      <c r="D440" s="44"/>
      <c r="E440" s="44"/>
      <c r="F440" s="44"/>
      <c r="G440" s="44"/>
      <c r="H440" s="44"/>
      <c r="I440" s="44"/>
      <c r="J440" s="44"/>
      <c r="K440" s="44"/>
      <c r="L440" s="44"/>
    </row>
    <row r="441" ht="14.25" customHeight="1">
      <c r="B441" s="43"/>
      <c r="C441" s="43"/>
      <c r="D441" s="44"/>
      <c r="E441" s="44"/>
      <c r="F441" s="44"/>
      <c r="G441" s="44"/>
      <c r="H441" s="44"/>
      <c r="I441" s="44"/>
      <c r="J441" s="44"/>
      <c r="K441" s="44"/>
      <c r="L441" s="44"/>
    </row>
    <row r="442" ht="14.25" customHeight="1">
      <c r="B442" s="43"/>
      <c r="C442" s="43"/>
      <c r="D442" s="44"/>
      <c r="E442" s="44"/>
      <c r="F442" s="44"/>
      <c r="G442" s="44"/>
      <c r="H442" s="44"/>
      <c r="I442" s="44"/>
      <c r="J442" s="44"/>
      <c r="K442" s="44"/>
      <c r="L442" s="44"/>
    </row>
    <row r="443" ht="14.25" customHeight="1">
      <c r="B443" s="43"/>
      <c r="C443" s="43"/>
      <c r="D443" s="44"/>
      <c r="E443" s="44"/>
      <c r="F443" s="44"/>
      <c r="G443" s="44"/>
      <c r="H443" s="44"/>
      <c r="I443" s="44"/>
      <c r="J443" s="44"/>
      <c r="K443" s="44"/>
      <c r="L443" s="44"/>
    </row>
    <row r="444" ht="14.25" customHeight="1">
      <c r="B444" s="43"/>
      <c r="C444" s="43"/>
      <c r="D444" s="44"/>
      <c r="E444" s="44"/>
      <c r="F444" s="44"/>
      <c r="G444" s="44"/>
      <c r="H444" s="44"/>
      <c r="I444" s="44"/>
      <c r="J444" s="44"/>
      <c r="K444" s="44"/>
      <c r="L444" s="44"/>
    </row>
    <row r="445" ht="14.25" customHeight="1">
      <c r="B445" s="43"/>
      <c r="C445" s="43"/>
      <c r="D445" s="44"/>
      <c r="E445" s="44"/>
      <c r="F445" s="44"/>
      <c r="G445" s="44"/>
      <c r="H445" s="44"/>
      <c r="I445" s="44"/>
      <c r="J445" s="44"/>
      <c r="K445" s="44"/>
      <c r="L445" s="44"/>
    </row>
    <row r="446" ht="14.25" customHeight="1">
      <c r="B446" s="43"/>
      <c r="C446" s="43"/>
      <c r="D446" s="44"/>
      <c r="E446" s="44"/>
      <c r="F446" s="44"/>
      <c r="G446" s="44"/>
      <c r="H446" s="44"/>
      <c r="I446" s="44"/>
      <c r="J446" s="44"/>
      <c r="K446" s="44"/>
      <c r="L446" s="44"/>
    </row>
    <row r="447" ht="14.25" customHeight="1">
      <c r="B447" s="43"/>
      <c r="C447" s="43"/>
      <c r="D447" s="44"/>
      <c r="E447" s="44"/>
      <c r="F447" s="44"/>
      <c r="G447" s="44"/>
      <c r="H447" s="44"/>
      <c r="I447" s="44"/>
      <c r="J447" s="44"/>
      <c r="K447" s="44"/>
      <c r="L447" s="44"/>
    </row>
    <row r="448" ht="14.25" customHeight="1">
      <c r="B448" s="43"/>
      <c r="C448" s="43"/>
      <c r="D448" s="44"/>
      <c r="E448" s="44"/>
      <c r="F448" s="44"/>
      <c r="G448" s="44"/>
      <c r="H448" s="44"/>
      <c r="I448" s="44"/>
      <c r="J448" s="44"/>
      <c r="K448" s="44"/>
      <c r="L448" s="44"/>
    </row>
    <row r="449" ht="14.25" customHeight="1">
      <c r="B449" s="43"/>
      <c r="C449" s="43"/>
      <c r="D449" s="44"/>
      <c r="E449" s="44"/>
      <c r="F449" s="44"/>
      <c r="G449" s="44"/>
      <c r="H449" s="44"/>
      <c r="I449" s="44"/>
      <c r="J449" s="44"/>
      <c r="K449" s="44"/>
      <c r="L449" s="44"/>
    </row>
    <row r="450" ht="14.25" customHeight="1">
      <c r="B450" s="43"/>
      <c r="C450" s="43"/>
      <c r="D450" s="44"/>
      <c r="E450" s="44"/>
      <c r="F450" s="44"/>
      <c r="G450" s="44"/>
      <c r="H450" s="44"/>
      <c r="I450" s="44"/>
      <c r="J450" s="44"/>
      <c r="K450" s="44"/>
      <c r="L450" s="44"/>
    </row>
    <row r="451" ht="14.25" customHeight="1">
      <c r="B451" s="43"/>
      <c r="C451" s="43"/>
      <c r="D451" s="44"/>
      <c r="E451" s="44"/>
      <c r="F451" s="44"/>
      <c r="G451" s="44"/>
      <c r="H451" s="44"/>
      <c r="I451" s="44"/>
      <c r="J451" s="44"/>
      <c r="K451" s="44"/>
      <c r="L451" s="44"/>
    </row>
    <row r="452" ht="14.25" customHeight="1">
      <c r="B452" s="43"/>
      <c r="C452" s="43"/>
      <c r="D452" s="44"/>
      <c r="E452" s="44"/>
      <c r="F452" s="44"/>
      <c r="G452" s="44"/>
      <c r="H452" s="44"/>
      <c r="I452" s="44"/>
      <c r="J452" s="44"/>
      <c r="K452" s="44"/>
      <c r="L452" s="44"/>
    </row>
    <row r="453" ht="14.25" customHeight="1">
      <c r="B453" s="43"/>
      <c r="C453" s="43"/>
      <c r="D453" s="44"/>
      <c r="E453" s="44"/>
      <c r="F453" s="44"/>
      <c r="G453" s="44"/>
      <c r="H453" s="44"/>
      <c r="I453" s="44"/>
      <c r="J453" s="44"/>
      <c r="K453" s="44"/>
      <c r="L453" s="44"/>
    </row>
    <row r="454" ht="14.25" customHeight="1">
      <c r="B454" s="43"/>
      <c r="C454" s="43"/>
      <c r="D454" s="44"/>
      <c r="E454" s="44"/>
      <c r="F454" s="44"/>
      <c r="G454" s="44"/>
      <c r="H454" s="44"/>
      <c r="I454" s="44"/>
      <c r="J454" s="44"/>
      <c r="K454" s="44"/>
      <c r="L454" s="44"/>
    </row>
    <row r="455" ht="14.25" customHeight="1">
      <c r="B455" s="43"/>
      <c r="C455" s="43"/>
      <c r="D455" s="44"/>
      <c r="E455" s="44"/>
      <c r="F455" s="44"/>
      <c r="G455" s="44"/>
      <c r="H455" s="44"/>
      <c r="I455" s="44"/>
      <c r="J455" s="44"/>
      <c r="K455" s="44"/>
      <c r="L455" s="44"/>
    </row>
    <row r="456" ht="14.25" customHeight="1">
      <c r="B456" s="43"/>
      <c r="C456" s="43"/>
      <c r="D456" s="44"/>
      <c r="E456" s="44"/>
      <c r="F456" s="44"/>
      <c r="G456" s="44"/>
      <c r="H456" s="44"/>
      <c r="I456" s="44"/>
      <c r="J456" s="44"/>
      <c r="K456" s="44"/>
      <c r="L456" s="44"/>
    </row>
    <row r="457" ht="14.25" customHeight="1">
      <c r="B457" s="43"/>
      <c r="C457" s="43"/>
      <c r="D457" s="44"/>
      <c r="E457" s="44"/>
      <c r="F457" s="44"/>
      <c r="G457" s="44"/>
      <c r="H457" s="44"/>
      <c r="I457" s="44"/>
      <c r="J457" s="44"/>
      <c r="K457" s="44"/>
      <c r="L457" s="44"/>
    </row>
    <row r="458" ht="14.25" customHeight="1">
      <c r="B458" s="43"/>
      <c r="C458" s="43"/>
      <c r="D458" s="44"/>
      <c r="E458" s="44"/>
      <c r="F458" s="44"/>
      <c r="G458" s="44"/>
      <c r="H458" s="44"/>
      <c r="I458" s="44"/>
      <c r="J458" s="44"/>
      <c r="K458" s="44"/>
      <c r="L458" s="44"/>
    </row>
    <row r="459" ht="14.25" customHeight="1">
      <c r="B459" s="43"/>
      <c r="C459" s="43"/>
      <c r="D459" s="44"/>
      <c r="E459" s="44"/>
      <c r="F459" s="44"/>
      <c r="G459" s="44"/>
      <c r="H459" s="44"/>
      <c r="I459" s="44"/>
      <c r="J459" s="44"/>
      <c r="K459" s="44"/>
      <c r="L459" s="44"/>
    </row>
    <row r="460" ht="14.25" customHeight="1">
      <c r="B460" s="43"/>
      <c r="C460" s="43"/>
      <c r="D460" s="44"/>
      <c r="E460" s="44"/>
      <c r="F460" s="44"/>
      <c r="G460" s="44"/>
      <c r="H460" s="44"/>
      <c r="I460" s="44"/>
      <c r="J460" s="44"/>
      <c r="K460" s="44"/>
      <c r="L460" s="44"/>
    </row>
    <row r="461" ht="14.25" customHeight="1">
      <c r="B461" s="43"/>
      <c r="C461" s="43"/>
      <c r="D461" s="44"/>
      <c r="E461" s="44"/>
      <c r="F461" s="44"/>
      <c r="G461" s="44"/>
      <c r="H461" s="44"/>
      <c r="I461" s="44"/>
      <c r="J461" s="44"/>
      <c r="K461" s="44"/>
      <c r="L461" s="44"/>
    </row>
    <row r="462" ht="14.25" customHeight="1">
      <c r="B462" s="43"/>
      <c r="C462" s="43"/>
      <c r="D462" s="44"/>
      <c r="E462" s="44"/>
      <c r="F462" s="44"/>
      <c r="G462" s="44"/>
      <c r="H462" s="44"/>
      <c r="I462" s="44"/>
      <c r="J462" s="44"/>
      <c r="K462" s="44"/>
      <c r="L462" s="44"/>
    </row>
    <row r="463" ht="14.25" customHeight="1">
      <c r="B463" s="43"/>
      <c r="C463" s="43"/>
      <c r="D463" s="44"/>
      <c r="E463" s="44"/>
      <c r="F463" s="44"/>
      <c r="G463" s="44"/>
      <c r="H463" s="44"/>
      <c r="I463" s="44"/>
      <c r="J463" s="44"/>
      <c r="K463" s="44"/>
      <c r="L463" s="44"/>
    </row>
    <row r="464" ht="14.25" customHeight="1">
      <c r="B464" s="43"/>
      <c r="C464" s="43"/>
      <c r="D464" s="44"/>
      <c r="E464" s="44"/>
      <c r="F464" s="44"/>
      <c r="G464" s="44"/>
      <c r="H464" s="44"/>
      <c r="I464" s="44"/>
      <c r="J464" s="44"/>
      <c r="K464" s="44"/>
      <c r="L464" s="44"/>
    </row>
    <row r="465" ht="14.25" customHeight="1">
      <c r="B465" s="43"/>
      <c r="C465" s="43"/>
      <c r="D465" s="44"/>
      <c r="E465" s="44"/>
      <c r="F465" s="44"/>
      <c r="G465" s="44"/>
      <c r="H465" s="44"/>
      <c r="I465" s="44"/>
      <c r="J465" s="44"/>
      <c r="K465" s="44"/>
      <c r="L465" s="44"/>
    </row>
    <row r="466" ht="14.25" customHeight="1">
      <c r="B466" s="43"/>
      <c r="C466" s="43"/>
      <c r="D466" s="44"/>
      <c r="E466" s="44"/>
      <c r="F466" s="44"/>
      <c r="G466" s="44"/>
      <c r="H466" s="44"/>
      <c r="I466" s="44"/>
      <c r="J466" s="44"/>
      <c r="K466" s="44"/>
      <c r="L466" s="44"/>
    </row>
    <row r="467" ht="14.25" customHeight="1">
      <c r="B467" s="43"/>
      <c r="C467" s="43"/>
      <c r="D467" s="44"/>
      <c r="E467" s="44"/>
      <c r="F467" s="44"/>
      <c r="G467" s="44"/>
      <c r="H467" s="44"/>
      <c r="I467" s="44"/>
      <c r="J467" s="44"/>
      <c r="K467" s="44"/>
      <c r="L467" s="44"/>
    </row>
    <row r="468" ht="14.25" customHeight="1">
      <c r="B468" s="43"/>
      <c r="C468" s="43"/>
      <c r="D468" s="44"/>
      <c r="E468" s="44"/>
      <c r="F468" s="44"/>
      <c r="G468" s="44"/>
      <c r="H468" s="44"/>
      <c r="I468" s="44"/>
      <c r="J468" s="44"/>
      <c r="K468" s="44"/>
      <c r="L468" s="44"/>
    </row>
    <row r="469" ht="14.25" customHeight="1">
      <c r="B469" s="43"/>
      <c r="C469" s="43"/>
      <c r="D469" s="44"/>
      <c r="E469" s="44"/>
      <c r="F469" s="44"/>
      <c r="G469" s="44"/>
      <c r="H469" s="44"/>
      <c r="I469" s="44"/>
      <c r="J469" s="44"/>
      <c r="K469" s="44"/>
      <c r="L469" s="44"/>
    </row>
    <row r="470" ht="14.25" customHeight="1">
      <c r="B470" s="43"/>
      <c r="C470" s="43"/>
      <c r="D470" s="44"/>
      <c r="E470" s="44"/>
      <c r="F470" s="44"/>
      <c r="G470" s="44"/>
      <c r="H470" s="44"/>
      <c r="I470" s="44"/>
      <c r="J470" s="44"/>
      <c r="K470" s="44"/>
      <c r="L470" s="44"/>
    </row>
    <row r="471" ht="14.25" customHeight="1">
      <c r="B471" s="43"/>
      <c r="C471" s="43"/>
      <c r="D471" s="44"/>
      <c r="E471" s="44"/>
      <c r="F471" s="44"/>
      <c r="G471" s="44"/>
      <c r="H471" s="44"/>
      <c r="I471" s="44"/>
      <c r="J471" s="44"/>
      <c r="K471" s="44"/>
      <c r="L471" s="44"/>
    </row>
    <row r="472" ht="14.25" customHeight="1">
      <c r="B472" s="43"/>
      <c r="C472" s="43"/>
      <c r="D472" s="44"/>
      <c r="E472" s="44"/>
      <c r="F472" s="44"/>
      <c r="G472" s="44"/>
      <c r="H472" s="44"/>
      <c r="I472" s="44"/>
      <c r="J472" s="44"/>
      <c r="K472" s="44"/>
      <c r="L472" s="44"/>
    </row>
    <row r="473" ht="14.25" customHeight="1">
      <c r="B473" s="43"/>
      <c r="C473" s="43"/>
      <c r="D473" s="44"/>
      <c r="E473" s="44"/>
      <c r="F473" s="44"/>
      <c r="G473" s="44"/>
      <c r="H473" s="44"/>
      <c r="I473" s="44"/>
      <c r="J473" s="44"/>
      <c r="K473" s="44"/>
      <c r="L473" s="44"/>
    </row>
    <row r="474" ht="14.25" customHeight="1">
      <c r="B474" s="43"/>
      <c r="C474" s="43"/>
      <c r="D474" s="44"/>
      <c r="E474" s="44"/>
      <c r="F474" s="44"/>
      <c r="G474" s="44"/>
      <c r="H474" s="44"/>
      <c r="I474" s="44"/>
      <c r="J474" s="44"/>
      <c r="K474" s="44"/>
      <c r="L474" s="44"/>
    </row>
    <row r="475" ht="14.25" customHeight="1">
      <c r="B475" s="43"/>
      <c r="C475" s="43"/>
      <c r="D475" s="44"/>
      <c r="E475" s="44"/>
      <c r="F475" s="44"/>
      <c r="G475" s="44"/>
      <c r="H475" s="44"/>
      <c r="I475" s="44"/>
      <c r="J475" s="44"/>
      <c r="K475" s="44"/>
      <c r="L475" s="44"/>
    </row>
    <row r="476" ht="14.25" customHeight="1">
      <c r="B476" s="43"/>
      <c r="C476" s="43"/>
      <c r="D476" s="44"/>
      <c r="E476" s="44"/>
      <c r="F476" s="44"/>
      <c r="G476" s="44"/>
      <c r="H476" s="44"/>
      <c r="I476" s="44"/>
      <c r="J476" s="44"/>
      <c r="K476" s="44"/>
      <c r="L476" s="44"/>
    </row>
    <row r="477" ht="14.25" customHeight="1">
      <c r="B477" s="43"/>
      <c r="C477" s="43"/>
      <c r="D477" s="44"/>
      <c r="E477" s="44"/>
      <c r="F477" s="44"/>
      <c r="G477" s="44"/>
      <c r="H477" s="44"/>
      <c r="I477" s="44"/>
      <c r="J477" s="44"/>
      <c r="K477" s="44"/>
      <c r="L477" s="44"/>
    </row>
    <row r="478" ht="14.25" customHeight="1">
      <c r="B478" s="43"/>
      <c r="C478" s="43"/>
      <c r="D478" s="44"/>
      <c r="E478" s="44"/>
      <c r="F478" s="44"/>
      <c r="G478" s="44"/>
      <c r="H478" s="44"/>
      <c r="I478" s="44"/>
      <c r="J478" s="44"/>
      <c r="K478" s="44"/>
      <c r="L478" s="44"/>
    </row>
    <row r="479" ht="14.25" customHeight="1">
      <c r="B479" s="43"/>
      <c r="C479" s="43"/>
      <c r="D479" s="44"/>
      <c r="E479" s="44"/>
      <c r="F479" s="44"/>
      <c r="G479" s="44"/>
      <c r="H479" s="44"/>
      <c r="I479" s="44"/>
      <c r="J479" s="44"/>
      <c r="K479" s="44"/>
      <c r="L479" s="44"/>
    </row>
    <row r="480" ht="14.25" customHeight="1">
      <c r="B480" s="43"/>
      <c r="C480" s="43"/>
      <c r="D480" s="44"/>
      <c r="E480" s="44"/>
      <c r="F480" s="44"/>
      <c r="G480" s="44"/>
      <c r="H480" s="44"/>
      <c r="I480" s="44"/>
      <c r="J480" s="44"/>
      <c r="K480" s="44"/>
      <c r="L480" s="44"/>
    </row>
    <row r="481" ht="14.25" customHeight="1">
      <c r="B481" s="43"/>
      <c r="C481" s="43"/>
      <c r="D481" s="44"/>
      <c r="E481" s="44"/>
      <c r="F481" s="44"/>
      <c r="G481" s="44"/>
      <c r="H481" s="44"/>
      <c r="I481" s="44"/>
      <c r="J481" s="44"/>
      <c r="K481" s="44"/>
      <c r="L481" s="44"/>
    </row>
    <row r="482" ht="14.25" customHeight="1">
      <c r="B482" s="43"/>
      <c r="C482" s="43"/>
      <c r="D482" s="44"/>
      <c r="E482" s="44"/>
      <c r="F482" s="44"/>
      <c r="G482" s="44"/>
      <c r="H482" s="44"/>
      <c r="I482" s="44"/>
      <c r="J482" s="44"/>
      <c r="K482" s="44"/>
      <c r="L482" s="44"/>
    </row>
    <row r="483" ht="14.25" customHeight="1">
      <c r="B483" s="43"/>
      <c r="C483" s="43"/>
      <c r="D483" s="44"/>
      <c r="E483" s="44"/>
      <c r="F483" s="44"/>
      <c r="G483" s="44"/>
      <c r="H483" s="44"/>
      <c r="I483" s="44"/>
      <c r="J483" s="44"/>
      <c r="K483" s="44"/>
      <c r="L483" s="44"/>
    </row>
    <row r="484" ht="14.25" customHeight="1">
      <c r="B484" s="43"/>
      <c r="C484" s="43"/>
      <c r="D484" s="44"/>
      <c r="E484" s="44"/>
      <c r="F484" s="44"/>
      <c r="G484" s="44"/>
      <c r="H484" s="44"/>
      <c r="I484" s="44"/>
      <c r="J484" s="44"/>
      <c r="K484" s="44"/>
      <c r="L484" s="44"/>
    </row>
    <row r="485" ht="14.25" customHeight="1">
      <c r="B485" s="43"/>
      <c r="C485" s="43"/>
      <c r="D485" s="44"/>
      <c r="E485" s="44"/>
      <c r="F485" s="44"/>
      <c r="G485" s="44"/>
      <c r="H485" s="44"/>
      <c r="I485" s="44"/>
      <c r="J485" s="44"/>
      <c r="K485" s="44"/>
      <c r="L485" s="44"/>
    </row>
    <row r="486" ht="14.25" customHeight="1">
      <c r="B486" s="43"/>
      <c r="C486" s="43"/>
      <c r="D486" s="44"/>
      <c r="E486" s="44"/>
      <c r="F486" s="44"/>
      <c r="G486" s="44"/>
      <c r="H486" s="44"/>
      <c r="I486" s="44"/>
      <c r="J486" s="44"/>
      <c r="K486" s="44"/>
      <c r="L486" s="44"/>
    </row>
    <row r="487" ht="14.25" customHeight="1">
      <c r="B487" s="43"/>
      <c r="C487" s="43"/>
      <c r="D487" s="44"/>
      <c r="E487" s="44"/>
      <c r="F487" s="44"/>
      <c r="G487" s="44"/>
      <c r="H487" s="44"/>
      <c r="I487" s="44"/>
      <c r="J487" s="44"/>
      <c r="K487" s="44"/>
      <c r="L487" s="44"/>
    </row>
    <row r="488" ht="14.25" customHeight="1">
      <c r="B488" s="43"/>
      <c r="C488" s="43"/>
      <c r="D488" s="44"/>
      <c r="E488" s="44"/>
      <c r="F488" s="44"/>
      <c r="G488" s="44"/>
      <c r="H488" s="44"/>
      <c r="I488" s="44"/>
      <c r="J488" s="44"/>
      <c r="K488" s="44"/>
      <c r="L488" s="44"/>
    </row>
    <row r="489" ht="14.25" customHeight="1">
      <c r="B489" s="43"/>
      <c r="C489" s="43"/>
      <c r="D489" s="44"/>
      <c r="E489" s="44"/>
      <c r="F489" s="44"/>
      <c r="G489" s="44"/>
      <c r="H489" s="44"/>
      <c r="I489" s="44"/>
      <c r="J489" s="44"/>
      <c r="K489" s="44"/>
      <c r="L489" s="44"/>
    </row>
    <row r="490" ht="14.25" customHeight="1">
      <c r="B490" s="43"/>
      <c r="C490" s="43"/>
      <c r="D490" s="44"/>
      <c r="E490" s="44"/>
      <c r="F490" s="44"/>
      <c r="G490" s="44"/>
      <c r="H490" s="44"/>
      <c r="I490" s="44"/>
      <c r="J490" s="44"/>
      <c r="K490" s="44"/>
      <c r="L490" s="44"/>
    </row>
    <row r="491" ht="14.25" customHeight="1">
      <c r="B491" s="43"/>
      <c r="C491" s="43"/>
      <c r="D491" s="44"/>
      <c r="E491" s="44"/>
      <c r="F491" s="44"/>
      <c r="G491" s="44"/>
      <c r="H491" s="44"/>
      <c r="I491" s="44"/>
      <c r="J491" s="44"/>
      <c r="K491" s="44"/>
      <c r="L491" s="44"/>
    </row>
    <row r="492" ht="14.25" customHeight="1">
      <c r="B492" s="43"/>
      <c r="C492" s="43"/>
      <c r="D492" s="44"/>
      <c r="E492" s="44"/>
      <c r="F492" s="44"/>
      <c r="G492" s="44"/>
      <c r="H492" s="44"/>
      <c r="I492" s="44"/>
      <c r="J492" s="44"/>
      <c r="K492" s="44"/>
      <c r="L492" s="44"/>
    </row>
    <row r="493" ht="14.25" customHeight="1">
      <c r="B493" s="43"/>
      <c r="C493" s="43"/>
      <c r="D493" s="44"/>
      <c r="E493" s="44"/>
      <c r="F493" s="44"/>
      <c r="G493" s="44"/>
      <c r="H493" s="44"/>
      <c r="I493" s="44"/>
      <c r="J493" s="44"/>
      <c r="K493" s="44"/>
      <c r="L493" s="44"/>
    </row>
    <row r="494" ht="14.25" customHeight="1">
      <c r="B494" s="43"/>
      <c r="C494" s="43"/>
      <c r="D494" s="44"/>
      <c r="E494" s="44"/>
      <c r="F494" s="44"/>
      <c r="G494" s="44"/>
      <c r="H494" s="44"/>
      <c r="I494" s="44"/>
      <c r="J494" s="44"/>
      <c r="K494" s="44"/>
      <c r="L494" s="44"/>
    </row>
    <row r="495" ht="14.25" customHeight="1">
      <c r="B495" s="43"/>
      <c r="C495" s="43"/>
      <c r="D495" s="44"/>
      <c r="E495" s="44"/>
      <c r="F495" s="44"/>
      <c r="G495" s="44"/>
      <c r="H495" s="44"/>
      <c r="I495" s="44"/>
      <c r="J495" s="44"/>
      <c r="K495" s="44"/>
      <c r="L495" s="44"/>
    </row>
    <row r="496" ht="14.25" customHeight="1">
      <c r="B496" s="43"/>
      <c r="C496" s="43"/>
      <c r="D496" s="44"/>
      <c r="E496" s="44"/>
      <c r="F496" s="44"/>
      <c r="G496" s="44"/>
      <c r="H496" s="44"/>
      <c r="I496" s="44"/>
      <c r="J496" s="44"/>
      <c r="K496" s="44"/>
      <c r="L496" s="44"/>
    </row>
    <row r="497" ht="14.25" customHeight="1">
      <c r="B497" s="43"/>
      <c r="C497" s="43"/>
      <c r="D497" s="44"/>
      <c r="E497" s="44"/>
      <c r="F497" s="44"/>
      <c r="G497" s="44"/>
      <c r="H497" s="44"/>
      <c r="I497" s="44"/>
      <c r="J497" s="44"/>
      <c r="K497" s="44"/>
      <c r="L497" s="44"/>
    </row>
    <row r="498" ht="14.25" customHeight="1">
      <c r="B498" s="43"/>
      <c r="C498" s="43"/>
      <c r="D498" s="44"/>
      <c r="E498" s="44"/>
      <c r="F498" s="44"/>
      <c r="G498" s="44"/>
      <c r="H498" s="44"/>
      <c r="I498" s="44"/>
      <c r="J498" s="44"/>
      <c r="K498" s="44"/>
      <c r="L498" s="44"/>
    </row>
    <row r="499" ht="14.25" customHeight="1">
      <c r="B499" s="43"/>
      <c r="C499" s="43"/>
      <c r="D499" s="44"/>
      <c r="E499" s="44"/>
      <c r="F499" s="44"/>
      <c r="G499" s="44"/>
      <c r="H499" s="44"/>
      <c r="I499" s="44"/>
      <c r="J499" s="44"/>
      <c r="K499" s="44"/>
      <c r="L499" s="44"/>
    </row>
    <row r="500" ht="14.25" customHeight="1">
      <c r="B500" s="43"/>
      <c r="C500" s="43"/>
      <c r="D500" s="44"/>
      <c r="E500" s="44"/>
      <c r="F500" s="44"/>
      <c r="G500" s="44"/>
      <c r="H500" s="44"/>
      <c r="I500" s="44"/>
      <c r="J500" s="44"/>
      <c r="K500" s="44"/>
      <c r="L500" s="44"/>
    </row>
    <row r="501" ht="14.25" customHeight="1">
      <c r="B501" s="43"/>
      <c r="C501" s="43"/>
      <c r="D501" s="44"/>
      <c r="E501" s="44"/>
      <c r="F501" s="44"/>
      <c r="G501" s="44"/>
      <c r="H501" s="44"/>
      <c r="I501" s="44"/>
      <c r="J501" s="44"/>
      <c r="K501" s="44"/>
      <c r="L501" s="44"/>
    </row>
    <row r="502" ht="14.25" customHeight="1">
      <c r="B502" s="43"/>
      <c r="C502" s="43"/>
      <c r="D502" s="44"/>
      <c r="E502" s="44"/>
      <c r="F502" s="44"/>
      <c r="G502" s="44"/>
      <c r="H502" s="44"/>
      <c r="I502" s="44"/>
      <c r="J502" s="44"/>
      <c r="K502" s="44"/>
      <c r="L502" s="44"/>
    </row>
    <row r="503" ht="14.25" customHeight="1">
      <c r="B503" s="43"/>
      <c r="C503" s="43"/>
      <c r="D503" s="44"/>
      <c r="E503" s="44"/>
      <c r="F503" s="44"/>
      <c r="G503" s="44"/>
      <c r="H503" s="44"/>
      <c r="I503" s="44"/>
      <c r="J503" s="44"/>
      <c r="K503" s="44"/>
      <c r="L503" s="44"/>
    </row>
    <row r="504" ht="14.25" customHeight="1">
      <c r="B504" s="43"/>
      <c r="C504" s="43"/>
      <c r="D504" s="44"/>
      <c r="E504" s="44"/>
      <c r="F504" s="44"/>
      <c r="G504" s="44"/>
      <c r="H504" s="44"/>
      <c r="I504" s="44"/>
      <c r="J504" s="44"/>
      <c r="K504" s="44"/>
      <c r="L504" s="44"/>
    </row>
    <row r="505" ht="14.25" customHeight="1">
      <c r="B505" s="43"/>
      <c r="C505" s="43"/>
      <c r="D505" s="44"/>
      <c r="E505" s="44"/>
      <c r="F505" s="44"/>
      <c r="G505" s="44"/>
      <c r="H505" s="44"/>
      <c r="I505" s="44"/>
      <c r="J505" s="44"/>
      <c r="K505" s="44"/>
      <c r="L505" s="44"/>
    </row>
    <row r="506" ht="14.25" customHeight="1">
      <c r="B506" s="43"/>
      <c r="C506" s="43"/>
      <c r="D506" s="44"/>
      <c r="E506" s="44"/>
      <c r="F506" s="44"/>
      <c r="G506" s="44"/>
      <c r="H506" s="44"/>
      <c r="I506" s="44"/>
      <c r="J506" s="44"/>
      <c r="K506" s="44"/>
      <c r="L506" s="44"/>
    </row>
    <row r="507" ht="14.25" customHeight="1">
      <c r="B507" s="43"/>
      <c r="C507" s="43"/>
      <c r="D507" s="44"/>
      <c r="E507" s="44"/>
      <c r="F507" s="44"/>
      <c r="G507" s="44"/>
      <c r="H507" s="44"/>
      <c r="I507" s="44"/>
      <c r="J507" s="44"/>
      <c r="K507" s="44"/>
      <c r="L507" s="44"/>
    </row>
    <row r="508" ht="14.25" customHeight="1">
      <c r="B508" s="43"/>
      <c r="C508" s="43"/>
      <c r="D508" s="44"/>
      <c r="E508" s="44"/>
      <c r="F508" s="44"/>
      <c r="G508" s="44"/>
      <c r="H508" s="44"/>
      <c r="I508" s="44"/>
      <c r="J508" s="44"/>
      <c r="K508" s="44"/>
      <c r="L508" s="44"/>
    </row>
    <row r="509" ht="14.25" customHeight="1">
      <c r="B509" s="43"/>
      <c r="C509" s="43"/>
      <c r="D509" s="44"/>
      <c r="E509" s="44"/>
      <c r="F509" s="44"/>
      <c r="G509" s="44"/>
      <c r="H509" s="44"/>
      <c r="I509" s="44"/>
      <c r="J509" s="44"/>
      <c r="K509" s="44"/>
      <c r="L509" s="44"/>
    </row>
    <row r="510" ht="14.25" customHeight="1">
      <c r="B510" s="43"/>
      <c r="C510" s="43"/>
      <c r="D510" s="44"/>
      <c r="E510" s="44"/>
      <c r="F510" s="44"/>
      <c r="G510" s="44"/>
      <c r="H510" s="44"/>
      <c r="I510" s="44"/>
      <c r="J510" s="44"/>
      <c r="K510" s="44"/>
      <c r="L510" s="44"/>
    </row>
    <row r="511" ht="14.25" customHeight="1">
      <c r="B511" s="43"/>
      <c r="C511" s="43"/>
      <c r="D511" s="44"/>
      <c r="E511" s="44"/>
      <c r="F511" s="44"/>
      <c r="G511" s="44"/>
      <c r="H511" s="44"/>
      <c r="I511" s="44"/>
      <c r="J511" s="44"/>
      <c r="K511" s="44"/>
      <c r="L511" s="44"/>
    </row>
    <row r="512" ht="15.75" customHeight="1">
      <c r="B512" s="43"/>
      <c r="C512" s="43"/>
      <c r="D512" s="44"/>
      <c r="E512" s="44"/>
      <c r="F512" s="44"/>
      <c r="G512" s="44"/>
      <c r="H512" s="44"/>
      <c r="I512" s="44"/>
      <c r="J512" s="44"/>
      <c r="K512" s="44"/>
      <c r="L512" s="44"/>
    </row>
    <row r="513" ht="15.75" customHeight="1">
      <c r="B513" s="43"/>
      <c r="C513" s="43"/>
      <c r="D513" s="44"/>
      <c r="E513" s="44"/>
      <c r="F513" s="44"/>
      <c r="G513" s="44"/>
      <c r="H513" s="44"/>
      <c r="I513" s="44"/>
      <c r="J513" s="44"/>
      <c r="K513" s="44"/>
      <c r="L513" s="44"/>
    </row>
    <row r="514" ht="15.75" customHeight="1">
      <c r="B514" s="43"/>
      <c r="C514" s="43"/>
      <c r="D514" s="44"/>
      <c r="E514" s="44"/>
      <c r="F514" s="44"/>
      <c r="G514" s="44"/>
      <c r="H514" s="44"/>
      <c r="I514" s="44"/>
      <c r="J514" s="44"/>
      <c r="K514" s="44"/>
      <c r="L514" s="44"/>
    </row>
    <row r="515" ht="15.75" customHeight="1">
      <c r="B515" s="43"/>
      <c r="C515" s="43"/>
      <c r="D515" s="44"/>
      <c r="E515" s="44"/>
      <c r="F515" s="44"/>
      <c r="G515" s="44"/>
      <c r="H515" s="44"/>
      <c r="I515" s="44"/>
      <c r="J515" s="44"/>
      <c r="K515" s="44"/>
      <c r="L515" s="44"/>
    </row>
    <row r="516" ht="15.75" customHeight="1">
      <c r="B516" s="43"/>
      <c r="C516" s="43"/>
      <c r="D516" s="44"/>
      <c r="E516" s="44"/>
      <c r="F516" s="44"/>
      <c r="G516" s="44"/>
      <c r="H516" s="44"/>
      <c r="I516" s="44"/>
      <c r="J516" s="44"/>
      <c r="K516" s="44"/>
      <c r="L516" s="44"/>
    </row>
    <row r="517" ht="15.75" customHeight="1">
      <c r="B517" s="43"/>
      <c r="C517" s="43"/>
      <c r="D517" s="44"/>
      <c r="E517" s="44"/>
      <c r="F517" s="44"/>
      <c r="G517" s="44"/>
      <c r="H517" s="44"/>
      <c r="I517" s="44"/>
      <c r="J517" s="44"/>
      <c r="K517" s="44"/>
      <c r="L517" s="44"/>
    </row>
    <row r="518" ht="15.75" customHeight="1">
      <c r="B518" s="43"/>
      <c r="C518" s="43"/>
      <c r="D518" s="44"/>
      <c r="E518" s="44"/>
      <c r="F518" s="44"/>
      <c r="G518" s="44"/>
      <c r="H518" s="44"/>
      <c r="I518" s="44"/>
      <c r="J518" s="44"/>
      <c r="K518" s="44"/>
      <c r="L518" s="44"/>
    </row>
    <row r="519" ht="15.75" customHeight="1">
      <c r="B519" s="43"/>
      <c r="C519" s="43"/>
      <c r="D519" s="44"/>
      <c r="E519" s="44"/>
      <c r="F519" s="44"/>
      <c r="G519" s="44"/>
      <c r="H519" s="44"/>
      <c r="I519" s="44"/>
      <c r="J519" s="44"/>
      <c r="K519" s="44"/>
      <c r="L519" s="44"/>
    </row>
    <row r="520" ht="15.75" customHeight="1">
      <c r="B520" s="43"/>
      <c r="C520" s="43"/>
      <c r="D520" s="44"/>
      <c r="E520" s="44"/>
      <c r="F520" s="44"/>
      <c r="G520" s="44"/>
      <c r="H520" s="44"/>
      <c r="I520" s="44"/>
      <c r="J520" s="44"/>
      <c r="K520" s="44"/>
      <c r="L520" s="44"/>
    </row>
    <row r="521" ht="15.75" customHeight="1">
      <c r="B521" s="43"/>
      <c r="C521" s="43"/>
      <c r="D521" s="44"/>
      <c r="E521" s="44"/>
      <c r="F521" s="44"/>
      <c r="G521" s="44"/>
      <c r="H521" s="44"/>
      <c r="I521" s="44"/>
      <c r="J521" s="44"/>
      <c r="K521" s="44"/>
      <c r="L521" s="44"/>
    </row>
    <row r="522" ht="15.75" customHeight="1">
      <c r="B522" s="43"/>
      <c r="C522" s="43"/>
      <c r="D522" s="44"/>
      <c r="E522" s="44"/>
      <c r="F522" s="44"/>
      <c r="G522" s="44"/>
      <c r="H522" s="44"/>
      <c r="I522" s="44"/>
      <c r="J522" s="44"/>
      <c r="K522" s="44"/>
      <c r="L522" s="44"/>
    </row>
    <row r="523" ht="15.75" customHeight="1">
      <c r="B523" s="43"/>
      <c r="C523" s="43"/>
      <c r="D523" s="44"/>
      <c r="E523" s="44"/>
      <c r="F523" s="44"/>
      <c r="G523" s="44"/>
      <c r="H523" s="44"/>
      <c r="I523" s="44"/>
      <c r="J523" s="44"/>
      <c r="K523" s="44"/>
      <c r="L523" s="44"/>
    </row>
    <row r="524" ht="15.75" customHeight="1">
      <c r="B524" s="43"/>
      <c r="C524" s="43"/>
      <c r="D524" s="44"/>
      <c r="E524" s="44"/>
      <c r="F524" s="44"/>
      <c r="G524" s="44"/>
      <c r="H524" s="44"/>
      <c r="I524" s="44"/>
      <c r="J524" s="44"/>
      <c r="K524" s="44"/>
      <c r="L524" s="44"/>
    </row>
    <row r="525" ht="15.75" customHeight="1">
      <c r="B525" s="43"/>
      <c r="C525" s="43"/>
      <c r="D525" s="44"/>
      <c r="E525" s="44"/>
      <c r="F525" s="44"/>
      <c r="G525" s="44"/>
      <c r="H525" s="44"/>
      <c r="I525" s="44"/>
      <c r="J525" s="44"/>
      <c r="K525" s="44"/>
      <c r="L525" s="44"/>
    </row>
    <row r="526" ht="15.75" customHeight="1">
      <c r="B526" s="43"/>
      <c r="C526" s="43"/>
      <c r="D526" s="44"/>
      <c r="E526" s="44"/>
      <c r="F526" s="44"/>
      <c r="G526" s="44"/>
      <c r="H526" s="44"/>
      <c r="I526" s="44"/>
      <c r="J526" s="44"/>
      <c r="K526" s="44"/>
      <c r="L526" s="44"/>
    </row>
    <row r="527" ht="15.75" customHeight="1">
      <c r="B527" s="43"/>
      <c r="C527" s="43"/>
      <c r="D527" s="44"/>
      <c r="E527" s="44"/>
      <c r="F527" s="44"/>
      <c r="G527" s="44"/>
      <c r="H527" s="44"/>
      <c r="I527" s="44"/>
      <c r="J527" s="44"/>
      <c r="K527" s="44"/>
      <c r="L527" s="44"/>
    </row>
    <row r="528" ht="15.75" customHeight="1">
      <c r="B528" s="43"/>
      <c r="C528" s="43"/>
      <c r="D528" s="44"/>
      <c r="E528" s="44"/>
      <c r="F528" s="44"/>
      <c r="G528" s="44"/>
      <c r="H528" s="44"/>
      <c r="I528" s="44"/>
      <c r="J528" s="44"/>
      <c r="K528" s="44"/>
      <c r="L528" s="44"/>
    </row>
    <row r="529" ht="15.75" customHeight="1">
      <c r="B529" s="43"/>
      <c r="C529" s="43"/>
      <c r="D529" s="44"/>
      <c r="E529" s="44"/>
      <c r="F529" s="44"/>
      <c r="G529" s="44"/>
      <c r="H529" s="44"/>
      <c r="I529" s="44"/>
      <c r="J529" s="44"/>
      <c r="K529" s="44"/>
      <c r="L529" s="44"/>
    </row>
    <row r="530" ht="15.75" customHeight="1">
      <c r="B530" s="43"/>
      <c r="C530" s="43"/>
      <c r="D530" s="44"/>
      <c r="E530" s="44"/>
      <c r="F530" s="44"/>
      <c r="G530" s="44"/>
      <c r="H530" s="44"/>
      <c r="I530" s="44"/>
      <c r="J530" s="44"/>
      <c r="K530" s="44"/>
      <c r="L530" s="44"/>
    </row>
    <row r="531" ht="15.75" customHeight="1">
      <c r="B531" s="43"/>
      <c r="C531" s="43"/>
      <c r="D531" s="44"/>
      <c r="E531" s="44"/>
      <c r="F531" s="44"/>
      <c r="G531" s="44"/>
      <c r="H531" s="44"/>
      <c r="I531" s="44"/>
      <c r="J531" s="44"/>
      <c r="K531" s="44"/>
      <c r="L531" s="44"/>
    </row>
    <row r="532" ht="15.75" customHeight="1">
      <c r="B532" s="43"/>
      <c r="C532" s="43"/>
      <c r="D532" s="44"/>
      <c r="E532" s="44"/>
      <c r="F532" s="44"/>
      <c r="G532" s="44"/>
      <c r="H532" s="44"/>
      <c r="I532" s="44"/>
      <c r="J532" s="44"/>
      <c r="K532" s="44"/>
      <c r="L532" s="44"/>
    </row>
    <row r="533" ht="15.75" customHeight="1">
      <c r="B533" s="43"/>
      <c r="C533" s="43"/>
      <c r="D533" s="44"/>
      <c r="E533" s="44"/>
      <c r="F533" s="44"/>
      <c r="G533" s="44"/>
      <c r="H533" s="44"/>
      <c r="I533" s="44"/>
      <c r="J533" s="44"/>
      <c r="K533" s="44"/>
      <c r="L533" s="44"/>
    </row>
    <row r="534" ht="15.75" customHeight="1">
      <c r="B534" s="43"/>
      <c r="C534" s="43"/>
      <c r="D534" s="44"/>
      <c r="E534" s="44"/>
      <c r="F534" s="44"/>
      <c r="G534" s="44"/>
      <c r="H534" s="44"/>
      <c r="I534" s="44"/>
      <c r="J534" s="44"/>
      <c r="K534" s="44"/>
      <c r="L534" s="44"/>
    </row>
    <row r="535" ht="15.75" customHeight="1">
      <c r="B535" s="43"/>
      <c r="C535" s="43"/>
      <c r="D535" s="44"/>
      <c r="E535" s="44"/>
      <c r="F535" s="44"/>
      <c r="G535" s="44"/>
      <c r="H535" s="44"/>
      <c r="I535" s="44"/>
      <c r="J535" s="44"/>
      <c r="K535" s="44"/>
      <c r="L535" s="44"/>
    </row>
    <row r="536" ht="15.75" customHeight="1">
      <c r="B536" s="43"/>
      <c r="C536" s="43"/>
      <c r="D536" s="44"/>
      <c r="E536" s="44"/>
      <c r="F536" s="44"/>
      <c r="G536" s="44"/>
      <c r="H536" s="44"/>
      <c r="I536" s="44"/>
      <c r="J536" s="44"/>
      <c r="K536" s="44"/>
      <c r="L536" s="44"/>
    </row>
    <row r="537" ht="15.75" customHeight="1">
      <c r="B537" s="43"/>
      <c r="C537" s="43"/>
      <c r="D537" s="44"/>
      <c r="E537" s="44"/>
      <c r="F537" s="44"/>
      <c r="G537" s="44"/>
      <c r="H537" s="44"/>
      <c r="I537" s="44"/>
      <c r="J537" s="44"/>
      <c r="K537" s="44"/>
      <c r="L537" s="44"/>
    </row>
    <row r="538" ht="15.75" customHeight="1">
      <c r="B538" s="43"/>
      <c r="C538" s="43"/>
      <c r="D538" s="44"/>
      <c r="E538" s="44"/>
      <c r="F538" s="44"/>
      <c r="G538" s="44"/>
      <c r="H538" s="44"/>
      <c r="I538" s="44"/>
      <c r="J538" s="44"/>
      <c r="K538" s="44"/>
      <c r="L538" s="44"/>
    </row>
    <row r="539" ht="15.75" customHeight="1">
      <c r="B539" s="43"/>
      <c r="C539" s="43"/>
      <c r="D539" s="44"/>
      <c r="E539" s="44"/>
      <c r="F539" s="44"/>
      <c r="G539" s="44"/>
      <c r="H539" s="44"/>
      <c r="I539" s="44"/>
      <c r="J539" s="44"/>
      <c r="K539" s="44"/>
      <c r="L539" s="44"/>
    </row>
    <row r="540" ht="15.75" customHeight="1">
      <c r="B540" s="43"/>
      <c r="C540" s="43"/>
      <c r="D540" s="44"/>
      <c r="E540" s="44"/>
      <c r="F540" s="44"/>
      <c r="G540" s="44"/>
      <c r="H540" s="44"/>
      <c r="I540" s="44"/>
      <c r="J540" s="44"/>
      <c r="K540" s="44"/>
      <c r="L540" s="44"/>
    </row>
    <row r="541" ht="15.75" customHeight="1">
      <c r="B541" s="43"/>
      <c r="C541" s="43"/>
      <c r="D541" s="44"/>
      <c r="E541" s="44"/>
      <c r="F541" s="44"/>
      <c r="G541" s="44"/>
      <c r="H541" s="44"/>
      <c r="I541" s="44"/>
      <c r="J541" s="44"/>
      <c r="K541" s="44"/>
      <c r="L541" s="44"/>
    </row>
    <row r="542" ht="15.75" customHeight="1">
      <c r="B542" s="43"/>
      <c r="C542" s="43"/>
      <c r="D542" s="44"/>
      <c r="E542" s="44"/>
      <c r="F542" s="44"/>
      <c r="G542" s="44"/>
      <c r="H542" s="44"/>
      <c r="I542" s="44"/>
      <c r="J542" s="44"/>
      <c r="K542" s="44"/>
      <c r="L542" s="44"/>
    </row>
    <row r="543" ht="15.75" customHeight="1">
      <c r="B543" s="43"/>
      <c r="C543" s="43"/>
      <c r="D543" s="44"/>
      <c r="E543" s="44"/>
      <c r="F543" s="44"/>
      <c r="G543" s="44"/>
      <c r="H543" s="44"/>
      <c r="I543" s="44"/>
      <c r="J543" s="44"/>
      <c r="K543" s="44"/>
      <c r="L543" s="44"/>
    </row>
    <row r="544" ht="15.75" customHeight="1">
      <c r="B544" s="43"/>
      <c r="C544" s="43"/>
      <c r="D544" s="44"/>
      <c r="E544" s="44"/>
      <c r="F544" s="44"/>
      <c r="G544" s="44"/>
      <c r="H544" s="44"/>
      <c r="I544" s="44"/>
      <c r="J544" s="44"/>
      <c r="K544" s="44"/>
      <c r="L544" s="44"/>
    </row>
    <row r="545" ht="15.75" customHeight="1">
      <c r="B545" s="43"/>
      <c r="C545" s="43"/>
      <c r="D545" s="44"/>
      <c r="E545" s="44"/>
      <c r="F545" s="44"/>
      <c r="G545" s="44"/>
      <c r="H545" s="44"/>
      <c r="I545" s="44"/>
      <c r="J545" s="44"/>
      <c r="K545" s="44"/>
      <c r="L545" s="44"/>
    </row>
    <row r="546" ht="15.75" customHeight="1">
      <c r="B546" s="43"/>
      <c r="C546" s="43"/>
      <c r="D546" s="44"/>
      <c r="E546" s="44"/>
      <c r="F546" s="44"/>
      <c r="G546" s="44"/>
      <c r="H546" s="44"/>
      <c r="I546" s="44"/>
      <c r="J546" s="44"/>
      <c r="K546" s="44"/>
      <c r="L546" s="44"/>
    </row>
    <row r="547" ht="15.75" customHeight="1">
      <c r="B547" s="43"/>
      <c r="C547" s="43"/>
      <c r="D547" s="44"/>
      <c r="E547" s="44"/>
      <c r="F547" s="44"/>
      <c r="G547" s="44"/>
      <c r="H547" s="44"/>
      <c r="I547" s="44"/>
      <c r="J547" s="44"/>
      <c r="K547" s="44"/>
      <c r="L547" s="44"/>
    </row>
    <row r="548" ht="15.75" customHeight="1">
      <c r="B548" s="43"/>
      <c r="C548" s="43"/>
      <c r="D548" s="44"/>
      <c r="E548" s="44"/>
      <c r="F548" s="44"/>
      <c r="G548" s="44"/>
      <c r="H548" s="44"/>
      <c r="I548" s="44"/>
      <c r="J548" s="44"/>
      <c r="K548" s="44"/>
      <c r="L548" s="44"/>
    </row>
    <row r="549" ht="15.75" customHeight="1">
      <c r="B549" s="43"/>
      <c r="C549" s="43"/>
      <c r="D549" s="44"/>
      <c r="E549" s="44"/>
      <c r="F549" s="44"/>
      <c r="G549" s="44"/>
      <c r="H549" s="44"/>
      <c r="I549" s="44"/>
      <c r="J549" s="44"/>
      <c r="K549" s="44"/>
      <c r="L549" s="44"/>
    </row>
    <row r="550" ht="15.75" customHeight="1">
      <c r="B550" s="43"/>
      <c r="C550" s="43"/>
      <c r="D550" s="44"/>
      <c r="E550" s="44"/>
      <c r="F550" s="44"/>
      <c r="G550" s="44"/>
      <c r="H550" s="44"/>
      <c r="I550" s="44"/>
      <c r="J550" s="44"/>
      <c r="K550" s="44"/>
      <c r="L550" s="44"/>
    </row>
    <row r="551" ht="15.75" customHeight="1">
      <c r="B551" s="43"/>
      <c r="C551" s="43"/>
      <c r="D551" s="44"/>
      <c r="E551" s="44"/>
      <c r="F551" s="44"/>
      <c r="G551" s="44"/>
      <c r="H551" s="44"/>
      <c r="I551" s="44"/>
      <c r="J551" s="44"/>
      <c r="K551" s="44"/>
      <c r="L551" s="44"/>
    </row>
    <row r="552" ht="15.75" customHeight="1">
      <c r="B552" s="43"/>
      <c r="C552" s="43"/>
      <c r="D552" s="44"/>
      <c r="E552" s="44"/>
      <c r="F552" s="44"/>
      <c r="G552" s="44"/>
      <c r="H552" s="44"/>
      <c r="I552" s="44"/>
      <c r="J552" s="44"/>
      <c r="K552" s="44"/>
      <c r="L552" s="44"/>
    </row>
    <row r="553" ht="15.75" customHeight="1">
      <c r="B553" s="43"/>
      <c r="C553" s="43"/>
      <c r="D553" s="44"/>
      <c r="E553" s="44"/>
      <c r="F553" s="44"/>
      <c r="G553" s="44"/>
      <c r="H553" s="44"/>
      <c r="I553" s="44"/>
      <c r="J553" s="44"/>
      <c r="K553" s="44"/>
      <c r="L553" s="44"/>
    </row>
    <row r="554" ht="15.75" customHeight="1">
      <c r="B554" s="43"/>
      <c r="C554" s="43"/>
      <c r="D554" s="44"/>
      <c r="E554" s="44"/>
      <c r="F554" s="44"/>
      <c r="G554" s="44"/>
      <c r="H554" s="44"/>
      <c r="I554" s="44"/>
      <c r="J554" s="44"/>
      <c r="K554" s="44"/>
      <c r="L554" s="44"/>
    </row>
    <row r="555" ht="15.75" customHeight="1">
      <c r="B555" s="43"/>
      <c r="C555" s="43"/>
      <c r="D555" s="44"/>
      <c r="E555" s="44"/>
      <c r="F555" s="44"/>
      <c r="G555" s="44"/>
      <c r="H555" s="44"/>
      <c r="I555" s="44"/>
      <c r="J555" s="44"/>
      <c r="K555" s="44"/>
      <c r="L555" s="44"/>
    </row>
    <row r="556" ht="15.75" customHeight="1">
      <c r="B556" s="43"/>
      <c r="C556" s="43"/>
      <c r="D556" s="44"/>
      <c r="E556" s="44"/>
      <c r="F556" s="44"/>
      <c r="G556" s="44"/>
      <c r="H556" s="44"/>
      <c r="I556" s="44"/>
      <c r="J556" s="44"/>
      <c r="K556" s="44"/>
      <c r="L556" s="44"/>
    </row>
    <row r="557" ht="15.75" customHeight="1">
      <c r="B557" s="43"/>
      <c r="C557" s="43"/>
      <c r="D557" s="44"/>
      <c r="E557" s="44"/>
      <c r="F557" s="44"/>
      <c r="G557" s="44"/>
      <c r="H557" s="44"/>
      <c r="I557" s="44"/>
      <c r="J557" s="44"/>
      <c r="K557" s="44"/>
      <c r="L557" s="44"/>
    </row>
    <row r="558" ht="15.75" customHeight="1">
      <c r="B558" s="43"/>
      <c r="C558" s="43"/>
      <c r="D558" s="44"/>
      <c r="E558" s="44"/>
      <c r="F558" s="44"/>
      <c r="G558" s="44"/>
      <c r="H558" s="44"/>
      <c r="I558" s="44"/>
      <c r="J558" s="44"/>
      <c r="K558" s="44"/>
      <c r="L558" s="44"/>
    </row>
    <row r="559" ht="15.75" customHeight="1">
      <c r="B559" s="43"/>
      <c r="C559" s="43"/>
      <c r="D559" s="44"/>
      <c r="E559" s="44"/>
      <c r="F559" s="44"/>
      <c r="G559" s="44"/>
      <c r="H559" s="44"/>
      <c r="I559" s="44"/>
      <c r="J559" s="44"/>
      <c r="K559" s="44"/>
      <c r="L559" s="44"/>
    </row>
    <row r="560" ht="15.75" customHeight="1">
      <c r="B560" s="43"/>
      <c r="C560" s="43"/>
      <c r="D560" s="44"/>
      <c r="E560" s="44"/>
      <c r="F560" s="44"/>
      <c r="G560" s="44"/>
      <c r="H560" s="44"/>
      <c r="I560" s="44"/>
      <c r="J560" s="44"/>
      <c r="K560" s="44"/>
      <c r="L560" s="44"/>
    </row>
    <row r="561" ht="15.75" customHeight="1">
      <c r="B561" s="43"/>
      <c r="C561" s="43"/>
      <c r="D561" s="44"/>
      <c r="E561" s="44"/>
      <c r="F561" s="44"/>
      <c r="G561" s="44"/>
      <c r="H561" s="44"/>
      <c r="I561" s="44"/>
      <c r="J561" s="44"/>
      <c r="K561" s="44"/>
      <c r="L561" s="44"/>
    </row>
    <row r="562" ht="15.75" customHeight="1">
      <c r="B562" s="43"/>
      <c r="C562" s="43"/>
      <c r="D562" s="44"/>
      <c r="E562" s="44"/>
      <c r="F562" s="44"/>
      <c r="G562" s="44"/>
      <c r="H562" s="44"/>
      <c r="I562" s="44"/>
      <c r="J562" s="44"/>
      <c r="K562" s="44"/>
      <c r="L562" s="44"/>
    </row>
    <row r="563" ht="15.75" customHeight="1">
      <c r="B563" s="43"/>
      <c r="C563" s="43"/>
      <c r="D563" s="44"/>
      <c r="E563" s="44"/>
      <c r="F563" s="44"/>
      <c r="G563" s="44"/>
      <c r="H563" s="44"/>
      <c r="I563" s="44"/>
      <c r="J563" s="44"/>
      <c r="K563" s="44"/>
      <c r="L563" s="44"/>
    </row>
    <row r="564" ht="15.75" customHeight="1">
      <c r="B564" s="43"/>
      <c r="C564" s="43"/>
      <c r="D564" s="44"/>
      <c r="E564" s="44"/>
      <c r="F564" s="44"/>
      <c r="G564" s="44"/>
      <c r="H564" s="44"/>
      <c r="I564" s="44"/>
      <c r="J564" s="44"/>
      <c r="K564" s="44"/>
      <c r="L564" s="44"/>
    </row>
    <row r="565" ht="15.75" customHeight="1">
      <c r="B565" s="43"/>
      <c r="C565" s="43"/>
      <c r="D565" s="44"/>
      <c r="E565" s="44"/>
      <c r="F565" s="44"/>
      <c r="G565" s="44"/>
      <c r="H565" s="44"/>
      <c r="I565" s="44"/>
      <c r="J565" s="44"/>
      <c r="K565" s="44"/>
      <c r="L565" s="44"/>
    </row>
    <row r="566" ht="15.75" customHeight="1">
      <c r="B566" s="43"/>
      <c r="C566" s="43"/>
      <c r="D566" s="44"/>
      <c r="E566" s="44"/>
      <c r="F566" s="44"/>
      <c r="G566" s="44"/>
      <c r="H566" s="44"/>
      <c r="I566" s="44"/>
      <c r="J566" s="44"/>
      <c r="K566" s="44"/>
      <c r="L566" s="44"/>
    </row>
    <row r="567" ht="15.75" customHeight="1">
      <c r="B567" s="43"/>
      <c r="C567" s="43"/>
      <c r="D567" s="44"/>
      <c r="E567" s="44"/>
      <c r="F567" s="44"/>
      <c r="G567" s="44"/>
      <c r="H567" s="44"/>
      <c r="I567" s="44"/>
      <c r="J567" s="44"/>
      <c r="K567" s="44"/>
      <c r="L567" s="44"/>
    </row>
    <row r="568" ht="15.75" customHeight="1">
      <c r="B568" s="43"/>
      <c r="C568" s="43"/>
      <c r="D568" s="44"/>
      <c r="E568" s="44"/>
      <c r="F568" s="44"/>
      <c r="G568" s="44"/>
      <c r="H568" s="44"/>
      <c r="I568" s="44"/>
      <c r="J568" s="44"/>
      <c r="K568" s="44"/>
      <c r="L568" s="44"/>
    </row>
    <row r="569" ht="15.75" customHeight="1">
      <c r="B569" s="43"/>
      <c r="C569" s="43"/>
      <c r="D569" s="44"/>
      <c r="E569" s="44"/>
      <c r="F569" s="44"/>
      <c r="G569" s="44"/>
      <c r="H569" s="44"/>
      <c r="I569" s="44"/>
      <c r="J569" s="44"/>
      <c r="K569" s="44"/>
      <c r="L569" s="44"/>
    </row>
    <row r="570" ht="15.75" customHeight="1">
      <c r="B570" s="43"/>
      <c r="C570" s="43"/>
      <c r="D570" s="44"/>
      <c r="E570" s="44"/>
      <c r="F570" s="44"/>
      <c r="G570" s="44"/>
      <c r="H570" s="44"/>
      <c r="I570" s="44"/>
      <c r="J570" s="44"/>
      <c r="K570" s="44"/>
      <c r="L570" s="44"/>
    </row>
    <row r="571" ht="15.75" customHeight="1">
      <c r="B571" s="43"/>
      <c r="C571" s="43"/>
      <c r="D571" s="44"/>
      <c r="E571" s="44"/>
      <c r="F571" s="44"/>
      <c r="G571" s="44"/>
      <c r="H571" s="44"/>
      <c r="I571" s="44"/>
      <c r="J571" s="44"/>
      <c r="K571" s="44"/>
      <c r="L571" s="44"/>
    </row>
    <row r="572" ht="15.75" customHeight="1">
      <c r="B572" s="43"/>
      <c r="C572" s="43"/>
      <c r="D572" s="44"/>
      <c r="E572" s="44"/>
      <c r="F572" s="44"/>
      <c r="G572" s="44"/>
      <c r="H572" s="44"/>
      <c r="I572" s="44"/>
      <c r="J572" s="44"/>
      <c r="K572" s="44"/>
      <c r="L572" s="44"/>
    </row>
    <row r="573" ht="15.75" customHeight="1">
      <c r="B573" s="43"/>
      <c r="C573" s="43"/>
      <c r="D573" s="44"/>
      <c r="E573" s="44"/>
      <c r="F573" s="44"/>
      <c r="G573" s="44"/>
      <c r="H573" s="44"/>
      <c r="I573" s="44"/>
      <c r="J573" s="44"/>
      <c r="K573" s="44"/>
      <c r="L573" s="44"/>
    </row>
    <row r="574" ht="15.75" customHeight="1">
      <c r="B574" s="43"/>
      <c r="C574" s="43"/>
      <c r="D574" s="44"/>
      <c r="E574" s="44"/>
      <c r="F574" s="44"/>
      <c r="G574" s="44"/>
      <c r="H574" s="44"/>
      <c r="I574" s="44"/>
      <c r="J574" s="44"/>
      <c r="K574" s="44"/>
      <c r="L574" s="44"/>
    </row>
    <row r="575" ht="15.75" customHeight="1">
      <c r="B575" s="43"/>
      <c r="C575" s="43"/>
      <c r="D575" s="44"/>
      <c r="E575" s="44"/>
      <c r="F575" s="44"/>
      <c r="G575" s="44"/>
      <c r="H575" s="44"/>
      <c r="I575" s="44"/>
      <c r="J575" s="44"/>
      <c r="K575" s="44"/>
      <c r="L575" s="44"/>
    </row>
    <row r="576" ht="15.75" customHeight="1">
      <c r="B576" s="43"/>
      <c r="C576" s="43"/>
      <c r="D576" s="44"/>
      <c r="E576" s="44"/>
      <c r="F576" s="44"/>
      <c r="G576" s="44"/>
      <c r="H576" s="44"/>
      <c r="I576" s="44"/>
      <c r="J576" s="44"/>
      <c r="K576" s="44"/>
      <c r="L576" s="44"/>
    </row>
    <row r="577" ht="15.75" customHeight="1">
      <c r="B577" s="43"/>
      <c r="C577" s="43"/>
      <c r="D577" s="44"/>
      <c r="E577" s="44"/>
      <c r="F577" s="44"/>
      <c r="G577" s="44"/>
      <c r="H577" s="44"/>
      <c r="I577" s="44"/>
      <c r="J577" s="44"/>
      <c r="K577" s="44"/>
      <c r="L577" s="44"/>
    </row>
    <row r="578" ht="15.75" customHeight="1">
      <c r="B578" s="43"/>
      <c r="C578" s="43"/>
      <c r="D578" s="44"/>
      <c r="E578" s="44"/>
      <c r="F578" s="44"/>
      <c r="G578" s="44"/>
      <c r="H578" s="44"/>
      <c r="I578" s="44"/>
      <c r="J578" s="44"/>
      <c r="K578" s="44"/>
      <c r="L578" s="44"/>
    </row>
    <row r="579" ht="15.75" customHeight="1">
      <c r="B579" s="43"/>
      <c r="C579" s="43"/>
      <c r="D579" s="44"/>
      <c r="E579" s="44"/>
      <c r="F579" s="44"/>
      <c r="G579" s="44"/>
      <c r="H579" s="44"/>
      <c r="I579" s="44"/>
      <c r="J579" s="44"/>
      <c r="K579" s="44"/>
      <c r="L579" s="44"/>
    </row>
    <row r="580" ht="15.75" customHeight="1">
      <c r="B580" s="43"/>
      <c r="C580" s="43"/>
      <c r="D580" s="44"/>
      <c r="E580" s="44"/>
      <c r="F580" s="44"/>
      <c r="G580" s="44"/>
      <c r="H580" s="44"/>
      <c r="I580" s="44"/>
      <c r="J580" s="44"/>
      <c r="K580" s="44"/>
      <c r="L580" s="44"/>
    </row>
    <row r="581" ht="15.75" customHeight="1">
      <c r="B581" s="43"/>
      <c r="C581" s="43"/>
      <c r="D581" s="44"/>
      <c r="E581" s="44"/>
      <c r="F581" s="44"/>
      <c r="G581" s="44"/>
      <c r="H581" s="44"/>
      <c r="I581" s="44"/>
      <c r="J581" s="44"/>
      <c r="K581" s="44"/>
      <c r="L581" s="44"/>
    </row>
    <row r="582" ht="15.75" customHeight="1">
      <c r="B582" s="43"/>
      <c r="C582" s="43"/>
      <c r="D582" s="44"/>
      <c r="E582" s="44"/>
      <c r="F582" s="44"/>
      <c r="G582" s="44"/>
      <c r="H582" s="44"/>
      <c r="I582" s="44"/>
      <c r="J582" s="44"/>
      <c r="K582" s="44"/>
      <c r="L582" s="44"/>
    </row>
    <row r="583" ht="15.75" customHeight="1">
      <c r="B583" s="43"/>
      <c r="C583" s="43"/>
      <c r="D583" s="44"/>
      <c r="E583" s="44"/>
      <c r="F583" s="44"/>
      <c r="G583" s="44"/>
      <c r="H583" s="44"/>
      <c r="I583" s="44"/>
      <c r="J583" s="44"/>
      <c r="K583" s="44"/>
      <c r="L583" s="44"/>
    </row>
    <row r="584" ht="15.75" customHeight="1">
      <c r="B584" s="43"/>
      <c r="C584" s="43"/>
      <c r="D584" s="44"/>
      <c r="E584" s="44"/>
      <c r="F584" s="44"/>
      <c r="G584" s="44"/>
      <c r="H584" s="44"/>
      <c r="I584" s="44"/>
      <c r="J584" s="44"/>
      <c r="K584" s="44"/>
      <c r="L584" s="44"/>
    </row>
    <row r="585" ht="15.75" customHeight="1">
      <c r="B585" s="43"/>
      <c r="C585" s="43"/>
      <c r="D585" s="44"/>
      <c r="E585" s="44"/>
      <c r="F585" s="44"/>
      <c r="G585" s="44"/>
      <c r="H585" s="44"/>
      <c r="I585" s="44"/>
      <c r="J585" s="44"/>
      <c r="K585" s="44"/>
      <c r="L585" s="44"/>
    </row>
    <row r="586" ht="15.75" customHeight="1">
      <c r="B586" s="43"/>
      <c r="C586" s="43"/>
      <c r="D586" s="44"/>
      <c r="E586" s="44"/>
      <c r="F586" s="44"/>
      <c r="G586" s="44"/>
      <c r="H586" s="44"/>
      <c r="I586" s="44"/>
      <c r="J586" s="44"/>
      <c r="K586" s="44"/>
      <c r="L586" s="44"/>
    </row>
    <row r="587" ht="15.75" customHeight="1">
      <c r="B587" s="43"/>
      <c r="C587" s="43"/>
      <c r="D587" s="44"/>
      <c r="E587" s="44"/>
      <c r="F587" s="44"/>
      <c r="G587" s="44"/>
      <c r="H587" s="44"/>
      <c r="I587" s="44"/>
      <c r="J587" s="44"/>
      <c r="K587" s="44"/>
      <c r="L587" s="44"/>
    </row>
    <row r="588" ht="15.75" customHeight="1">
      <c r="B588" s="43"/>
      <c r="C588" s="43"/>
      <c r="D588" s="44"/>
      <c r="E588" s="44"/>
      <c r="F588" s="44"/>
      <c r="G588" s="44"/>
      <c r="H588" s="44"/>
      <c r="I588" s="44"/>
      <c r="J588" s="44"/>
      <c r="K588" s="44"/>
      <c r="L588" s="44"/>
    </row>
    <row r="589" ht="15.75" customHeight="1">
      <c r="B589" s="43"/>
      <c r="C589" s="43"/>
      <c r="D589" s="44"/>
      <c r="E589" s="44"/>
      <c r="F589" s="44"/>
      <c r="G589" s="44"/>
      <c r="H589" s="44"/>
      <c r="I589" s="44"/>
      <c r="J589" s="44"/>
      <c r="K589" s="44"/>
      <c r="L589" s="44"/>
    </row>
    <row r="590" ht="15.75" customHeight="1">
      <c r="B590" s="43"/>
      <c r="C590" s="43"/>
      <c r="D590" s="44"/>
      <c r="E590" s="44"/>
      <c r="F590" s="44"/>
      <c r="G590" s="44"/>
      <c r="H590" s="44"/>
      <c r="I590" s="44"/>
      <c r="J590" s="44"/>
      <c r="K590" s="44"/>
      <c r="L590" s="44"/>
    </row>
    <row r="591" ht="15.75" customHeight="1">
      <c r="B591" s="43"/>
      <c r="C591" s="43"/>
      <c r="D591" s="44"/>
      <c r="E591" s="44"/>
      <c r="F591" s="44"/>
      <c r="G591" s="44"/>
      <c r="H591" s="44"/>
      <c r="I591" s="44"/>
      <c r="J591" s="44"/>
      <c r="K591" s="44"/>
      <c r="L591" s="44"/>
    </row>
    <row r="592" ht="15.75" customHeight="1">
      <c r="B592" s="43"/>
      <c r="C592" s="43"/>
      <c r="D592" s="44"/>
      <c r="E592" s="44"/>
      <c r="F592" s="44"/>
      <c r="G592" s="44"/>
      <c r="H592" s="44"/>
      <c r="I592" s="44"/>
      <c r="J592" s="44"/>
      <c r="K592" s="44"/>
      <c r="L592" s="44"/>
    </row>
    <row r="593" ht="15.75" customHeight="1">
      <c r="B593" s="43"/>
      <c r="C593" s="43"/>
      <c r="D593" s="44"/>
      <c r="E593" s="44"/>
      <c r="F593" s="44"/>
      <c r="G593" s="44"/>
      <c r="H593" s="44"/>
      <c r="I593" s="44"/>
      <c r="J593" s="44"/>
      <c r="K593" s="44"/>
      <c r="L593" s="44"/>
    </row>
    <row r="594" ht="15.75" customHeight="1">
      <c r="B594" s="43"/>
      <c r="C594" s="43"/>
      <c r="D594" s="44"/>
      <c r="E594" s="44"/>
      <c r="F594" s="44"/>
      <c r="G594" s="44"/>
      <c r="H594" s="44"/>
      <c r="I594" s="44"/>
      <c r="J594" s="44"/>
      <c r="K594" s="44"/>
      <c r="L594" s="44"/>
    </row>
    <row r="595" ht="15.75" customHeight="1">
      <c r="B595" s="43"/>
      <c r="C595" s="43"/>
      <c r="D595" s="44"/>
      <c r="E595" s="44"/>
      <c r="F595" s="44"/>
      <c r="G595" s="44"/>
      <c r="H595" s="44"/>
      <c r="I595" s="44"/>
      <c r="J595" s="44"/>
      <c r="K595" s="44"/>
      <c r="L595" s="44"/>
    </row>
    <row r="596" ht="15.75" customHeight="1">
      <c r="B596" s="43"/>
      <c r="C596" s="43"/>
      <c r="D596" s="44"/>
      <c r="E596" s="44"/>
      <c r="F596" s="44"/>
      <c r="G596" s="44"/>
      <c r="H596" s="44"/>
      <c r="I596" s="44"/>
      <c r="J596" s="44"/>
      <c r="K596" s="44"/>
      <c r="L596" s="44"/>
    </row>
    <row r="597" ht="15.75" customHeight="1">
      <c r="B597" s="43"/>
      <c r="C597" s="43"/>
      <c r="D597" s="44"/>
      <c r="E597" s="44"/>
      <c r="F597" s="44"/>
      <c r="G597" s="44"/>
      <c r="H597" s="44"/>
      <c r="I597" s="44"/>
      <c r="J597" s="44"/>
      <c r="K597" s="44"/>
      <c r="L597" s="44"/>
    </row>
    <row r="598" ht="15.75" customHeight="1">
      <c r="B598" s="43"/>
      <c r="C598" s="43"/>
      <c r="D598" s="44"/>
      <c r="E598" s="44"/>
      <c r="F598" s="44"/>
      <c r="G598" s="44"/>
      <c r="H598" s="44"/>
      <c r="I598" s="44"/>
      <c r="J598" s="44"/>
      <c r="K598" s="44"/>
      <c r="L598" s="44"/>
    </row>
    <row r="599" ht="15.75" customHeight="1">
      <c r="B599" s="43"/>
      <c r="C599" s="43"/>
      <c r="D599" s="44"/>
      <c r="E599" s="44"/>
      <c r="F599" s="44"/>
      <c r="G599" s="44"/>
      <c r="H599" s="44"/>
      <c r="I599" s="44"/>
      <c r="J599" s="44"/>
      <c r="K599" s="44"/>
      <c r="L599" s="44"/>
    </row>
    <row r="600" ht="15.75" customHeight="1">
      <c r="B600" s="43"/>
      <c r="C600" s="43"/>
      <c r="D600" s="44"/>
      <c r="E600" s="44"/>
      <c r="F600" s="44"/>
      <c r="G600" s="44"/>
      <c r="H600" s="44"/>
      <c r="I600" s="44"/>
      <c r="J600" s="44"/>
      <c r="K600" s="44"/>
      <c r="L600" s="44"/>
    </row>
    <row r="601" ht="15.75" customHeight="1">
      <c r="B601" s="43"/>
      <c r="C601" s="43"/>
      <c r="D601" s="44"/>
      <c r="E601" s="44"/>
      <c r="F601" s="44"/>
      <c r="G601" s="44"/>
      <c r="H601" s="44"/>
      <c r="I601" s="44"/>
      <c r="J601" s="44"/>
      <c r="K601" s="44"/>
      <c r="L601" s="44"/>
    </row>
    <row r="602" ht="15.75" customHeight="1">
      <c r="B602" s="43"/>
      <c r="C602" s="43"/>
      <c r="D602" s="44"/>
      <c r="E602" s="44"/>
      <c r="F602" s="44"/>
      <c r="G602" s="44"/>
      <c r="H602" s="44"/>
      <c r="I602" s="44"/>
      <c r="J602" s="44"/>
      <c r="K602" s="44"/>
      <c r="L602" s="44"/>
    </row>
    <row r="603" ht="15.75" customHeight="1">
      <c r="B603" s="43"/>
      <c r="C603" s="43"/>
      <c r="D603" s="44"/>
      <c r="E603" s="44"/>
      <c r="F603" s="44"/>
      <c r="G603" s="44"/>
      <c r="H603" s="44"/>
      <c r="I603" s="44"/>
      <c r="J603" s="44"/>
      <c r="K603" s="44"/>
      <c r="L603" s="44"/>
    </row>
    <row r="604" ht="15.75" customHeight="1">
      <c r="B604" s="43"/>
      <c r="C604" s="43"/>
      <c r="D604" s="44"/>
      <c r="E604" s="44"/>
      <c r="F604" s="44"/>
      <c r="G604" s="44"/>
      <c r="H604" s="44"/>
      <c r="I604" s="44"/>
      <c r="J604" s="44"/>
      <c r="K604" s="44"/>
      <c r="L604" s="44"/>
    </row>
    <row r="605" ht="15.75" customHeight="1">
      <c r="B605" s="43"/>
      <c r="C605" s="43"/>
      <c r="D605" s="44"/>
      <c r="E605" s="44"/>
      <c r="F605" s="44"/>
      <c r="G605" s="44"/>
      <c r="H605" s="44"/>
      <c r="I605" s="44"/>
      <c r="J605" s="44"/>
      <c r="K605" s="44"/>
      <c r="L605" s="44"/>
    </row>
    <row r="606" ht="15.75" customHeight="1">
      <c r="B606" s="43"/>
      <c r="C606" s="43"/>
      <c r="D606" s="44"/>
      <c r="E606" s="44"/>
      <c r="F606" s="44"/>
      <c r="G606" s="44"/>
      <c r="H606" s="44"/>
      <c r="I606" s="44"/>
      <c r="J606" s="44"/>
      <c r="K606" s="44"/>
      <c r="L606" s="44"/>
    </row>
    <row r="607" ht="15.75" customHeight="1">
      <c r="B607" s="43"/>
      <c r="C607" s="43"/>
      <c r="D607" s="44"/>
      <c r="E607" s="44"/>
      <c r="F607" s="44"/>
      <c r="G607" s="44"/>
      <c r="H607" s="44"/>
      <c r="I607" s="44"/>
      <c r="J607" s="44"/>
      <c r="K607" s="44"/>
      <c r="L607" s="44"/>
    </row>
    <row r="608" ht="15.75" customHeight="1">
      <c r="B608" s="43"/>
      <c r="C608" s="43"/>
      <c r="D608" s="44"/>
      <c r="E608" s="44"/>
      <c r="F608" s="44"/>
      <c r="G608" s="44"/>
      <c r="H608" s="44"/>
      <c r="I608" s="44"/>
      <c r="J608" s="44"/>
      <c r="K608" s="44"/>
      <c r="L608" s="44"/>
    </row>
    <row r="609" ht="15.75" customHeight="1">
      <c r="B609" s="43"/>
      <c r="C609" s="43"/>
      <c r="D609" s="44"/>
      <c r="E609" s="44"/>
      <c r="F609" s="44"/>
      <c r="G609" s="44"/>
      <c r="H609" s="44"/>
      <c r="I609" s="44"/>
      <c r="J609" s="44"/>
      <c r="K609" s="44"/>
      <c r="L609" s="44"/>
    </row>
    <row r="610" ht="15.75" customHeight="1">
      <c r="B610" s="43"/>
      <c r="C610" s="43"/>
      <c r="D610" s="44"/>
      <c r="E610" s="44"/>
      <c r="F610" s="44"/>
      <c r="G610" s="44"/>
      <c r="H610" s="44"/>
      <c r="I610" s="44"/>
      <c r="J610" s="44"/>
      <c r="K610" s="44"/>
      <c r="L610" s="44"/>
    </row>
    <row r="611" ht="15.75" customHeight="1">
      <c r="B611" s="43"/>
      <c r="C611" s="43"/>
      <c r="D611" s="44"/>
      <c r="E611" s="44"/>
      <c r="F611" s="44"/>
      <c r="G611" s="44"/>
      <c r="H611" s="44"/>
      <c r="I611" s="44"/>
      <c r="J611" s="44"/>
      <c r="K611" s="44"/>
      <c r="L611" s="44"/>
    </row>
    <row r="612" ht="15.75" customHeight="1">
      <c r="B612" s="43"/>
      <c r="C612" s="43"/>
      <c r="D612" s="44"/>
      <c r="E612" s="44"/>
      <c r="F612" s="44"/>
      <c r="G612" s="44"/>
      <c r="H612" s="44"/>
      <c r="I612" s="44"/>
      <c r="J612" s="44"/>
      <c r="K612" s="44"/>
      <c r="L612" s="44"/>
    </row>
    <row r="613" ht="15.75" customHeight="1">
      <c r="B613" s="43"/>
      <c r="C613" s="43"/>
      <c r="D613" s="44"/>
      <c r="E613" s="44"/>
      <c r="F613" s="44"/>
      <c r="G613" s="44"/>
      <c r="H613" s="44"/>
      <c r="I613" s="44"/>
      <c r="J613" s="44"/>
      <c r="K613" s="44"/>
      <c r="L613" s="44"/>
    </row>
    <row r="614" ht="15.75" customHeight="1">
      <c r="B614" s="43"/>
      <c r="C614" s="43"/>
      <c r="D614" s="44"/>
      <c r="E614" s="44"/>
      <c r="F614" s="44"/>
      <c r="G614" s="44"/>
      <c r="H614" s="44"/>
      <c r="I614" s="44"/>
      <c r="J614" s="44"/>
      <c r="K614" s="44"/>
      <c r="L614" s="44"/>
    </row>
    <row r="615" ht="15.75" customHeight="1">
      <c r="B615" s="43"/>
      <c r="C615" s="43"/>
      <c r="D615" s="44"/>
      <c r="E615" s="44"/>
      <c r="F615" s="44"/>
      <c r="G615" s="44"/>
      <c r="H615" s="44"/>
      <c r="I615" s="44"/>
      <c r="J615" s="44"/>
      <c r="K615" s="44"/>
      <c r="L615" s="44"/>
    </row>
    <row r="616" ht="15.75" customHeight="1">
      <c r="B616" s="43"/>
      <c r="C616" s="43"/>
      <c r="D616" s="44"/>
      <c r="E616" s="44"/>
      <c r="F616" s="44"/>
      <c r="G616" s="44"/>
      <c r="H616" s="44"/>
      <c r="I616" s="44"/>
      <c r="J616" s="44"/>
      <c r="K616" s="44"/>
      <c r="L616" s="44"/>
    </row>
    <row r="617" ht="15.75" customHeight="1">
      <c r="B617" s="43"/>
      <c r="C617" s="43"/>
      <c r="D617" s="44"/>
      <c r="E617" s="44"/>
      <c r="F617" s="44"/>
      <c r="G617" s="44"/>
      <c r="H617" s="44"/>
      <c r="I617" s="44"/>
      <c r="J617" s="44"/>
      <c r="K617" s="44"/>
      <c r="L617" s="44"/>
    </row>
    <row r="618" ht="15.75" customHeight="1">
      <c r="B618" s="43"/>
      <c r="C618" s="43"/>
      <c r="D618" s="44"/>
      <c r="E618" s="44"/>
      <c r="F618" s="44"/>
      <c r="G618" s="44"/>
      <c r="H618" s="44"/>
      <c r="I618" s="44"/>
      <c r="J618" s="44"/>
      <c r="K618" s="44"/>
      <c r="L618" s="44"/>
    </row>
    <row r="619" ht="15.75" customHeight="1">
      <c r="B619" s="43"/>
      <c r="C619" s="43"/>
      <c r="D619" s="44"/>
      <c r="E619" s="44"/>
      <c r="F619" s="44"/>
      <c r="G619" s="44"/>
      <c r="H619" s="44"/>
      <c r="I619" s="44"/>
      <c r="J619" s="44"/>
      <c r="K619" s="44"/>
      <c r="L619" s="44"/>
    </row>
    <row r="620" ht="15.75" customHeight="1">
      <c r="B620" s="43"/>
      <c r="C620" s="43"/>
      <c r="D620" s="44"/>
      <c r="E620" s="44"/>
      <c r="F620" s="44"/>
      <c r="G620" s="44"/>
      <c r="H620" s="44"/>
      <c r="I620" s="44"/>
      <c r="J620" s="44"/>
      <c r="K620" s="44"/>
      <c r="L620" s="44"/>
    </row>
    <row r="621" ht="15.75" customHeight="1">
      <c r="B621" s="43"/>
      <c r="C621" s="43"/>
      <c r="D621" s="44"/>
      <c r="E621" s="44"/>
      <c r="F621" s="44"/>
      <c r="G621" s="44"/>
      <c r="H621" s="44"/>
      <c r="I621" s="44"/>
      <c r="J621" s="44"/>
      <c r="K621" s="44"/>
      <c r="L621" s="44"/>
    </row>
    <row r="622" ht="15.75" customHeight="1">
      <c r="B622" s="43"/>
      <c r="C622" s="43"/>
      <c r="D622" s="44"/>
      <c r="E622" s="44"/>
      <c r="F622" s="44"/>
      <c r="G622" s="44"/>
      <c r="H622" s="44"/>
      <c r="I622" s="44"/>
      <c r="J622" s="44"/>
      <c r="K622" s="44"/>
      <c r="L622" s="44"/>
    </row>
    <row r="623" ht="15.75" customHeight="1">
      <c r="B623" s="43"/>
      <c r="C623" s="43"/>
      <c r="D623" s="44"/>
      <c r="E623" s="44"/>
      <c r="F623" s="44"/>
      <c r="G623" s="44"/>
      <c r="H623" s="44"/>
      <c r="I623" s="44"/>
      <c r="J623" s="44"/>
      <c r="K623" s="44"/>
      <c r="L623" s="44"/>
    </row>
    <row r="624" ht="15.75" customHeight="1">
      <c r="B624" s="43"/>
      <c r="C624" s="43"/>
      <c r="D624" s="44"/>
      <c r="E624" s="44"/>
      <c r="F624" s="44"/>
      <c r="G624" s="44"/>
      <c r="H624" s="44"/>
      <c r="I624" s="44"/>
      <c r="J624" s="44"/>
      <c r="K624" s="44"/>
      <c r="L624" s="44"/>
    </row>
    <row r="625" ht="15.75" customHeight="1">
      <c r="B625" s="43"/>
      <c r="C625" s="43"/>
      <c r="D625" s="44"/>
      <c r="E625" s="44"/>
      <c r="F625" s="44"/>
      <c r="G625" s="44"/>
      <c r="H625" s="44"/>
      <c r="I625" s="44"/>
      <c r="J625" s="44"/>
      <c r="K625" s="44"/>
      <c r="L625" s="44"/>
    </row>
    <row r="626" ht="15.75" customHeight="1">
      <c r="B626" s="43"/>
      <c r="C626" s="43"/>
      <c r="D626" s="44"/>
      <c r="E626" s="44"/>
      <c r="F626" s="44"/>
      <c r="G626" s="44"/>
      <c r="H626" s="44"/>
      <c r="I626" s="44"/>
      <c r="J626" s="44"/>
      <c r="K626" s="44"/>
      <c r="L626" s="44"/>
    </row>
    <row r="627" ht="15.75" customHeight="1">
      <c r="B627" s="43"/>
      <c r="C627" s="43"/>
      <c r="D627" s="44"/>
      <c r="E627" s="44"/>
      <c r="F627" s="44"/>
      <c r="G627" s="44"/>
      <c r="H627" s="44"/>
      <c r="I627" s="44"/>
      <c r="J627" s="44"/>
      <c r="K627" s="44"/>
      <c r="L627" s="44"/>
    </row>
    <row r="628" ht="15.75" customHeight="1">
      <c r="B628" s="43"/>
      <c r="C628" s="43"/>
      <c r="D628" s="44"/>
      <c r="E628" s="44"/>
      <c r="F628" s="44"/>
      <c r="G628" s="44"/>
      <c r="H628" s="44"/>
      <c r="I628" s="44"/>
      <c r="J628" s="44"/>
      <c r="K628" s="44"/>
      <c r="L628" s="44"/>
    </row>
    <row r="629" ht="15.75" customHeight="1">
      <c r="B629" s="43"/>
      <c r="C629" s="43"/>
      <c r="D629" s="44"/>
      <c r="E629" s="44"/>
      <c r="F629" s="44"/>
      <c r="G629" s="44"/>
      <c r="H629" s="44"/>
      <c r="I629" s="44"/>
      <c r="J629" s="44"/>
      <c r="K629" s="44"/>
      <c r="L629" s="44"/>
    </row>
    <row r="630" ht="15.75" customHeight="1">
      <c r="B630" s="43"/>
      <c r="C630" s="43"/>
      <c r="D630" s="44"/>
      <c r="E630" s="44"/>
      <c r="F630" s="44"/>
      <c r="G630" s="44"/>
      <c r="H630" s="44"/>
      <c r="I630" s="44"/>
      <c r="J630" s="44"/>
      <c r="K630" s="44"/>
      <c r="L630" s="44"/>
    </row>
    <row r="631" ht="15.75" customHeight="1">
      <c r="B631" s="43"/>
      <c r="C631" s="43"/>
      <c r="D631" s="44"/>
      <c r="E631" s="44"/>
      <c r="F631" s="44"/>
      <c r="G631" s="44"/>
      <c r="H631" s="44"/>
      <c r="I631" s="44"/>
      <c r="J631" s="44"/>
      <c r="K631" s="44"/>
      <c r="L631" s="44"/>
    </row>
    <row r="632" ht="15.75" customHeight="1">
      <c r="B632" s="43"/>
      <c r="C632" s="43"/>
      <c r="D632" s="44"/>
      <c r="E632" s="44"/>
      <c r="F632" s="44"/>
      <c r="G632" s="44"/>
      <c r="H632" s="44"/>
      <c r="I632" s="44"/>
      <c r="J632" s="44"/>
      <c r="K632" s="44"/>
      <c r="L632" s="44"/>
    </row>
    <row r="633" ht="15.75" customHeight="1">
      <c r="B633" s="43"/>
      <c r="C633" s="43"/>
      <c r="D633" s="44"/>
      <c r="E633" s="44"/>
      <c r="F633" s="44"/>
      <c r="G633" s="44"/>
      <c r="H633" s="44"/>
      <c r="I633" s="44"/>
      <c r="J633" s="44"/>
      <c r="K633" s="44"/>
      <c r="L633" s="44"/>
    </row>
    <row r="634" ht="15.75" customHeight="1">
      <c r="B634" s="43"/>
      <c r="C634" s="43"/>
      <c r="D634" s="44"/>
      <c r="E634" s="44"/>
      <c r="F634" s="44"/>
      <c r="G634" s="44"/>
      <c r="H634" s="44"/>
      <c r="I634" s="44"/>
      <c r="J634" s="44"/>
      <c r="K634" s="44"/>
      <c r="L634" s="44"/>
    </row>
    <row r="635" ht="15.75" customHeight="1">
      <c r="B635" s="43"/>
      <c r="C635" s="43"/>
      <c r="D635" s="44"/>
      <c r="E635" s="44"/>
      <c r="F635" s="44"/>
      <c r="G635" s="44"/>
      <c r="H635" s="44"/>
      <c r="I635" s="44"/>
      <c r="J635" s="44"/>
      <c r="K635" s="44"/>
      <c r="L635" s="44"/>
    </row>
    <row r="636" ht="15.75" customHeight="1">
      <c r="B636" s="43"/>
      <c r="C636" s="43"/>
      <c r="D636" s="44"/>
      <c r="E636" s="44"/>
      <c r="F636" s="44"/>
      <c r="G636" s="44"/>
      <c r="H636" s="44"/>
      <c r="I636" s="44"/>
      <c r="J636" s="44"/>
      <c r="K636" s="44"/>
      <c r="L636" s="44"/>
    </row>
    <row r="637" ht="15.75" customHeight="1">
      <c r="B637" s="43"/>
      <c r="C637" s="43"/>
      <c r="D637" s="44"/>
      <c r="E637" s="44"/>
      <c r="F637" s="44"/>
      <c r="G637" s="44"/>
      <c r="H637" s="44"/>
      <c r="I637" s="44"/>
      <c r="J637" s="44"/>
      <c r="K637" s="44"/>
      <c r="L637" s="44"/>
    </row>
    <row r="638" ht="15.75" customHeight="1">
      <c r="B638" s="43"/>
      <c r="C638" s="43"/>
      <c r="D638" s="44"/>
      <c r="E638" s="44"/>
      <c r="F638" s="44"/>
      <c r="G638" s="44"/>
      <c r="H638" s="44"/>
      <c r="I638" s="44"/>
      <c r="J638" s="44"/>
      <c r="K638" s="44"/>
      <c r="L638" s="44"/>
    </row>
    <row r="639" ht="15.75" customHeight="1">
      <c r="B639" s="43"/>
      <c r="C639" s="43"/>
      <c r="D639" s="44"/>
      <c r="E639" s="44"/>
      <c r="F639" s="44"/>
      <c r="G639" s="44"/>
      <c r="H639" s="44"/>
      <c r="I639" s="44"/>
      <c r="J639" s="44"/>
      <c r="K639" s="44"/>
      <c r="L639" s="44"/>
    </row>
    <row r="640" ht="15.75" customHeight="1">
      <c r="B640" s="43"/>
      <c r="C640" s="43"/>
      <c r="D640" s="44"/>
      <c r="E640" s="44"/>
      <c r="F640" s="44"/>
      <c r="G640" s="44"/>
      <c r="H640" s="44"/>
      <c r="I640" s="44"/>
      <c r="J640" s="44"/>
      <c r="K640" s="44"/>
      <c r="L640" s="44"/>
    </row>
    <row r="641" ht="15.75" customHeight="1">
      <c r="B641" s="43"/>
      <c r="C641" s="43"/>
      <c r="D641" s="44"/>
      <c r="E641" s="44"/>
      <c r="F641" s="44"/>
      <c r="G641" s="44"/>
      <c r="H641" s="44"/>
      <c r="I641" s="44"/>
      <c r="J641" s="44"/>
      <c r="K641" s="44"/>
      <c r="L641" s="44"/>
    </row>
    <row r="642" ht="15.75" customHeight="1">
      <c r="B642" s="43"/>
      <c r="C642" s="43"/>
      <c r="D642" s="44"/>
      <c r="E642" s="44"/>
      <c r="F642" s="44"/>
      <c r="G642" s="44"/>
      <c r="H642" s="44"/>
      <c r="I642" s="44"/>
      <c r="J642" s="44"/>
      <c r="K642" s="44"/>
      <c r="L642" s="44"/>
    </row>
    <row r="643" ht="15.75" customHeight="1">
      <c r="B643" s="43"/>
      <c r="C643" s="43"/>
      <c r="D643" s="44"/>
      <c r="E643" s="44"/>
      <c r="F643" s="44"/>
      <c r="G643" s="44"/>
      <c r="H643" s="44"/>
      <c r="I643" s="44"/>
      <c r="J643" s="44"/>
      <c r="K643" s="44"/>
      <c r="L643" s="44"/>
    </row>
    <row r="644" ht="15.75" customHeight="1">
      <c r="B644" s="43"/>
      <c r="C644" s="43"/>
      <c r="D644" s="44"/>
      <c r="E644" s="44"/>
      <c r="F644" s="44"/>
      <c r="G644" s="44"/>
      <c r="H644" s="44"/>
      <c r="I644" s="44"/>
      <c r="J644" s="44"/>
      <c r="K644" s="44"/>
      <c r="L644" s="44"/>
    </row>
    <row r="645" ht="15.75" customHeight="1">
      <c r="B645" s="43"/>
      <c r="C645" s="43"/>
      <c r="D645" s="44"/>
      <c r="E645" s="44"/>
      <c r="F645" s="44"/>
      <c r="G645" s="44"/>
      <c r="H645" s="44"/>
      <c r="I645" s="44"/>
      <c r="J645" s="44"/>
      <c r="K645" s="44"/>
      <c r="L645" s="44"/>
    </row>
    <row r="646" ht="15.75" customHeight="1">
      <c r="B646" s="43"/>
      <c r="C646" s="43"/>
      <c r="D646" s="44"/>
      <c r="E646" s="44"/>
      <c r="F646" s="44"/>
      <c r="G646" s="44"/>
      <c r="H646" s="44"/>
      <c r="I646" s="44"/>
      <c r="J646" s="44"/>
      <c r="K646" s="44"/>
      <c r="L646" s="44"/>
    </row>
    <row r="647" ht="15.75" customHeight="1">
      <c r="B647" s="43"/>
      <c r="C647" s="43"/>
      <c r="D647" s="44"/>
      <c r="E647" s="44"/>
      <c r="F647" s="44"/>
      <c r="G647" s="44"/>
      <c r="H647" s="44"/>
      <c r="I647" s="44"/>
      <c r="J647" s="44"/>
      <c r="K647" s="44"/>
      <c r="L647" s="44"/>
    </row>
    <row r="648" ht="15.75" customHeight="1">
      <c r="B648" s="43"/>
      <c r="C648" s="43"/>
      <c r="D648" s="44"/>
      <c r="E648" s="44"/>
      <c r="F648" s="44"/>
      <c r="G648" s="44"/>
      <c r="H648" s="44"/>
      <c r="I648" s="44"/>
      <c r="J648" s="44"/>
      <c r="K648" s="44"/>
      <c r="L648" s="44"/>
    </row>
    <row r="649" ht="15.75" customHeight="1">
      <c r="B649" s="43"/>
      <c r="C649" s="43"/>
      <c r="D649" s="44"/>
      <c r="E649" s="44"/>
      <c r="F649" s="44"/>
      <c r="G649" s="44"/>
      <c r="H649" s="44"/>
      <c r="I649" s="44"/>
      <c r="J649" s="44"/>
      <c r="K649" s="44"/>
      <c r="L649" s="44"/>
    </row>
    <row r="650" ht="15.75" customHeight="1">
      <c r="B650" s="43"/>
      <c r="C650" s="43"/>
      <c r="D650" s="44"/>
      <c r="E650" s="44"/>
      <c r="F650" s="44"/>
      <c r="G650" s="44"/>
      <c r="H650" s="44"/>
      <c r="I650" s="44"/>
      <c r="J650" s="44"/>
      <c r="K650" s="44"/>
      <c r="L650" s="44"/>
    </row>
    <row r="651" ht="15.75" customHeight="1">
      <c r="B651" s="43"/>
      <c r="C651" s="43"/>
      <c r="D651" s="44"/>
      <c r="E651" s="44"/>
      <c r="F651" s="44"/>
      <c r="G651" s="44"/>
      <c r="H651" s="44"/>
      <c r="I651" s="44"/>
      <c r="J651" s="44"/>
      <c r="K651" s="44"/>
      <c r="L651" s="44"/>
    </row>
    <row r="652" ht="15.75" customHeight="1">
      <c r="B652" s="43"/>
      <c r="C652" s="43"/>
      <c r="D652" s="44"/>
      <c r="E652" s="44"/>
      <c r="F652" s="44"/>
      <c r="G652" s="44"/>
      <c r="H652" s="44"/>
      <c r="I652" s="44"/>
      <c r="J652" s="44"/>
      <c r="K652" s="44"/>
      <c r="L652" s="44"/>
    </row>
    <row r="653" ht="15.75" customHeight="1">
      <c r="B653" s="43"/>
      <c r="C653" s="43"/>
      <c r="D653" s="44"/>
      <c r="E653" s="44"/>
      <c r="F653" s="44"/>
      <c r="G653" s="44"/>
      <c r="H653" s="44"/>
      <c r="I653" s="44"/>
      <c r="J653" s="44"/>
      <c r="K653" s="44"/>
      <c r="L653" s="44"/>
    </row>
    <row r="654" ht="15.75" customHeight="1">
      <c r="B654" s="43"/>
      <c r="C654" s="43"/>
      <c r="D654" s="44"/>
      <c r="E654" s="44"/>
      <c r="F654" s="44"/>
      <c r="G654" s="44"/>
      <c r="H654" s="44"/>
      <c r="I654" s="44"/>
      <c r="J654" s="44"/>
      <c r="K654" s="44"/>
      <c r="L654" s="44"/>
    </row>
    <row r="655" ht="15.75" customHeight="1">
      <c r="B655" s="43"/>
      <c r="C655" s="43"/>
      <c r="D655" s="44"/>
      <c r="E655" s="44"/>
      <c r="F655" s="44"/>
      <c r="G655" s="44"/>
      <c r="H655" s="44"/>
      <c r="I655" s="44"/>
      <c r="J655" s="44"/>
      <c r="K655" s="44"/>
      <c r="L655" s="44"/>
    </row>
    <row r="656" ht="15.75" customHeight="1">
      <c r="B656" s="43"/>
      <c r="C656" s="43"/>
      <c r="D656" s="44"/>
      <c r="E656" s="44"/>
      <c r="F656" s="44"/>
      <c r="G656" s="44"/>
      <c r="H656" s="44"/>
      <c r="I656" s="44"/>
      <c r="J656" s="44"/>
      <c r="K656" s="44"/>
      <c r="L656" s="44"/>
    </row>
    <row r="657" ht="15.75" customHeight="1">
      <c r="B657" s="43"/>
      <c r="C657" s="43"/>
      <c r="D657" s="44"/>
      <c r="E657" s="44"/>
      <c r="F657" s="44"/>
      <c r="G657" s="44"/>
      <c r="H657" s="44"/>
      <c r="I657" s="44"/>
      <c r="J657" s="44"/>
      <c r="K657" s="44"/>
      <c r="L657" s="44"/>
    </row>
    <row r="658" ht="15.75" customHeight="1">
      <c r="B658" s="43"/>
      <c r="C658" s="43"/>
      <c r="D658" s="44"/>
      <c r="E658" s="44"/>
      <c r="F658" s="44"/>
      <c r="G658" s="44"/>
      <c r="H658" s="44"/>
      <c r="I658" s="44"/>
      <c r="J658" s="44"/>
      <c r="K658" s="44"/>
      <c r="L658" s="44"/>
    </row>
    <row r="659" ht="15.75" customHeight="1">
      <c r="B659" s="43"/>
      <c r="C659" s="43"/>
      <c r="D659" s="44"/>
      <c r="E659" s="44"/>
      <c r="F659" s="44"/>
      <c r="G659" s="44"/>
      <c r="H659" s="44"/>
      <c r="I659" s="44"/>
      <c r="J659" s="44"/>
      <c r="K659" s="44"/>
      <c r="L659" s="44"/>
    </row>
    <row r="660" ht="15.75" customHeight="1">
      <c r="B660" s="43"/>
      <c r="C660" s="43"/>
      <c r="D660" s="44"/>
      <c r="E660" s="44"/>
      <c r="F660" s="44"/>
      <c r="G660" s="44"/>
      <c r="H660" s="44"/>
      <c r="I660" s="44"/>
      <c r="J660" s="44"/>
      <c r="K660" s="44"/>
      <c r="L660" s="44"/>
    </row>
    <row r="661" ht="15.75" customHeight="1">
      <c r="B661" s="43"/>
      <c r="C661" s="43"/>
      <c r="D661" s="44"/>
      <c r="E661" s="44"/>
      <c r="F661" s="44"/>
      <c r="G661" s="44"/>
      <c r="H661" s="44"/>
      <c r="I661" s="44"/>
      <c r="J661" s="44"/>
      <c r="K661" s="44"/>
      <c r="L661" s="44"/>
    </row>
    <row r="662" ht="15.75" customHeight="1">
      <c r="B662" s="43"/>
      <c r="C662" s="43"/>
      <c r="D662" s="44"/>
      <c r="E662" s="44"/>
      <c r="F662" s="44"/>
      <c r="G662" s="44"/>
      <c r="H662" s="44"/>
      <c r="I662" s="44"/>
      <c r="J662" s="44"/>
      <c r="K662" s="44"/>
      <c r="L662" s="44"/>
    </row>
    <row r="663" ht="15.75" customHeight="1">
      <c r="B663" s="43"/>
      <c r="C663" s="43"/>
      <c r="D663" s="44"/>
      <c r="E663" s="44"/>
      <c r="F663" s="44"/>
      <c r="G663" s="44"/>
      <c r="H663" s="44"/>
      <c r="I663" s="44"/>
      <c r="J663" s="44"/>
      <c r="K663" s="44"/>
      <c r="L663" s="44"/>
    </row>
    <row r="664" ht="15.75" customHeight="1">
      <c r="B664" s="43"/>
      <c r="C664" s="43"/>
      <c r="D664" s="44"/>
      <c r="E664" s="44"/>
      <c r="F664" s="44"/>
      <c r="G664" s="44"/>
      <c r="H664" s="44"/>
      <c r="I664" s="44"/>
      <c r="J664" s="44"/>
      <c r="K664" s="44"/>
      <c r="L664" s="44"/>
    </row>
    <row r="665" ht="15.75" customHeight="1">
      <c r="B665" s="43"/>
      <c r="C665" s="43"/>
      <c r="D665" s="44"/>
      <c r="E665" s="44"/>
      <c r="F665" s="44"/>
      <c r="G665" s="44"/>
      <c r="H665" s="44"/>
      <c r="I665" s="44"/>
      <c r="J665" s="44"/>
      <c r="K665" s="44"/>
      <c r="L665" s="44"/>
    </row>
    <row r="666" ht="15.75" customHeight="1">
      <c r="B666" s="43"/>
      <c r="C666" s="43"/>
      <c r="D666" s="44"/>
      <c r="E666" s="44"/>
      <c r="F666" s="44"/>
      <c r="G666" s="44"/>
      <c r="H666" s="44"/>
      <c r="I666" s="44"/>
      <c r="J666" s="44"/>
      <c r="K666" s="44"/>
      <c r="L666" s="44"/>
    </row>
    <row r="667" ht="15.75" customHeight="1">
      <c r="B667" s="43"/>
      <c r="C667" s="43"/>
      <c r="D667" s="44"/>
      <c r="E667" s="44"/>
      <c r="F667" s="44"/>
      <c r="G667" s="44"/>
      <c r="H667" s="44"/>
      <c r="I667" s="44"/>
      <c r="J667" s="44"/>
      <c r="K667" s="44"/>
      <c r="L667" s="44"/>
    </row>
    <row r="668" ht="15.75" customHeight="1">
      <c r="B668" s="43"/>
      <c r="C668" s="43"/>
      <c r="D668" s="44"/>
      <c r="E668" s="44"/>
      <c r="F668" s="44"/>
      <c r="G668" s="44"/>
      <c r="H668" s="44"/>
      <c r="I668" s="44"/>
      <c r="J668" s="44"/>
      <c r="K668" s="44"/>
      <c r="L668" s="44"/>
    </row>
    <row r="669" ht="15.75" customHeight="1">
      <c r="B669" s="43"/>
      <c r="C669" s="43"/>
      <c r="D669" s="44"/>
      <c r="E669" s="44"/>
      <c r="F669" s="44"/>
      <c r="G669" s="44"/>
      <c r="H669" s="44"/>
      <c r="I669" s="44"/>
      <c r="J669" s="44"/>
      <c r="K669" s="44"/>
      <c r="L669" s="44"/>
    </row>
    <row r="670" ht="15.75" customHeight="1">
      <c r="B670" s="43"/>
      <c r="C670" s="43"/>
      <c r="D670" s="44"/>
      <c r="E670" s="44"/>
      <c r="F670" s="44"/>
      <c r="G670" s="44"/>
      <c r="H670" s="44"/>
      <c r="I670" s="44"/>
      <c r="J670" s="44"/>
      <c r="K670" s="44"/>
      <c r="L670" s="44"/>
    </row>
    <row r="671" ht="15.75" customHeight="1">
      <c r="B671" s="43"/>
      <c r="C671" s="43"/>
      <c r="D671" s="44"/>
      <c r="E671" s="44"/>
      <c r="F671" s="44"/>
      <c r="G671" s="44"/>
      <c r="H671" s="44"/>
      <c r="I671" s="44"/>
      <c r="J671" s="44"/>
      <c r="K671" s="44"/>
      <c r="L671" s="44"/>
    </row>
    <row r="672" ht="15.75" customHeight="1">
      <c r="B672" s="43"/>
      <c r="C672" s="43"/>
      <c r="D672" s="44"/>
      <c r="E672" s="44"/>
      <c r="F672" s="44"/>
      <c r="G672" s="44"/>
      <c r="H672" s="44"/>
      <c r="I672" s="44"/>
      <c r="J672" s="44"/>
      <c r="K672" s="44"/>
      <c r="L672" s="44"/>
    </row>
    <row r="673" ht="15.75" customHeight="1">
      <c r="B673" s="43"/>
      <c r="C673" s="43"/>
      <c r="D673" s="44"/>
      <c r="E673" s="44"/>
      <c r="F673" s="44"/>
      <c r="G673" s="44"/>
      <c r="H673" s="44"/>
      <c r="I673" s="44"/>
      <c r="J673" s="44"/>
      <c r="K673" s="44"/>
      <c r="L673" s="44"/>
    </row>
    <row r="674" ht="15.75" customHeight="1">
      <c r="B674" s="43"/>
      <c r="C674" s="43"/>
      <c r="D674" s="44"/>
      <c r="E674" s="44"/>
      <c r="F674" s="44"/>
      <c r="G674" s="44"/>
      <c r="H674" s="44"/>
      <c r="I674" s="44"/>
      <c r="J674" s="44"/>
      <c r="K674" s="44"/>
      <c r="L674" s="44"/>
    </row>
    <row r="675" ht="15.75" customHeight="1">
      <c r="B675" s="43"/>
      <c r="C675" s="43"/>
      <c r="D675" s="44"/>
      <c r="E675" s="44"/>
      <c r="F675" s="44"/>
      <c r="G675" s="44"/>
      <c r="H675" s="44"/>
      <c r="I675" s="44"/>
      <c r="J675" s="44"/>
      <c r="K675" s="44"/>
      <c r="L675" s="44"/>
    </row>
    <row r="676" ht="15.75" customHeight="1">
      <c r="B676" s="43"/>
      <c r="C676" s="43"/>
      <c r="D676" s="44"/>
      <c r="E676" s="44"/>
      <c r="F676" s="44"/>
      <c r="G676" s="44"/>
      <c r="H676" s="44"/>
      <c r="I676" s="44"/>
      <c r="J676" s="44"/>
      <c r="K676" s="44"/>
      <c r="L676" s="44"/>
    </row>
    <row r="677" ht="15.75" customHeight="1">
      <c r="B677" s="43"/>
      <c r="C677" s="43"/>
      <c r="D677" s="44"/>
      <c r="E677" s="44"/>
      <c r="F677" s="44"/>
      <c r="G677" s="44"/>
      <c r="H677" s="44"/>
      <c r="I677" s="44"/>
      <c r="J677" s="44"/>
      <c r="K677" s="44"/>
      <c r="L677" s="44"/>
    </row>
    <row r="678" ht="15.75" customHeight="1">
      <c r="B678" s="43"/>
      <c r="C678" s="43"/>
      <c r="D678" s="44"/>
      <c r="E678" s="44"/>
      <c r="F678" s="44"/>
      <c r="G678" s="44"/>
      <c r="H678" s="44"/>
      <c r="I678" s="44"/>
      <c r="J678" s="44"/>
      <c r="K678" s="44"/>
      <c r="L678" s="44"/>
    </row>
    <row r="679" ht="15.75" customHeight="1">
      <c r="B679" s="43"/>
      <c r="C679" s="43"/>
      <c r="D679" s="44"/>
      <c r="E679" s="44"/>
      <c r="F679" s="44"/>
      <c r="G679" s="44"/>
      <c r="H679" s="44"/>
      <c r="I679" s="44"/>
      <c r="J679" s="44"/>
      <c r="K679" s="44"/>
      <c r="L679" s="44"/>
    </row>
    <row r="680" ht="15.75" customHeight="1">
      <c r="B680" s="43"/>
      <c r="C680" s="43"/>
      <c r="D680" s="44"/>
      <c r="E680" s="44"/>
      <c r="F680" s="44"/>
      <c r="G680" s="44"/>
      <c r="H680" s="44"/>
      <c r="I680" s="44"/>
      <c r="J680" s="44"/>
      <c r="K680" s="44"/>
      <c r="L680" s="44"/>
    </row>
    <row r="681" ht="15.75" customHeight="1">
      <c r="B681" s="43"/>
      <c r="C681" s="43"/>
      <c r="D681" s="44"/>
      <c r="E681" s="44"/>
      <c r="F681" s="44"/>
      <c r="G681" s="44"/>
      <c r="H681" s="44"/>
      <c r="I681" s="44"/>
      <c r="J681" s="44"/>
      <c r="K681" s="44"/>
      <c r="L681" s="44"/>
    </row>
    <row r="682" ht="15.75" customHeight="1">
      <c r="B682" s="43"/>
      <c r="C682" s="43"/>
      <c r="D682" s="44"/>
      <c r="E682" s="44"/>
      <c r="F682" s="44"/>
      <c r="G682" s="44"/>
      <c r="H682" s="44"/>
      <c r="I682" s="44"/>
      <c r="J682" s="44"/>
      <c r="K682" s="44"/>
      <c r="L682" s="44"/>
    </row>
    <row r="683" ht="15.75" customHeight="1">
      <c r="B683" s="43"/>
      <c r="C683" s="43"/>
      <c r="D683" s="44"/>
      <c r="E683" s="44"/>
      <c r="F683" s="44"/>
      <c r="G683" s="44"/>
      <c r="H683" s="44"/>
      <c r="I683" s="44"/>
      <c r="J683" s="44"/>
      <c r="K683" s="44"/>
      <c r="L683" s="44"/>
    </row>
    <row r="684" ht="15.75" customHeight="1">
      <c r="B684" s="43"/>
      <c r="C684" s="43"/>
      <c r="D684" s="44"/>
      <c r="E684" s="44"/>
      <c r="F684" s="44"/>
      <c r="G684" s="44"/>
      <c r="H684" s="44"/>
      <c r="I684" s="44"/>
      <c r="J684" s="44"/>
      <c r="K684" s="44"/>
      <c r="L684" s="44"/>
    </row>
    <row r="685" ht="15.75" customHeight="1">
      <c r="B685" s="43"/>
      <c r="C685" s="43"/>
      <c r="D685" s="44"/>
      <c r="E685" s="44"/>
      <c r="F685" s="44"/>
      <c r="G685" s="44"/>
      <c r="H685" s="44"/>
      <c r="I685" s="44"/>
      <c r="J685" s="44"/>
      <c r="K685" s="44"/>
      <c r="L685" s="44"/>
    </row>
    <row r="686" ht="15.75" customHeight="1">
      <c r="B686" s="43"/>
      <c r="C686" s="43"/>
      <c r="D686" s="44"/>
      <c r="E686" s="44"/>
      <c r="F686" s="44"/>
      <c r="G686" s="44"/>
      <c r="H686" s="44"/>
      <c r="I686" s="44"/>
      <c r="J686" s="44"/>
      <c r="K686" s="44"/>
      <c r="L686" s="44"/>
    </row>
    <row r="687" ht="15.75" customHeight="1">
      <c r="B687" s="43"/>
      <c r="C687" s="43"/>
      <c r="D687" s="44"/>
      <c r="E687" s="44"/>
      <c r="F687" s="44"/>
      <c r="G687" s="44"/>
      <c r="H687" s="44"/>
      <c r="I687" s="44"/>
      <c r="J687" s="44"/>
      <c r="K687" s="44"/>
      <c r="L687" s="44"/>
    </row>
    <row r="688" ht="15.75" customHeight="1">
      <c r="B688" s="43"/>
      <c r="C688" s="43"/>
      <c r="D688" s="44"/>
      <c r="E688" s="44"/>
      <c r="F688" s="44"/>
      <c r="G688" s="44"/>
      <c r="H688" s="44"/>
      <c r="I688" s="44"/>
      <c r="J688" s="44"/>
      <c r="K688" s="44"/>
      <c r="L688" s="44"/>
    </row>
    <row r="689" ht="15.75" customHeight="1">
      <c r="B689" s="43"/>
      <c r="C689" s="43"/>
      <c r="D689" s="44"/>
      <c r="E689" s="44"/>
      <c r="F689" s="44"/>
      <c r="G689" s="44"/>
      <c r="H689" s="44"/>
      <c r="I689" s="44"/>
      <c r="J689" s="44"/>
      <c r="K689" s="44"/>
      <c r="L689" s="44"/>
    </row>
    <row r="690" ht="15.75" customHeight="1">
      <c r="B690" s="43"/>
      <c r="C690" s="43"/>
      <c r="D690" s="44"/>
      <c r="E690" s="44"/>
      <c r="F690" s="44"/>
      <c r="G690" s="44"/>
      <c r="H690" s="44"/>
      <c r="I690" s="44"/>
      <c r="J690" s="44"/>
      <c r="K690" s="44"/>
      <c r="L690" s="44"/>
    </row>
    <row r="691" ht="15.75" customHeight="1">
      <c r="B691" s="43"/>
      <c r="C691" s="43"/>
      <c r="D691" s="44"/>
      <c r="E691" s="44"/>
      <c r="F691" s="44"/>
      <c r="G691" s="44"/>
      <c r="H691" s="44"/>
      <c r="I691" s="44"/>
      <c r="J691" s="44"/>
      <c r="K691" s="44"/>
      <c r="L691" s="44"/>
    </row>
    <row r="692" ht="15.75" customHeight="1">
      <c r="B692" s="43"/>
      <c r="C692" s="43"/>
      <c r="D692" s="44"/>
      <c r="E692" s="44"/>
      <c r="F692" s="44"/>
      <c r="G692" s="44"/>
      <c r="H692" s="44"/>
      <c r="I692" s="44"/>
      <c r="J692" s="44"/>
      <c r="K692" s="44"/>
      <c r="L692" s="44"/>
    </row>
    <row r="693" ht="15.75" customHeight="1">
      <c r="B693" s="43"/>
      <c r="C693" s="43"/>
      <c r="D693" s="44"/>
      <c r="E693" s="44"/>
      <c r="F693" s="44"/>
      <c r="G693" s="44"/>
      <c r="H693" s="44"/>
      <c r="I693" s="44"/>
      <c r="J693" s="44"/>
      <c r="K693" s="44"/>
      <c r="L693" s="44"/>
    </row>
    <row r="694" ht="15.75" customHeight="1">
      <c r="B694" s="43"/>
      <c r="C694" s="43"/>
      <c r="D694" s="44"/>
      <c r="E694" s="44"/>
      <c r="F694" s="44"/>
      <c r="G694" s="44"/>
      <c r="H694" s="44"/>
      <c r="I694" s="44"/>
      <c r="J694" s="44"/>
      <c r="K694" s="44"/>
      <c r="L694" s="44"/>
    </row>
    <row r="695" ht="15.75" customHeight="1">
      <c r="B695" s="43"/>
      <c r="C695" s="43"/>
      <c r="D695" s="44"/>
      <c r="E695" s="44"/>
      <c r="F695" s="44"/>
      <c r="G695" s="44"/>
      <c r="H695" s="44"/>
      <c r="I695" s="44"/>
      <c r="J695" s="44"/>
      <c r="K695" s="44"/>
      <c r="L695" s="44"/>
    </row>
    <row r="696" ht="15.75" customHeight="1">
      <c r="B696" s="43"/>
      <c r="C696" s="43"/>
      <c r="D696" s="44"/>
      <c r="E696" s="44"/>
      <c r="F696" s="44"/>
      <c r="G696" s="44"/>
      <c r="H696" s="44"/>
      <c r="I696" s="44"/>
      <c r="J696" s="44"/>
      <c r="K696" s="44"/>
      <c r="L696" s="44"/>
    </row>
    <row r="697" ht="15.75" customHeight="1">
      <c r="B697" s="43"/>
      <c r="C697" s="43"/>
      <c r="D697" s="44"/>
      <c r="E697" s="44"/>
      <c r="F697" s="44"/>
      <c r="G697" s="44"/>
      <c r="H697" s="44"/>
      <c r="I697" s="44"/>
      <c r="J697" s="44"/>
      <c r="K697" s="44"/>
      <c r="L697" s="44"/>
    </row>
    <row r="698" ht="15.75" customHeight="1">
      <c r="B698" s="43"/>
      <c r="C698" s="43"/>
      <c r="D698" s="44"/>
      <c r="E698" s="44"/>
      <c r="F698" s="44"/>
      <c r="G698" s="44"/>
      <c r="H698" s="44"/>
      <c r="I698" s="44"/>
      <c r="J698" s="44"/>
      <c r="K698" s="44"/>
      <c r="L698" s="44"/>
    </row>
    <row r="699" ht="15.75" customHeight="1">
      <c r="B699" s="43"/>
      <c r="C699" s="43"/>
      <c r="D699" s="44"/>
      <c r="E699" s="44"/>
      <c r="F699" s="44"/>
      <c r="G699" s="44"/>
      <c r="H699" s="44"/>
      <c r="I699" s="44"/>
      <c r="J699" s="44"/>
      <c r="K699" s="44"/>
      <c r="L699" s="44"/>
    </row>
    <row r="700" ht="15.75" customHeight="1">
      <c r="B700" s="43"/>
      <c r="C700" s="43"/>
      <c r="D700" s="44"/>
      <c r="E700" s="44"/>
      <c r="F700" s="44"/>
      <c r="G700" s="44"/>
      <c r="H700" s="44"/>
      <c r="I700" s="44"/>
      <c r="J700" s="44"/>
      <c r="K700" s="44"/>
      <c r="L700" s="44"/>
    </row>
    <row r="701" ht="15.75" customHeight="1">
      <c r="B701" s="43"/>
      <c r="C701" s="43"/>
      <c r="D701" s="44"/>
      <c r="E701" s="44"/>
      <c r="F701" s="44"/>
      <c r="G701" s="44"/>
      <c r="H701" s="44"/>
      <c r="I701" s="44"/>
      <c r="J701" s="44"/>
      <c r="K701" s="44"/>
      <c r="L701" s="44"/>
    </row>
    <row r="702" ht="15.75" customHeight="1">
      <c r="B702" s="43"/>
      <c r="C702" s="43"/>
      <c r="D702" s="44"/>
      <c r="E702" s="44"/>
      <c r="F702" s="44"/>
      <c r="G702" s="44"/>
      <c r="H702" s="44"/>
      <c r="I702" s="44"/>
      <c r="J702" s="44"/>
      <c r="K702" s="44"/>
      <c r="L702" s="44"/>
    </row>
    <row r="703" ht="15.75" customHeight="1">
      <c r="B703" s="43"/>
      <c r="C703" s="43"/>
      <c r="D703" s="44"/>
      <c r="E703" s="44"/>
      <c r="F703" s="44"/>
      <c r="G703" s="44"/>
      <c r="H703" s="44"/>
      <c r="I703" s="44"/>
      <c r="J703" s="44"/>
      <c r="K703" s="44"/>
      <c r="L703" s="44"/>
    </row>
    <row r="704" ht="15.75" customHeight="1">
      <c r="B704" s="43"/>
      <c r="C704" s="43"/>
      <c r="D704" s="44"/>
      <c r="E704" s="44"/>
      <c r="F704" s="44"/>
      <c r="G704" s="44"/>
      <c r="H704" s="44"/>
      <c r="I704" s="44"/>
      <c r="J704" s="44"/>
      <c r="K704" s="44"/>
      <c r="L704" s="44"/>
    </row>
    <row r="705" ht="15.75" customHeight="1">
      <c r="B705" s="43"/>
      <c r="C705" s="43"/>
      <c r="D705" s="44"/>
      <c r="E705" s="44"/>
      <c r="F705" s="44"/>
      <c r="G705" s="44"/>
      <c r="H705" s="44"/>
      <c r="I705" s="44"/>
      <c r="J705" s="44"/>
      <c r="K705" s="44"/>
      <c r="L705" s="44"/>
    </row>
    <row r="706" ht="15.75" customHeight="1">
      <c r="B706" s="43"/>
      <c r="C706" s="43"/>
      <c r="D706" s="44"/>
      <c r="E706" s="44"/>
      <c r="F706" s="44"/>
      <c r="G706" s="44"/>
      <c r="H706" s="44"/>
      <c r="I706" s="44"/>
      <c r="J706" s="44"/>
      <c r="K706" s="44"/>
      <c r="L706" s="44"/>
    </row>
    <row r="707" ht="15.75" customHeight="1">
      <c r="B707" s="43"/>
      <c r="C707" s="43"/>
      <c r="D707" s="44"/>
      <c r="E707" s="44"/>
      <c r="F707" s="44"/>
      <c r="G707" s="44"/>
      <c r="H707" s="44"/>
      <c r="I707" s="44"/>
      <c r="J707" s="44"/>
      <c r="K707" s="44"/>
      <c r="L707" s="44"/>
    </row>
    <row r="708" ht="15.75" customHeight="1">
      <c r="B708" s="43"/>
      <c r="C708" s="43"/>
      <c r="D708" s="44"/>
      <c r="E708" s="44"/>
      <c r="F708" s="44"/>
      <c r="G708" s="44"/>
      <c r="H708" s="44"/>
      <c r="I708" s="44"/>
      <c r="J708" s="44"/>
      <c r="K708" s="44"/>
      <c r="L708" s="44"/>
    </row>
    <row r="709" ht="15.75" customHeight="1">
      <c r="B709" s="43"/>
      <c r="C709" s="43"/>
      <c r="D709" s="44"/>
      <c r="E709" s="44"/>
      <c r="F709" s="44"/>
      <c r="G709" s="44"/>
      <c r="H709" s="44"/>
      <c r="I709" s="44"/>
      <c r="J709" s="44"/>
      <c r="K709" s="44"/>
      <c r="L709" s="44"/>
    </row>
    <row r="710" ht="15.75" customHeight="1">
      <c r="B710" s="43"/>
      <c r="C710" s="43"/>
      <c r="D710" s="44"/>
      <c r="E710" s="44"/>
      <c r="F710" s="44"/>
      <c r="G710" s="44"/>
      <c r="H710" s="44"/>
      <c r="I710" s="44"/>
      <c r="J710" s="44"/>
      <c r="K710" s="44"/>
      <c r="L710" s="44"/>
    </row>
    <row r="711" ht="15.75" customHeight="1">
      <c r="B711" s="43"/>
      <c r="C711" s="43"/>
      <c r="D711" s="44"/>
      <c r="E711" s="44"/>
      <c r="F711" s="44"/>
      <c r="G711" s="44"/>
      <c r="H711" s="44"/>
      <c r="I711" s="44"/>
      <c r="J711" s="44"/>
      <c r="K711" s="44"/>
      <c r="L711" s="44"/>
    </row>
    <row r="712" ht="15.75" customHeight="1">
      <c r="B712" s="43"/>
      <c r="C712" s="43"/>
      <c r="D712" s="44"/>
      <c r="E712" s="44"/>
      <c r="F712" s="44"/>
      <c r="G712" s="44"/>
      <c r="H712" s="44"/>
      <c r="I712" s="44"/>
      <c r="J712" s="44"/>
      <c r="K712" s="44"/>
      <c r="L712" s="44"/>
    </row>
    <row r="713" ht="15.75" customHeight="1">
      <c r="B713" s="43"/>
      <c r="C713" s="43"/>
      <c r="D713" s="44"/>
      <c r="E713" s="44"/>
      <c r="F713" s="44"/>
      <c r="G713" s="44"/>
      <c r="H713" s="44"/>
      <c r="I713" s="44"/>
      <c r="J713" s="44"/>
      <c r="K713" s="44"/>
      <c r="L713" s="44"/>
    </row>
    <row r="714" ht="15.75" customHeight="1">
      <c r="B714" s="43"/>
      <c r="C714" s="43"/>
      <c r="D714" s="44"/>
      <c r="E714" s="44"/>
      <c r="F714" s="44"/>
      <c r="G714" s="44"/>
      <c r="H714" s="44"/>
      <c r="I714" s="44"/>
      <c r="J714" s="44"/>
      <c r="K714" s="44"/>
      <c r="L714" s="44"/>
    </row>
    <row r="715" ht="15.75" customHeight="1">
      <c r="B715" s="43"/>
      <c r="C715" s="43"/>
      <c r="D715" s="44"/>
      <c r="E715" s="44"/>
      <c r="F715" s="44"/>
      <c r="G715" s="44"/>
      <c r="H715" s="44"/>
      <c r="I715" s="44"/>
      <c r="J715" s="44"/>
      <c r="K715" s="44"/>
      <c r="L715" s="44"/>
    </row>
    <row r="716" ht="15.75" customHeight="1">
      <c r="B716" s="43"/>
      <c r="C716" s="43"/>
      <c r="D716" s="44"/>
      <c r="E716" s="44"/>
      <c r="F716" s="44"/>
      <c r="G716" s="44"/>
      <c r="H716" s="44"/>
      <c r="I716" s="44"/>
      <c r="J716" s="44"/>
      <c r="K716" s="44"/>
      <c r="L716" s="44"/>
    </row>
    <row r="717" ht="15.75" customHeight="1">
      <c r="B717" s="43"/>
      <c r="C717" s="43"/>
      <c r="D717" s="44"/>
      <c r="E717" s="44"/>
      <c r="F717" s="44"/>
      <c r="G717" s="44"/>
      <c r="H717" s="44"/>
      <c r="I717" s="44"/>
      <c r="J717" s="44"/>
      <c r="K717" s="44"/>
      <c r="L717" s="44"/>
    </row>
    <row r="718" ht="15.75" customHeight="1">
      <c r="B718" s="43"/>
      <c r="C718" s="43"/>
      <c r="D718" s="44"/>
      <c r="E718" s="44"/>
      <c r="F718" s="44"/>
      <c r="G718" s="44"/>
      <c r="H718" s="44"/>
      <c r="I718" s="44"/>
      <c r="J718" s="44"/>
      <c r="K718" s="44"/>
      <c r="L718" s="44"/>
    </row>
    <row r="719" ht="15.75" customHeight="1">
      <c r="B719" s="43"/>
      <c r="C719" s="43"/>
      <c r="D719" s="44"/>
      <c r="E719" s="44"/>
      <c r="F719" s="44"/>
      <c r="G719" s="44"/>
      <c r="H719" s="44"/>
      <c r="I719" s="44"/>
      <c r="J719" s="44"/>
      <c r="K719" s="44"/>
      <c r="L719" s="44"/>
    </row>
    <row r="720" ht="15.75" customHeight="1">
      <c r="B720" s="43"/>
      <c r="C720" s="43"/>
      <c r="D720" s="44"/>
      <c r="E720" s="44"/>
      <c r="F720" s="44"/>
      <c r="G720" s="44"/>
      <c r="H720" s="44"/>
      <c r="I720" s="44"/>
      <c r="J720" s="44"/>
      <c r="K720" s="44"/>
      <c r="L720" s="44"/>
    </row>
    <row r="721" ht="15.75" customHeight="1">
      <c r="B721" s="43"/>
      <c r="C721" s="43"/>
      <c r="D721" s="44"/>
      <c r="E721" s="44"/>
      <c r="F721" s="44"/>
      <c r="G721" s="44"/>
      <c r="H721" s="44"/>
      <c r="I721" s="44"/>
      <c r="J721" s="44"/>
      <c r="K721" s="44"/>
      <c r="L721" s="44"/>
    </row>
    <row r="722" ht="15.75" customHeight="1">
      <c r="B722" s="43"/>
      <c r="C722" s="43"/>
      <c r="D722" s="44"/>
      <c r="E722" s="44"/>
      <c r="F722" s="44"/>
      <c r="G722" s="44"/>
      <c r="H722" s="44"/>
      <c r="I722" s="44"/>
      <c r="J722" s="44"/>
      <c r="K722" s="44"/>
      <c r="L722" s="44"/>
    </row>
    <row r="723" ht="15.75" customHeight="1">
      <c r="B723" s="43"/>
      <c r="C723" s="43"/>
      <c r="D723" s="44"/>
      <c r="E723" s="44"/>
      <c r="F723" s="44"/>
      <c r="G723" s="44"/>
      <c r="H723" s="44"/>
      <c r="I723" s="44"/>
      <c r="J723" s="44"/>
      <c r="K723" s="44"/>
      <c r="L723" s="44"/>
    </row>
    <row r="724" ht="15.75" customHeight="1">
      <c r="B724" s="43"/>
      <c r="C724" s="43"/>
      <c r="D724" s="44"/>
      <c r="E724" s="44"/>
      <c r="F724" s="44"/>
      <c r="G724" s="44"/>
      <c r="H724" s="44"/>
      <c r="I724" s="44"/>
      <c r="J724" s="44"/>
      <c r="K724" s="44"/>
      <c r="L724" s="44"/>
    </row>
    <row r="725" ht="15.75" customHeight="1">
      <c r="B725" s="43"/>
      <c r="C725" s="43"/>
      <c r="D725" s="44"/>
      <c r="E725" s="44"/>
      <c r="F725" s="44"/>
      <c r="G725" s="44"/>
      <c r="H725" s="44"/>
      <c r="I725" s="44"/>
      <c r="J725" s="44"/>
      <c r="K725" s="44"/>
      <c r="L725" s="44"/>
    </row>
    <row r="726" ht="15.75" customHeight="1">
      <c r="B726" s="43"/>
      <c r="C726" s="43"/>
      <c r="D726" s="44"/>
      <c r="E726" s="44"/>
      <c r="F726" s="44"/>
      <c r="G726" s="44"/>
      <c r="H726" s="44"/>
      <c r="I726" s="44"/>
      <c r="J726" s="44"/>
      <c r="K726" s="44"/>
      <c r="L726" s="44"/>
    </row>
    <row r="727" ht="15.75" customHeight="1">
      <c r="B727" s="43"/>
      <c r="C727" s="43"/>
      <c r="D727" s="44"/>
      <c r="E727" s="44"/>
      <c r="F727" s="44"/>
      <c r="G727" s="44"/>
      <c r="H727" s="44"/>
      <c r="I727" s="44"/>
      <c r="J727" s="44"/>
      <c r="K727" s="44"/>
      <c r="L727" s="44"/>
    </row>
    <row r="728" ht="15.75" customHeight="1">
      <c r="B728" s="43"/>
      <c r="C728" s="43"/>
      <c r="D728" s="44"/>
      <c r="E728" s="44"/>
      <c r="F728" s="44"/>
      <c r="G728" s="44"/>
      <c r="H728" s="44"/>
      <c r="I728" s="44"/>
      <c r="J728" s="44"/>
      <c r="K728" s="44"/>
      <c r="L728" s="44"/>
    </row>
    <row r="729" ht="15.75" customHeight="1">
      <c r="B729" s="43"/>
      <c r="C729" s="43"/>
      <c r="D729" s="44"/>
      <c r="E729" s="44"/>
      <c r="F729" s="44"/>
      <c r="G729" s="44"/>
      <c r="H729" s="44"/>
      <c r="I729" s="44"/>
      <c r="J729" s="44"/>
      <c r="K729" s="44"/>
      <c r="L729" s="44"/>
    </row>
    <row r="730" ht="15.75" customHeight="1">
      <c r="B730" s="43"/>
      <c r="C730" s="43"/>
      <c r="D730" s="44"/>
      <c r="E730" s="44"/>
      <c r="F730" s="44"/>
      <c r="G730" s="44"/>
      <c r="H730" s="44"/>
      <c r="I730" s="44"/>
      <c r="J730" s="44"/>
      <c r="K730" s="44"/>
      <c r="L730" s="44"/>
    </row>
    <row r="731" ht="15.75" customHeight="1">
      <c r="B731" s="43"/>
      <c r="C731" s="43"/>
      <c r="D731" s="44"/>
      <c r="E731" s="44"/>
      <c r="F731" s="44"/>
      <c r="G731" s="44"/>
      <c r="H731" s="44"/>
      <c r="I731" s="44"/>
      <c r="J731" s="44"/>
      <c r="K731" s="44"/>
      <c r="L731" s="44"/>
    </row>
    <row r="732" ht="15.75" customHeight="1">
      <c r="B732" s="43"/>
      <c r="C732" s="43"/>
      <c r="D732" s="44"/>
      <c r="E732" s="44"/>
      <c r="F732" s="44"/>
      <c r="G732" s="44"/>
      <c r="H732" s="44"/>
      <c r="I732" s="44"/>
      <c r="J732" s="44"/>
      <c r="K732" s="44"/>
      <c r="L732" s="44"/>
    </row>
    <row r="733" ht="15.75" customHeight="1">
      <c r="B733" s="43"/>
      <c r="C733" s="43"/>
      <c r="D733" s="44"/>
      <c r="E733" s="44"/>
      <c r="F733" s="44"/>
      <c r="G733" s="44"/>
      <c r="H733" s="44"/>
      <c r="I733" s="44"/>
      <c r="J733" s="44"/>
      <c r="K733" s="44"/>
      <c r="L733" s="44"/>
    </row>
    <row r="734" ht="15.75" customHeight="1">
      <c r="B734" s="43"/>
      <c r="C734" s="43"/>
      <c r="D734" s="44"/>
      <c r="E734" s="44"/>
      <c r="F734" s="44"/>
      <c r="G734" s="44"/>
      <c r="H734" s="44"/>
      <c r="I734" s="44"/>
      <c r="J734" s="44"/>
      <c r="K734" s="44"/>
      <c r="L734" s="44"/>
    </row>
    <row r="735" ht="15.75" customHeight="1">
      <c r="B735" s="43"/>
      <c r="C735" s="43"/>
      <c r="D735" s="44"/>
      <c r="E735" s="44"/>
      <c r="F735" s="44"/>
      <c r="G735" s="44"/>
      <c r="H735" s="44"/>
      <c r="I735" s="44"/>
      <c r="J735" s="44"/>
      <c r="K735" s="44"/>
      <c r="L735" s="44"/>
    </row>
    <row r="736" ht="15.75" customHeight="1">
      <c r="B736" s="43"/>
      <c r="C736" s="43"/>
      <c r="D736" s="44"/>
      <c r="E736" s="44"/>
      <c r="F736" s="44"/>
      <c r="G736" s="44"/>
      <c r="H736" s="44"/>
      <c r="I736" s="44"/>
      <c r="J736" s="44"/>
      <c r="K736" s="44"/>
      <c r="L736" s="44"/>
    </row>
    <row r="737" ht="15.75" customHeight="1">
      <c r="B737" s="43"/>
      <c r="C737" s="43"/>
      <c r="D737" s="44"/>
      <c r="E737" s="44"/>
      <c r="F737" s="44"/>
      <c r="G737" s="44"/>
      <c r="H737" s="44"/>
      <c r="I737" s="44"/>
      <c r="J737" s="44"/>
      <c r="K737" s="44"/>
      <c r="L737" s="44"/>
    </row>
    <row r="738" ht="15.75" customHeight="1">
      <c r="B738" s="43"/>
      <c r="C738" s="43"/>
      <c r="D738" s="44"/>
      <c r="E738" s="44"/>
      <c r="F738" s="44"/>
      <c r="G738" s="44"/>
      <c r="H738" s="44"/>
      <c r="I738" s="44"/>
      <c r="J738" s="44"/>
      <c r="K738" s="44"/>
      <c r="L738" s="44"/>
    </row>
    <row r="739" ht="15.75" customHeight="1">
      <c r="B739" s="43"/>
      <c r="C739" s="43"/>
      <c r="D739" s="44"/>
      <c r="E739" s="44"/>
      <c r="F739" s="44"/>
      <c r="G739" s="44"/>
      <c r="H739" s="44"/>
      <c r="I739" s="44"/>
      <c r="J739" s="44"/>
      <c r="K739" s="44"/>
      <c r="L739" s="44"/>
    </row>
    <row r="740" ht="15.75" customHeight="1">
      <c r="B740" s="43"/>
      <c r="C740" s="43"/>
      <c r="D740" s="44"/>
      <c r="E740" s="44"/>
      <c r="F740" s="44"/>
      <c r="G740" s="44"/>
      <c r="H740" s="44"/>
      <c r="I740" s="44"/>
      <c r="J740" s="44"/>
      <c r="K740" s="44"/>
      <c r="L740" s="44"/>
    </row>
    <row r="741" ht="15.75" customHeight="1">
      <c r="B741" s="43"/>
      <c r="C741" s="43"/>
      <c r="D741" s="44"/>
      <c r="E741" s="44"/>
      <c r="F741" s="44"/>
      <c r="G741" s="44"/>
      <c r="H741" s="44"/>
      <c r="I741" s="44"/>
      <c r="J741" s="44"/>
      <c r="K741" s="44"/>
      <c r="L741" s="44"/>
    </row>
    <row r="742" ht="15.75" customHeight="1">
      <c r="B742" s="43"/>
      <c r="C742" s="43"/>
      <c r="D742" s="44"/>
      <c r="E742" s="44"/>
      <c r="F742" s="44"/>
      <c r="G742" s="44"/>
      <c r="H742" s="44"/>
      <c r="I742" s="44"/>
      <c r="J742" s="44"/>
      <c r="K742" s="44"/>
      <c r="L742" s="44"/>
    </row>
    <row r="743" ht="15.75" customHeight="1">
      <c r="B743" s="43"/>
      <c r="C743" s="43"/>
      <c r="D743" s="44"/>
      <c r="E743" s="44"/>
      <c r="F743" s="44"/>
      <c r="G743" s="44"/>
      <c r="H743" s="44"/>
      <c r="I743" s="44"/>
      <c r="J743" s="44"/>
      <c r="K743" s="44"/>
      <c r="L743" s="44"/>
    </row>
    <row r="744" ht="15.75" customHeight="1">
      <c r="B744" s="43"/>
      <c r="C744" s="43"/>
      <c r="D744" s="44"/>
      <c r="E744" s="44"/>
      <c r="F744" s="44"/>
      <c r="G744" s="44"/>
      <c r="H744" s="44"/>
      <c r="I744" s="44"/>
      <c r="J744" s="44"/>
      <c r="K744" s="44"/>
      <c r="L744" s="44"/>
    </row>
    <row r="745" ht="15.75" customHeight="1">
      <c r="B745" s="43"/>
      <c r="C745" s="43"/>
      <c r="D745" s="44"/>
      <c r="E745" s="44"/>
      <c r="F745" s="44"/>
      <c r="G745" s="44"/>
      <c r="H745" s="44"/>
      <c r="I745" s="44"/>
      <c r="J745" s="44"/>
      <c r="K745" s="44"/>
      <c r="L745" s="44"/>
    </row>
    <row r="746" ht="15.75" customHeight="1">
      <c r="B746" s="43"/>
      <c r="C746" s="43"/>
      <c r="D746" s="44"/>
      <c r="E746" s="44"/>
      <c r="F746" s="44"/>
      <c r="G746" s="44"/>
      <c r="H746" s="44"/>
      <c r="I746" s="44"/>
      <c r="J746" s="44"/>
      <c r="K746" s="44"/>
      <c r="L746" s="44"/>
    </row>
    <row r="747" ht="15.75" customHeight="1">
      <c r="B747" s="43"/>
      <c r="C747" s="43"/>
      <c r="D747" s="44"/>
      <c r="E747" s="44"/>
      <c r="F747" s="44"/>
      <c r="G747" s="44"/>
      <c r="H747" s="44"/>
      <c r="I747" s="44"/>
      <c r="J747" s="44"/>
      <c r="K747" s="44"/>
      <c r="L747" s="44"/>
    </row>
    <row r="748" ht="15.75" customHeight="1">
      <c r="B748" s="43"/>
      <c r="C748" s="43"/>
      <c r="D748" s="44"/>
      <c r="E748" s="44"/>
      <c r="F748" s="44"/>
      <c r="G748" s="44"/>
      <c r="H748" s="44"/>
      <c r="I748" s="44"/>
      <c r="J748" s="44"/>
      <c r="K748" s="44"/>
      <c r="L748" s="44"/>
    </row>
    <row r="749" ht="15.75" customHeight="1">
      <c r="B749" s="43"/>
      <c r="C749" s="43"/>
      <c r="D749" s="44"/>
      <c r="E749" s="44"/>
      <c r="F749" s="44"/>
      <c r="G749" s="44"/>
      <c r="H749" s="44"/>
      <c r="I749" s="44"/>
      <c r="J749" s="44"/>
      <c r="K749" s="44"/>
      <c r="L749" s="44"/>
    </row>
    <row r="750" ht="15.75" customHeight="1">
      <c r="B750" s="43"/>
      <c r="C750" s="43"/>
      <c r="D750" s="44"/>
      <c r="E750" s="44"/>
      <c r="F750" s="44"/>
      <c r="G750" s="44"/>
      <c r="H750" s="44"/>
      <c r="I750" s="44"/>
      <c r="J750" s="44"/>
      <c r="K750" s="44"/>
      <c r="L750" s="44"/>
    </row>
    <row r="751" ht="15.75" customHeight="1">
      <c r="B751" s="43"/>
      <c r="C751" s="43"/>
      <c r="D751" s="44"/>
      <c r="E751" s="44"/>
      <c r="F751" s="44"/>
      <c r="G751" s="44"/>
      <c r="H751" s="44"/>
      <c r="I751" s="44"/>
      <c r="J751" s="44"/>
      <c r="K751" s="44"/>
      <c r="L751" s="44"/>
    </row>
    <row r="752" ht="15.75" customHeight="1">
      <c r="B752" s="43"/>
      <c r="C752" s="43"/>
      <c r="D752" s="44"/>
      <c r="E752" s="44"/>
      <c r="F752" s="44"/>
      <c r="G752" s="44"/>
      <c r="H752" s="44"/>
      <c r="I752" s="44"/>
      <c r="J752" s="44"/>
      <c r="K752" s="44"/>
      <c r="L752" s="44"/>
    </row>
    <row r="753" ht="15.75" customHeight="1">
      <c r="B753" s="43"/>
      <c r="C753" s="43"/>
      <c r="D753" s="44"/>
      <c r="E753" s="44"/>
      <c r="F753" s="44"/>
      <c r="G753" s="44"/>
      <c r="H753" s="44"/>
      <c r="I753" s="44"/>
      <c r="J753" s="44"/>
      <c r="K753" s="44"/>
      <c r="L753" s="44"/>
    </row>
    <row r="754" ht="15.75" customHeight="1">
      <c r="B754" s="43"/>
      <c r="C754" s="43"/>
      <c r="D754" s="44"/>
      <c r="E754" s="44"/>
      <c r="F754" s="44"/>
      <c r="G754" s="44"/>
      <c r="H754" s="44"/>
      <c r="I754" s="44"/>
      <c r="J754" s="44"/>
      <c r="K754" s="44"/>
      <c r="L754" s="44"/>
    </row>
    <row r="755" ht="15.75" customHeight="1">
      <c r="B755" s="43"/>
      <c r="C755" s="43"/>
      <c r="D755" s="44"/>
      <c r="E755" s="44"/>
      <c r="F755" s="44"/>
      <c r="G755" s="44"/>
      <c r="H755" s="44"/>
      <c r="I755" s="44"/>
      <c r="J755" s="44"/>
      <c r="K755" s="44"/>
      <c r="L755" s="44"/>
    </row>
    <row r="756" ht="15.75" customHeight="1">
      <c r="B756" s="43"/>
      <c r="C756" s="43"/>
      <c r="D756" s="44"/>
      <c r="E756" s="44"/>
      <c r="F756" s="44"/>
      <c r="G756" s="44"/>
      <c r="H756" s="44"/>
      <c r="I756" s="44"/>
      <c r="J756" s="44"/>
      <c r="K756" s="44"/>
      <c r="L756" s="44"/>
    </row>
    <row r="757" ht="15.75" customHeight="1">
      <c r="B757" s="43"/>
      <c r="C757" s="43"/>
      <c r="D757" s="44"/>
      <c r="E757" s="44"/>
      <c r="F757" s="44"/>
      <c r="G757" s="44"/>
      <c r="H757" s="44"/>
      <c r="I757" s="44"/>
      <c r="J757" s="44"/>
      <c r="K757" s="44"/>
      <c r="L757" s="44"/>
    </row>
    <row r="758" ht="15.75" customHeight="1">
      <c r="B758" s="43"/>
      <c r="C758" s="43"/>
      <c r="D758" s="44"/>
      <c r="E758" s="44"/>
      <c r="F758" s="44"/>
      <c r="G758" s="44"/>
      <c r="H758" s="44"/>
      <c r="I758" s="44"/>
      <c r="J758" s="44"/>
      <c r="K758" s="44"/>
      <c r="L758" s="44"/>
    </row>
    <row r="759" ht="15.75" customHeight="1">
      <c r="B759" s="43"/>
      <c r="C759" s="43"/>
      <c r="D759" s="44"/>
      <c r="E759" s="44"/>
      <c r="F759" s="44"/>
      <c r="G759" s="44"/>
      <c r="H759" s="44"/>
      <c r="I759" s="44"/>
      <c r="J759" s="44"/>
      <c r="K759" s="44"/>
      <c r="L759" s="44"/>
    </row>
    <row r="760" ht="15.75" customHeight="1">
      <c r="B760" s="43"/>
      <c r="C760" s="43"/>
      <c r="D760" s="44"/>
      <c r="E760" s="44"/>
      <c r="F760" s="44"/>
      <c r="G760" s="44"/>
      <c r="H760" s="44"/>
      <c r="I760" s="44"/>
      <c r="J760" s="44"/>
      <c r="K760" s="44"/>
      <c r="L760" s="44"/>
    </row>
    <row r="761" ht="15.75" customHeight="1">
      <c r="B761" s="43"/>
      <c r="C761" s="43"/>
      <c r="D761" s="44"/>
      <c r="E761" s="44"/>
      <c r="F761" s="44"/>
      <c r="G761" s="44"/>
      <c r="H761" s="44"/>
      <c r="I761" s="44"/>
      <c r="J761" s="44"/>
      <c r="K761" s="44"/>
      <c r="L761" s="44"/>
    </row>
    <row r="762" ht="15.75" customHeight="1">
      <c r="B762" s="43"/>
      <c r="C762" s="43"/>
      <c r="D762" s="44"/>
      <c r="E762" s="44"/>
      <c r="F762" s="44"/>
      <c r="G762" s="44"/>
      <c r="H762" s="44"/>
      <c r="I762" s="44"/>
      <c r="J762" s="44"/>
      <c r="K762" s="44"/>
      <c r="L762" s="44"/>
    </row>
    <row r="763" ht="15.75" customHeight="1">
      <c r="B763" s="43"/>
      <c r="C763" s="43"/>
      <c r="D763" s="44"/>
      <c r="E763" s="44"/>
      <c r="F763" s="44"/>
      <c r="G763" s="44"/>
      <c r="H763" s="44"/>
      <c r="I763" s="44"/>
      <c r="J763" s="44"/>
      <c r="K763" s="44"/>
      <c r="L763" s="44"/>
    </row>
    <row r="764" ht="15.75" customHeight="1">
      <c r="B764" s="43"/>
      <c r="C764" s="43"/>
      <c r="D764" s="44"/>
      <c r="E764" s="44"/>
      <c r="F764" s="44"/>
      <c r="G764" s="44"/>
      <c r="H764" s="44"/>
      <c r="I764" s="44"/>
      <c r="J764" s="44"/>
      <c r="K764" s="44"/>
      <c r="L764" s="44"/>
    </row>
    <row r="765" ht="15.75" customHeight="1">
      <c r="B765" s="43"/>
      <c r="C765" s="43"/>
      <c r="D765" s="44"/>
      <c r="E765" s="44"/>
      <c r="F765" s="44"/>
      <c r="G765" s="44"/>
      <c r="H765" s="44"/>
      <c r="I765" s="44"/>
      <c r="J765" s="44"/>
      <c r="K765" s="44"/>
      <c r="L765" s="44"/>
    </row>
    <row r="766" ht="15.75" customHeight="1">
      <c r="B766" s="43"/>
      <c r="C766" s="43"/>
      <c r="D766" s="44"/>
      <c r="E766" s="44"/>
      <c r="F766" s="44"/>
      <c r="G766" s="44"/>
      <c r="H766" s="44"/>
      <c r="I766" s="44"/>
      <c r="J766" s="44"/>
      <c r="K766" s="44"/>
      <c r="L766" s="44"/>
    </row>
    <row r="767" ht="15.75" customHeight="1">
      <c r="B767" s="43"/>
      <c r="C767" s="43"/>
      <c r="D767" s="44"/>
      <c r="E767" s="44"/>
      <c r="F767" s="44"/>
      <c r="G767" s="44"/>
      <c r="H767" s="44"/>
      <c r="I767" s="44"/>
      <c r="J767" s="44"/>
      <c r="K767" s="44"/>
      <c r="L767" s="44"/>
    </row>
    <row r="768" ht="15.75" customHeight="1">
      <c r="B768" s="43"/>
      <c r="C768" s="43"/>
      <c r="D768" s="44"/>
      <c r="E768" s="44"/>
      <c r="F768" s="44"/>
      <c r="G768" s="44"/>
      <c r="H768" s="44"/>
      <c r="I768" s="44"/>
      <c r="J768" s="44"/>
      <c r="K768" s="44"/>
      <c r="L768" s="44"/>
    </row>
    <row r="769" ht="15.75" customHeight="1">
      <c r="B769" s="43"/>
      <c r="C769" s="43"/>
      <c r="D769" s="44"/>
      <c r="E769" s="44"/>
      <c r="F769" s="44"/>
      <c r="G769" s="44"/>
      <c r="H769" s="44"/>
      <c r="I769" s="44"/>
      <c r="J769" s="44"/>
      <c r="K769" s="44"/>
      <c r="L769" s="44"/>
    </row>
    <row r="770" ht="15.75" customHeight="1">
      <c r="B770" s="43"/>
      <c r="C770" s="43"/>
      <c r="D770" s="44"/>
      <c r="E770" s="44"/>
      <c r="F770" s="44"/>
      <c r="G770" s="44"/>
      <c r="H770" s="44"/>
      <c r="I770" s="44"/>
      <c r="J770" s="44"/>
      <c r="K770" s="44"/>
      <c r="L770" s="44"/>
    </row>
    <row r="771" ht="15.75" customHeight="1">
      <c r="B771" s="43"/>
      <c r="C771" s="43"/>
      <c r="D771" s="44"/>
      <c r="E771" s="44"/>
      <c r="F771" s="44"/>
      <c r="G771" s="44"/>
      <c r="H771" s="44"/>
      <c r="I771" s="44"/>
      <c r="J771" s="44"/>
      <c r="K771" s="44"/>
      <c r="L771" s="44"/>
    </row>
    <row r="772" ht="15.75" customHeight="1">
      <c r="B772" s="43"/>
      <c r="C772" s="43"/>
      <c r="D772" s="44"/>
      <c r="E772" s="44"/>
      <c r="F772" s="44"/>
      <c r="G772" s="44"/>
      <c r="H772" s="44"/>
      <c r="I772" s="44"/>
      <c r="J772" s="44"/>
      <c r="K772" s="44"/>
      <c r="L772" s="44"/>
    </row>
    <row r="773" ht="15.75" customHeight="1">
      <c r="B773" s="43"/>
      <c r="C773" s="43"/>
      <c r="D773" s="44"/>
      <c r="E773" s="44"/>
      <c r="F773" s="44"/>
      <c r="G773" s="44"/>
      <c r="H773" s="44"/>
      <c r="I773" s="44"/>
      <c r="J773" s="44"/>
      <c r="K773" s="44"/>
      <c r="L773" s="44"/>
    </row>
    <row r="774" ht="15.75" customHeight="1">
      <c r="B774" s="43"/>
      <c r="C774" s="43"/>
      <c r="D774" s="44"/>
      <c r="E774" s="44"/>
      <c r="F774" s="44"/>
      <c r="G774" s="44"/>
      <c r="H774" s="44"/>
      <c r="I774" s="44"/>
      <c r="J774" s="44"/>
      <c r="K774" s="44"/>
      <c r="L774" s="44"/>
    </row>
    <row r="775" ht="15.75" customHeight="1">
      <c r="B775" s="43"/>
      <c r="C775" s="43"/>
      <c r="D775" s="44"/>
      <c r="E775" s="44"/>
      <c r="F775" s="44"/>
      <c r="G775" s="44"/>
      <c r="H775" s="44"/>
      <c r="I775" s="44"/>
      <c r="J775" s="44"/>
      <c r="K775" s="44"/>
      <c r="L775" s="44"/>
    </row>
    <row r="776" ht="15.75" customHeight="1">
      <c r="B776" s="43"/>
      <c r="C776" s="43"/>
      <c r="D776" s="44"/>
      <c r="E776" s="44"/>
      <c r="F776" s="44"/>
      <c r="G776" s="44"/>
      <c r="H776" s="44"/>
      <c r="I776" s="44"/>
      <c r="J776" s="44"/>
      <c r="K776" s="44"/>
      <c r="L776" s="44"/>
    </row>
    <row r="777" ht="15.75" customHeight="1">
      <c r="B777" s="43"/>
      <c r="C777" s="43"/>
      <c r="D777" s="44"/>
      <c r="E777" s="44"/>
      <c r="F777" s="44"/>
      <c r="G777" s="44"/>
      <c r="H777" s="44"/>
      <c r="I777" s="44"/>
      <c r="J777" s="44"/>
      <c r="K777" s="44"/>
      <c r="L777" s="44"/>
    </row>
    <row r="778" ht="15.75" customHeight="1">
      <c r="B778" s="43"/>
      <c r="C778" s="43"/>
      <c r="D778" s="44"/>
      <c r="E778" s="44"/>
      <c r="F778" s="44"/>
      <c r="G778" s="44"/>
      <c r="H778" s="44"/>
      <c r="I778" s="44"/>
      <c r="J778" s="44"/>
      <c r="K778" s="44"/>
      <c r="L778" s="44"/>
    </row>
    <row r="779" ht="15.75" customHeight="1">
      <c r="B779" s="43"/>
      <c r="C779" s="43"/>
      <c r="D779" s="44"/>
      <c r="E779" s="44"/>
      <c r="F779" s="44"/>
      <c r="G779" s="44"/>
      <c r="H779" s="44"/>
      <c r="I779" s="44"/>
      <c r="J779" s="44"/>
      <c r="K779" s="44"/>
      <c r="L779" s="44"/>
    </row>
    <row r="780" ht="15.75" customHeight="1">
      <c r="B780" s="43"/>
      <c r="C780" s="43"/>
      <c r="D780" s="44"/>
      <c r="E780" s="44"/>
      <c r="F780" s="44"/>
      <c r="G780" s="44"/>
      <c r="H780" s="44"/>
      <c r="I780" s="44"/>
      <c r="J780" s="44"/>
      <c r="K780" s="44"/>
      <c r="L780" s="44"/>
    </row>
    <row r="781" ht="15.75" customHeight="1">
      <c r="B781" s="43"/>
      <c r="C781" s="43"/>
      <c r="D781" s="44"/>
      <c r="E781" s="44"/>
      <c r="F781" s="44"/>
      <c r="G781" s="44"/>
      <c r="H781" s="44"/>
      <c r="I781" s="44"/>
      <c r="J781" s="44"/>
      <c r="K781" s="44"/>
      <c r="L781" s="44"/>
    </row>
    <row r="782" ht="15.75" customHeight="1">
      <c r="B782" s="43"/>
      <c r="C782" s="43"/>
      <c r="D782" s="44"/>
      <c r="E782" s="44"/>
      <c r="F782" s="44"/>
      <c r="G782" s="44"/>
      <c r="H782" s="44"/>
      <c r="I782" s="44"/>
      <c r="J782" s="44"/>
      <c r="K782" s="44"/>
      <c r="L782" s="44"/>
    </row>
    <row r="783" ht="15.75" customHeight="1">
      <c r="B783" s="43"/>
      <c r="C783" s="43"/>
      <c r="D783" s="44"/>
      <c r="E783" s="44"/>
      <c r="F783" s="44"/>
      <c r="G783" s="44"/>
      <c r="H783" s="44"/>
      <c r="I783" s="44"/>
      <c r="J783" s="44"/>
      <c r="K783" s="44"/>
      <c r="L783" s="44"/>
    </row>
    <row r="784" ht="15.75" customHeight="1">
      <c r="B784" s="43"/>
      <c r="C784" s="43"/>
      <c r="D784" s="44"/>
      <c r="E784" s="44"/>
      <c r="F784" s="44"/>
      <c r="G784" s="44"/>
      <c r="H784" s="44"/>
      <c r="I784" s="44"/>
      <c r="J784" s="44"/>
      <c r="K784" s="44"/>
      <c r="L784" s="44"/>
    </row>
    <row r="785" ht="15.75" customHeight="1">
      <c r="B785" s="43"/>
      <c r="C785" s="43"/>
      <c r="D785" s="44"/>
      <c r="E785" s="44"/>
      <c r="F785" s="44"/>
      <c r="G785" s="44"/>
      <c r="H785" s="44"/>
      <c r="I785" s="44"/>
      <c r="J785" s="44"/>
      <c r="K785" s="44"/>
      <c r="L785" s="44"/>
    </row>
    <row r="786" ht="15.75" customHeight="1">
      <c r="B786" s="43"/>
      <c r="C786" s="43"/>
      <c r="D786" s="44"/>
      <c r="E786" s="44"/>
      <c r="F786" s="44"/>
      <c r="G786" s="44"/>
      <c r="H786" s="44"/>
      <c r="I786" s="44"/>
      <c r="J786" s="44"/>
      <c r="K786" s="44"/>
      <c r="L786" s="44"/>
    </row>
    <row r="787" ht="15.75" customHeight="1">
      <c r="B787" s="43"/>
      <c r="C787" s="43"/>
      <c r="D787" s="44"/>
      <c r="E787" s="44"/>
      <c r="F787" s="44"/>
      <c r="G787" s="44"/>
      <c r="H787" s="44"/>
      <c r="I787" s="44"/>
      <c r="J787" s="44"/>
      <c r="K787" s="44"/>
      <c r="L787" s="44"/>
    </row>
    <row r="788" ht="15.75" customHeight="1">
      <c r="B788" s="43"/>
      <c r="C788" s="43"/>
      <c r="D788" s="44"/>
      <c r="E788" s="44"/>
      <c r="F788" s="44"/>
      <c r="G788" s="44"/>
      <c r="H788" s="44"/>
      <c r="I788" s="44"/>
      <c r="J788" s="44"/>
      <c r="K788" s="44"/>
      <c r="L788" s="44"/>
    </row>
    <row r="789" ht="15.75" customHeight="1">
      <c r="B789" s="43"/>
      <c r="C789" s="43"/>
      <c r="D789" s="44"/>
      <c r="E789" s="44"/>
      <c r="F789" s="44"/>
      <c r="G789" s="44"/>
      <c r="H789" s="44"/>
      <c r="I789" s="44"/>
      <c r="J789" s="44"/>
      <c r="K789" s="44"/>
      <c r="L789" s="44"/>
    </row>
    <row r="790" ht="15.75" customHeight="1">
      <c r="B790" s="43"/>
      <c r="C790" s="43"/>
      <c r="D790" s="44"/>
      <c r="E790" s="44"/>
      <c r="F790" s="44"/>
      <c r="G790" s="44"/>
      <c r="H790" s="44"/>
      <c r="I790" s="44"/>
      <c r="J790" s="44"/>
      <c r="K790" s="44"/>
      <c r="L790" s="44"/>
    </row>
    <row r="791" ht="15.75" customHeight="1">
      <c r="B791" s="43"/>
      <c r="C791" s="43"/>
      <c r="D791" s="44"/>
      <c r="E791" s="44"/>
      <c r="F791" s="44"/>
      <c r="G791" s="44"/>
      <c r="H791" s="44"/>
      <c r="I791" s="44"/>
      <c r="J791" s="44"/>
      <c r="K791" s="44"/>
      <c r="L791" s="44"/>
    </row>
    <row r="792" ht="15.75" customHeight="1">
      <c r="B792" s="43"/>
      <c r="C792" s="43"/>
      <c r="D792" s="44"/>
      <c r="E792" s="44"/>
      <c r="F792" s="44"/>
      <c r="G792" s="44"/>
      <c r="H792" s="44"/>
      <c r="I792" s="44"/>
      <c r="J792" s="44"/>
      <c r="K792" s="44"/>
      <c r="L792" s="44"/>
    </row>
    <row r="793" ht="15.75" customHeight="1">
      <c r="B793" s="43"/>
      <c r="C793" s="43"/>
      <c r="D793" s="44"/>
      <c r="E793" s="44"/>
      <c r="F793" s="44"/>
      <c r="G793" s="44"/>
      <c r="H793" s="44"/>
      <c r="I793" s="44"/>
      <c r="J793" s="44"/>
      <c r="K793" s="44"/>
      <c r="L793" s="44"/>
    </row>
    <row r="794" ht="15.75" customHeight="1">
      <c r="B794" s="43"/>
      <c r="C794" s="43"/>
      <c r="D794" s="44"/>
      <c r="E794" s="44"/>
      <c r="F794" s="44"/>
      <c r="G794" s="44"/>
      <c r="H794" s="44"/>
      <c r="I794" s="44"/>
      <c r="J794" s="44"/>
      <c r="K794" s="44"/>
      <c r="L794" s="44"/>
    </row>
    <row r="795" ht="15.75" customHeight="1">
      <c r="B795" s="43"/>
      <c r="C795" s="43"/>
      <c r="D795" s="44"/>
      <c r="E795" s="44"/>
      <c r="F795" s="44"/>
      <c r="G795" s="44"/>
      <c r="H795" s="44"/>
      <c r="I795" s="44"/>
      <c r="J795" s="44"/>
      <c r="K795" s="44"/>
      <c r="L795" s="44"/>
    </row>
    <row r="796" ht="15.75" customHeight="1">
      <c r="B796" s="43"/>
      <c r="C796" s="43"/>
      <c r="D796" s="44"/>
      <c r="E796" s="44"/>
      <c r="F796" s="44"/>
      <c r="G796" s="44"/>
      <c r="H796" s="44"/>
      <c r="I796" s="44"/>
      <c r="J796" s="44"/>
      <c r="K796" s="44"/>
      <c r="L796" s="44"/>
    </row>
    <row r="797" ht="15.75" customHeight="1">
      <c r="B797" s="43"/>
      <c r="C797" s="43"/>
      <c r="D797" s="44"/>
      <c r="E797" s="44"/>
      <c r="F797" s="44"/>
      <c r="G797" s="44"/>
      <c r="H797" s="44"/>
      <c r="I797" s="44"/>
      <c r="J797" s="44"/>
      <c r="K797" s="44"/>
      <c r="L797" s="44"/>
    </row>
    <row r="798" ht="15.75" customHeight="1">
      <c r="B798" s="43"/>
      <c r="C798" s="43"/>
      <c r="D798" s="44"/>
      <c r="E798" s="44"/>
      <c r="F798" s="44"/>
      <c r="G798" s="44"/>
      <c r="H798" s="44"/>
      <c r="I798" s="44"/>
      <c r="J798" s="44"/>
      <c r="K798" s="44"/>
      <c r="L798" s="44"/>
    </row>
    <row r="799" ht="15.75" customHeight="1">
      <c r="B799" s="43"/>
      <c r="C799" s="43"/>
      <c r="D799" s="44"/>
      <c r="E799" s="44"/>
      <c r="F799" s="44"/>
      <c r="G799" s="44"/>
      <c r="H799" s="44"/>
      <c r="I799" s="44"/>
      <c r="J799" s="44"/>
      <c r="K799" s="44"/>
      <c r="L799" s="44"/>
    </row>
    <row r="800" ht="15.75" customHeight="1">
      <c r="B800" s="43"/>
      <c r="C800" s="43"/>
      <c r="D800" s="44"/>
      <c r="E800" s="44"/>
      <c r="F800" s="44"/>
      <c r="G800" s="44"/>
      <c r="H800" s="44"/>
      <c r="I800" s="44"/>
      <c r="J800" s="44"/>
      <c r="K800" s="44"/>
      <c r="L800" s="44"/>
    </row>
    <row r="801" ht="15.75" customHeight="1">
      <c r="B801" s="43"/>
      <c r="C801" s="43"/>
      <c r="D801" s="44"/>
      <c r="E801" s="44"/>
      <c r="F801" s="44"/>
      <c r="G801" s="44"/>
      <c r="H801" s="44"/>
      <c r="I801" s="44"/>
      <c r="J801" s="44"/>
      <c r="K801" s="44"/>
      <c r="L801" s="44"/>
    </row>
    <row r="802" ht="15.75" customHeight="1">
      <c r="B802" s="43"/>
      <c r="C802" s="43"/>
      <c r="D802" s="44"/>
      <c r="E802" s="44"/>
      <c r="F802" s="44"/>
      <c r="G802" s="44"/>
      <c r="H802" s="44"/>
      <c r="I802" s="44"/>
      <c r="J802" s="44"/>
      <c r="K802" s="44"/>
      <c r="L802" s="44"/>
    </row>
    <row r="803" ht="15.75" customHeight="1">
      <c r="B803" s="43"/>
      <c r="C803" s="43"/>
      <c r="D803" s="44"/>
      <c r="E803" s="44"/>
      <c r="F803" s="44"/>
      <c r="G803" s="44"/>
      <c r="H803" s="44"/>
      <c r="I803" s="44"/>
      <c r="J803" s="44"/>
      <c r="K803" s="44"/>
      <c r="L803" s="44"/>
    </row>
    <row r="804" ht="15.75" customHeight="1">
      <c r="B804" s="43"/>
      <c r="C804" s="43"/>
      <c r="D804" s="44"/>
      <c r="E804" s="44"/>
      <c r="F804" s="44"/>
      <c r="G804" s="44"/>
      <c r="H804" s="44"/>
      <c r="I804" s="44"/>
      <c r="J804" s="44"/>
      <c r="K804" s="44"/>
      <c r="L804" s="44"/>
    </row>
    <row r="805" ht="15.75" customHeight="1">
      <c r="B805" s="43"/>
      <c r="C805" s="43"/>
      <c r="D805" s="44"/>
      <c r="E805" s="44"/>
      <c r="F805" s="44"/>
      <c r="G805" s="44"/>
      <c r="H805" s="44"/>
      <c r="I805" s="44"/>
      <c r="J805" s="44"/>
      <c r="K805" s="44"/>
      <c r="L805" s="44"/>
    </row>
    <row r="806" ht="15.75" customHeight="1">
      <c r="B806" s="43"/>
      <c r="C806" s="43"/>
      <c r="D806" s="44"/>
      <c r="E806" s="44"/>
      <c r="F806" s="44"/>
      <c r="G806" s="44"/>
      <c r="H806" s="44"/>
      <c r="I806" s="44"/>
      <c r="J806" s="44"/>
      <c r="K806" s="44"/>
      <c r="L806" s="44"/>
    </row>
    <row r="807" ht="15.75" customHeight="1">
      <c r="B807" s="43"/>
      <c r="C807" s="43"/>
      <c r="D807" s="44"/>
      <c r="E807" s="44"/>
      <c r="F807" s="44"/>
      <c r="G807" s="44"/>
      <c r="H807" s="44"/>
      <c r="I807" s="44"/>
      <c r="J807" s="44"/>
      <c r="K807" s="44"/>
      <c r="L807" s="44"/>
    </row>
    <row r="808" ht="15.75" customHeight="1">
      <c r="B808" s="43"/>
      <c r="C808" s="43"/>
      <c r="D808" s="44"/>
      <c r="E808" s="44"/>
      <c r="F808" s="44"/>
      <c r="G808" s="44"/>
      <c r="H808" s="44"/>
      <c r="I808" s="44"/>
      <c r="J808" s="44"/>
      <c r="K808" s="44"/>
      <c r="L808" s="44"/>
    </row>
    <row r="809" ht="15.75" customHeight="1">
      <c r="B809" s="43"/>
      <c r="C809" s="43"/>
      <c r="D809" s="44"/>
      <c r="E809" s="44"/>
      <c r="F809" s="44"/>
      <c r="G809" s="44"/>
      <c r="H809" s="44"/>
      <c r="I809" s="44"/>
      <c r="J809" s="44"/>
      <c r="K809" s="44"/>
      <c r="L809" s="44"/>
    </row>
    <row r="810" ht="15.75" customHeight="1">
      <c r="B810" s="43"/>
      <c r="C810" s="43"/>
      <c r="D810" s="44"/>
      <c r="E810" s="44"/>
      <c r="F810" s="44"/>
      <c r="G810" s="44"/>
      <c r="H810" s="44"/>
      <c r="I810" s="44"/>
      <c r="J810" s="44"/>
      <c r="K810" s="44"/>
      <c r="L810" s="44"/>
    </row>
    <row r="811" ht="15.75" customHeight="1">
      <c r="B811" s="43"/>
      <c r="C811" s="43"/>
      <c r="D811" s="44"/>
      <c r="E811" s="44"/>
      <c r="F811" s="44"/>
      <c r="G811" s="44"/>
      <c r="H811" s="44"/>
      <c r="I811" s="44"/>
      <c r="J811" s="44"/>
      <c r="K811" s="44"/>
      <c r="L811" s="44"/>
    </row>
    <row r="812" ht="15.75" customHeight="1">
      <c r="B812" s="43"/>
      <c r="C812" s="43"/>
      <c r="D812" s="44"/>
      <c r="E812" s="44"/>
      <c r="F812" s="44"/>
      <c r="G812" s="44"/>
      <c r="H812" s="44"/>
      <c r="I812" s="44"/>
      <c r="J812" s="44"/>
      <c r="K812" s="44"/>
      <c r="L812" s="44"/>
    </row>
    <row r="813" ht="15.75" customHeight="1">
      <c r="B813" s="43"/>
      <c r="C813" s="43"/>
      <c r="D813" s="44"/>
      <c r="E813" s="44"/>
      <c r="F813" s="44"/>
      <c r="G813" s="44"/>
      <c r="H813" s="44"/>
      <c r="I813" s="44"/>
      <c r="J813" s="44"/>
      <c r="K813" s="44"/>
      <c r="L813" s="44"/>
    </row>
    <row r="814" ht="15.75" customHeight="1">
      <c r="B814" s="43"/>
      <c r="C814" s="43"/>
      <c r="D814" s="44"/>
      <c r="E814" s="44"/>
      <c r="F814" s="44"/>
      <c r="G814" s="44"/>
      <c r="H814" s="44"/>
      <c r="I814" s="44"/>
      <c r="J814" s="44"/>
      <c r="K814" s="44"/>
      <c r="L814" s="44"/>
    </row>
    <row r="815" ht="15.75" customHeight="1">
      <c r="B815" s="43"/>
      <c r="C815" s="43"/>
      <c r="D815" s="44"/>
      <c r="E815" s="44"/>
      <c r="F815" s="44"/>
      <c r="G815" s="44"/>
      <c r="H815" s="44"/>
      <c r="I815" s="44"/>
      <c r="J815" s="44"/>
      <c r="K815" s="44"/>
      <c r="L815" s="44"/>
    </row>
    <row r="816" ht="15.75" customHeight="1">
      <c r="B816" s="43"/>
      <c r="C816" s="43"/>
      <c r="D816" s="44"/>
      <c r="E816" s="44"/>
      <c r="F816" s="44"/>
      <c r="G816" s="44"/>
      <c r="H816" s="44"/>
      <c r="I816" s="44"/>
      <c r="J816" s="44"/>
      <c r="K816" s="44"/>
      <c r="L816" s="44"/>
    </row>
    <row r="817" ht="15.75" customHeight="1">
      <c r="B817" s="43"/>
      <c r="C817" s="43"/>
      <c r="D817" s="44"/>
      <c r="E817" s="44"/>
      <c r="F817" s="44"/>
      <c r="G817" s="44"/>
      <c r="H817" s="44"/>
      <c r="I817" s="44"/>
      <c r="J817" s="44"/>
      <c r="K817" s="44"/>
      <c r="L817" s="44"/>
    </row>
    <row r="818" ht="15.75" customHeight="1">
      <c r="B818" s="43"/>
      <c r="C818" s="43"/>
      <c r="D818" s="44"/>
      <c r="E818" s="44"/>
      <c r="F818" s="44"/>
      <c r="G818" s="44"/>
      <c r="H818" s="44"/>
      <c r="I818" s="44"/>
      <c r="J818" s="44"/>
      <c r="K818" s="44"/>
      <c r="L818" s="44"/>
    </row>
    <row r="819" ht="15.75" customHeight="1">
      <c r="B819" s="43"/>
      <c r="C819" s="43"/>
      <c r="D819" s="44"/>
      <c r="E819" s="44"/>
      <c r="F819" s="44"/>
      <c r="G819" s="44"/>
      <c r="H819" s="44"/>
      <c r="I819" s="44"/>
      <c r="J819" s="44"/>
      <c r="K819" s="44"/>
      <c r="L819" s="44"/>
    </row>
    <row r="820" ht="15.75" customHeight="1">
      <c r="B820" s="43"/>
      <c r="C820" s="43"/>
      <c r="D820" s="44"/>
      <c r="E820" s="44"/>
      <c r="F820" s="44"/>
      <c r="G820" s="44"/>
      <c r="H820" s="44"/>
      <c r="I820" s="44"/>
      <c r="J820" s="44"/>
      <c r="K820" s="44"/>
      <c r="L820" s="44"/>
    </row>
    <row r="821" ht="15.75" customHeight="1">
      <c r="B821" s="43"/>
      <c r="C821" s="43"/>
      <c r="D821" s="44"/>
      <c r="E821" s="44"/>
      <c r="F821" s="44"/>
      <c r="G821" s="44"/>
      <c r="H821" s="44"/>
      <c r="I821" s="44"/>
      <c r="J821" s="44"/>
      <c r="K821" s="44"/>
      <c r="L821" s="44"/>
    </row>
    <row r="822" ht="15.75" customHeight="1">
      <c r="B822" s="43"/>
      <c r="C822" s="43"/>
      <c r="D822" s="44"/>
      <c r="E822" s="44"/>
      <c r="F822" s="44"/>
      <c r="G822" s="44"/>
      <c r="H822" s="44"/>
      <c r="I822" s="44"/>
      <c r="J822" s="44"/>
      <c r="K822" s="44"/>
      <c r="L822" s="44"/>
    </row>
    <row r="823" ht="15.75" customHeight="1">
      <c r="B823" s="43"/>
      <c r="C823" s="43"/>
      <c r="D823" s="44"/>
      <c r="E823" s="44"/>
      <c r="F823" s="44"/>
      <c r="G823" s="44"/>
      <c r="H823" s="44"/>
      <c r="I823" s="44"/>
      <c r="J823" s="44"/>
      <c r="K823" s="44"/>
      <c r="L823" s="44"/>
    </row>
    <row r="824" ht="15.75" customHeight="1">
      <c r="B824" s="43"/>
      <c r="C824" s="43"/>
      <c r="D824" s="44"/>
      <c r="E824" s="44"/>
      <c r="F824" s="44"/>
      <c r="G824" s="44"/>
      <c r="H824" s="44"/>
      <c r="I824" s="44"/>
      <c r="J824" s="44"/>
      <c r="K824" s="44"/>
      <c r="L824" s="44"/>
    </row>
    <row r="825" ht="15.75" customHeight="1">
      <c r="B825" s="43"/>
      <c r="C825" s="43"/>
      <c r="D825" s="44"/>
      <c r="E825" s="44"/>
      <c r="F825" s="44"/>
      <c r="G825" s="44"/>
      <c r="H825" s="44"/>
      <c r="I825" s="44"/>
      <c r="J825" s="44"/>
      <c r="K825" s="44"/>
      <c r="L825" s="44"/>
    </row>
    <row r="826" ht="15.75" customHeight="1">
      <c r="B826" s="43"/>
      <c r="C826" s="43"/>
      <c r="D826" s="44"/>
      <c r="E826" s="44"/>
      <c r="F826" s="44"/>
      <c r="G826" s="44"/>
      <c r="H826" s="44"/>
      <c r="I826" s="44"/>
      <c r="J826" s="44"/>
      <c r="K826" s="44"/>
      <c r="L826" s="44"/>
    </row>
    <row r="827" ht="15.75" customHeight="1">
      <c r="B827" s="43"/>
      <c r="C827" s="43"/>
      <c r="D827" s="44"/>
      <c r="E827" s="44"/>
      <c r="F827" s="44"/>
      <c r="G827" s="44"/>
      <c r="H827" s="44"/>
      <c r="I827" s="44"/>
      <c r="J827" s="44"/>
      <c r="K827" s="44"/>
      <c r="L827" s="44"/>
    </row>
    <row r="828" ht="15.75" customHeight="1">
      <c r="B828" s="43"/>
      <c r="C828" s="43"/>
      <c r="D828" s="44"/>
      <c r="E828" s="44"/>
      <c r="F828" s="44"/>
      <c r="G828" s="44"/>
      <c r="H828" s="44"/>
      <c r="I828" s="44"/>
      <c r="J828" s="44"/>
      <c r="K828" s="44"/>
      <c r="L828" s="44"/>
    </row>
    <row r="829" ht="15.75" customHeight="1">
      <c r="B829" s="43"/>
      <c r="C829" s="43"/>
      <c r="D829" s="44"/>
      <c r="E829" s="44"/>
      <c r="F829" s="44"/>
      <c r="G829" s="44"/>
      <c r="H829" s="44"/>
      <c r="I829" s="44"/>
      <c r="J829" s="44"/>
      <c r="K829" s="44"/>
      <c r="L829" s="44"/>
    </row>
    <row r="830" ht="15.75" customHeight="1">
      <c r="B830" s="43"/>
      <c r="C830" s="43"/>
      <c r="D830" s="44"/>
      <c r="E830" s="44"/>
      <c r="F830" s="44"/>
      <c r="G830" s="44"/>
      <c r="H830" s="44"/>
      <c r="I830" s="44"/>
      <c r="J830" s="44"/>
      <c r="K830" s="44"/>
      <c r="L830" s="44"/>
    </row>
    <row r="831" ht="15.75" customHeight="1">
      <c r="B831" s="43"/>
      <c r="C831" s="43"/>
      <c r="D831" s="44"/>
      <c r="E831" s="44"/>
      <c r="F831" s="44"/>
      <c r="G831" s="44"/>
      <c r="H831" s="44"/>
      <c r="I831" s="44"/>
      <c r="J831" s="44"/>
      <c r="K831" s="44"/>
      <c r="L831" s="44"/>
    </row>
    <row r="832" ht="15.75" customHeight="1">
      <c r="B832" s="43"/>
      <c r="C832" s="43"/>
      <c r="D832" s="44"/>
      <c r="E832" s="44"/>
      <c r="F832" s="44"/>
      <c r="G832" s="44"/>
      <c r="H832" s="44"/>
      <c r="I832" s="44"/>
      <c r="J832" s="44"/>
      <c r="K832" s="44"/>
      <c r="L832" s="44"/>
    </row>
    <row r="833" ht="15.75" customHeight="1">
      <c r="B833" s="43"/>
      <c r="C833" s="43"/>
      <c r="D833" s="44"/>
      <c r="E833" s="44"/>
      <c r="F833" s="44"/>
      <c r="G833" s="44"/>
      <c r="H833" s="44"/>
      <c r="I833" s="44"/>
      <c r="J833" s="44"/>
      <c r="K833" s="44"/>
      <c r="L833" s="44"/>
    </row>
    <row r="834" ht="15.75" customHeight="1">
      <c r="B834" s="43"/>
      <c r="C834" s="43"/>
      <c r="D834" s="44"/>
      <c r="E834" s="44"/>
      <c r="F834" s="44"/>
      <c r="G834" s="44"/>
      <c r="H834" s="44"/>
      <c r="I834" s="44"/>
      <c r="J834" s="44"/>
      <c r="K834" s="44"/>
      <c r="L834" s="44"/>
    </row>
    <row r="835" ht="15.75" customHeight="1">
      <c r="B835" s="43"/>
      <c r="C835" s="43"/>
      <c r="D835" s="44"/>
      <c r="E835" s="44"/>
      <c r="F835" s="44"/>
      <c r="G835" s="44"/>
      <c r="H835" s="44"/>
      <c r="I835" s="44"/>
      <c r="J835" s="44"/>
      <c r="K835" s="44"/>
      <c r="L835" s="44"/>
    </row>
    <row r="836" ht="15.75" customHeight="1">
      <c r="B836" s="43"/>
      <c r="C836" s="43"/>
      <c r="D836" s="44"/>
      <c r="E836" s="44"/>
      <c r="F836" s="44"/>
      <c r="G836" s="44"/>
      <c r="H836" s="44"/>
      <c r="I836" s="44"/>
      <c r="J836" s="44"/>
      <c r="K836" s="44"/>
      <c r="L836" s="44"/>
    </row>
    <row r="837" ht="15.75" customHeight="1">
      <c r="B837" s="43"/>
      <c r="C837" s="43"/>
      <c r="D837" s="44"/>
      <c r="E837" s="44"/>
      <c r="F837" s="44"/>
      <c r="G837" s="44"/>
      <c r="H837" s="44"/>
      <c r="I837" s="44"/>
      <c r="J837" s="44"/>
      <c r="K837" s="44"/>
      <c r="L837" s="44"/>
    </row>
    <row r="838" ht="15.75" customHeight="1">
      <c r="B838" s="43"/>
      <c r="C838" s="43"/>
      <c r="D838" s="44"/>
      <c r="E838" s="44"/>
      <c r="F838" s="44"/>
      <c r="G838" s="44"/>
      <c r="H838" s="44"/>
      <c r="I838" s="44"/>
      <c r="J838" s="44"/>
      <c r="K838" s="44"/>
      <c r="L838" s="44"/>
    </row>
    <row r="839" ht="15.75" customHeight="1">
      <c r="B839" s="43"/>
      <c r="C839" s="43"/>
      <c r="D839" s="44"/>
      <c r="E839" s="44"/>
      <c r="F839" s="44"/>
      <c r="G839" s="44"/>
      <c r="H839" s="44"/>
      <c r="I839" s="44"/>
      <c r="J839" s="44"/>
      <c r="K839" s="44"/>
      <c r="L839" s="44"/>
    </row>
    <row r="840" ht="15.75" customHeight="1">
      <c r="B840" s="43"/>
      <c r="C840" s="43"/>
      <c r="D840" s="44"/>
      <c r="E840" s="44"/>
      <c r="F840" s="44"/>
      <c r="G840" s="44"/>
      <c r="H840" s="44"/>
      <c r="I840" s="44"/>
      <c r="J840" s="44"/>
      <c r="K840" s="44"/>
      <c r="L840" s="44"/>
    </row>
    <row r="841" ht="15.75" customHeight="1">
      <c r="B841" s="43"/>
      <c r="C841" s="43"/>
      <c r="D841" s="44"/>
      <c r="E841" s="44"/>
      <c r="F841" s="44"/>
      <c r="G841" s="44"/>
      <c r="H841" s="44"/>
      <c r="I841" s="44"/>
      <c r="J841" s="44"/>
      <c r="K841" s="44"/>
      <c r="L841" s="44"/>
    </row>
    <row r="842" ht="15.75" customHeight="1">
      <c r="B842" s="43"/>
      <c r="C842" s="43"/>
      <c r="D842" s="44"/>
      <c r="E842" s="44"/>
      <c r="F842" s="44"/>
      <c r="G842" s="44"/>
      <c r="H842" s="44"/>
      <c r="I842" s="44"/>
      <c r="J842" s="44"/>
      <c r="K842" s="44"/>
      <c r="L842" s="44"/>
    </row>
    <row r="843" ht="15.75" customHeight="1">
      <c r="B843" s="43"/>
      <c r="C843" s="43"/>
      <c r="D843" s="44"/>
      <c r="E843" s="44"/>
      <c r="F843" s="44"/>
      <c r="G843" s="44"/>
      <c r="H843" s="44"/>
      <c r="I843" s="44"/>
      <c r="J843" s="44"/>
      <c r="K843" s="44"/>
      <c r="L843" s="44"/>
    </row>
    <row r="844" ht="15.75" customHeight="1">
      <c r="B844" s="43"/>
      <c r="C844" s="43"/>
      <c r="D844" s="44"/>
      <c r="E844" s="44"/>
      <c r="F844" s="44"/>
      <c r="G844" s="44"/>
      <c r="H844" s="44"/>
      <c r="I844" s="44"/>
      <c r="J844" s="44"/>
      <c r="K844" s="44"/>
      <c r="L844" s="44"/>
    </row>
    <row r="845" ht="15.75" customHeight="1">
      <c r="B845" s="43"/>
      <c r="C845" s="43"/>
      <c r="D845" s="44"/>
      <c r="E845" s="44"/>
      <c r="F845" s="44"/>
      <c r="G845" s="44"/>
      <c r="H845" s="44"/>
      <c r="I845" s="44"/>
      <c r="J845" s="44"/>
      <c r="K845" s="44"/>
      <c r="L845" s="44"/>
    </row>
    <row r="846" ht="15.75" customHeight="1">
      <c r="B846" s="43"/>
      <c r="C846" s="43"/>
      <c r="D846" s="44"/>
      <c r="E846" s="44"/>
      <c r="F846" s="44"/>
      <c r="G846" s="44"/>
      <c r="H846" s="44"/>
      <c r="I846" s="44"/>
      <c r="J846" s="44"/>
      <c r="K846" s="44"/>
      <c r="L846" s="44"/>
    </row>
    <row r="847" ht="15.75" customHeight="1">
      <c r="B847" s="43"/>
      <c r="C847" s="43"/>
      <c r="D847" s="44"/>
      <c r="E847" s="44"/>
      <c r="F847" s="44"/>
      <c r="G847" s="44"/>
      <c r="H847" s="44"/>
      <c r="I847" s="44"/>
      <c r="J847" s="44"/>
      <c r="K847" s="44"/>
      <c r="L847" s="44"/>
    </row>
    <row r="848" ht="15.75" customHeight="1">
      <c r="B848" s="43"/>
      <c r="C848" s="43"/>
      <c r="D848" s="44"/>
      <c r="E848" s="44"/>
      <c r="F848" s="44"/>
      <c r="G848" s="44"/>
      <c r="H848" s="44"/>
      <c r="I848" s="44"/>
      <c r="J848" s="44"/>
      <c r="K848" s="44"/>
      <c r="L848" s="44"/>
    </row>
    <row r="849" ht="15.75" customHeight="1">
      <c r="B849" s="43"/>
      <c r="C849" s="43"/>
      <c r="D849" s="44"/>
      <c r="E849" s="44"/>
      <c r="F849" s="44"/>
      <c r="G849" s="44"/>
      <c r="H849" s="44"/>
      <c r="I849" s="44"/>
      <c r="J849" s="44"/>
      <c r="K849" s="44"/>
      <c r="L849" s="44"/>
    </row>
    <row r="850" ht="15.75" customHeight="1">
      <c r="B850" s="43"/>
      <c r="C850" s="43"/>
      <c r="D850" s="44"/>
      <c r="E850" s="44"/>
      <c r="F850" s="44"/>
      <c r="G850" s="44"/>
      <c r="H850" s="44"/>
      <c r="I850" s="44"/>
      <c r="J850" s="44"/>
      <c r="K850" s="44"/>
      <c r="L850" s="44"/>
    </row>
    <row r="851" ht="15.75" customHeight="1">
      <c r="B851" s="43"/>
      <c r="C851" s="43"/>
      <c r="D851" s="44"/>
      <c r="E851" s="44"/>
      <c r="F851" s="44"/>
      <c r="G851" s="44"/>
      <c r="H851" s="44"/>
      <c r="I851" s="44"/>
      <c r="J851" s="44"/>
      <c r="K851" s="44"/>
      <c r="L851" s="44"/>
    </row>
    <row r="852" ht="15.75" customHeight="1">
      <c r="B852" s="43"/>
      <c r="C852" s="43"/>
      <c r="D852" s="44"/>
      <c r="E852" s="44"/>
      <c r="F852" s="44"/>
      <c r="G852" s="44"/>
      <c r="H852" s="44"/>
      <c r="I852" s="44"/>
      <c r="J852" s="44"/>
      <c r="K852" s="44"/>
      <c r="L852" s="44"/>
    </row>
    <row r="853" ht="15.75" customHeight="1">
      <c r="B853" s="43"/>
      <c r="C853" s="43"/>
      <c r="D853" s="44"/>
      <c r="E853" s="44"/>
      <c r="F853" s="44"/>
      <c r="G853" s="44"/>
      <c r="H853" s="44"/>
      <c r="I853" s="44"/>
      <c r="J853" s="44"/>
      <c r="K853" s="44"/>
      <c r="L853" s="44"/>
    </row>
    <row r="854" ht="15.75" customHeight="1">
      <c r="B854" s="43"/>
      <c r="C854" s="43"/>
      <c r="D854" s="44"/>
      <c r="E854" s="44"/>
      <c r="F854" s="44"/>
      <c r="G854" s="44"/>
      <c r="H854" s="44"/>
      <c r="I854" s="44"/>
      <c r="J854" s="44"/>
      <c r="K854" s="44"/>
      <c r="L854" s="44"/>
    </row>
    <row r="855" ht="15.75" customHeight="1">
      <c r="B855" s="43"/>
      <c r="C855" s="43"/>
      <c r="D855" s="44"/>
      <c r="E855" s="44"/>
      <c r="F855" s="44"/>
      <c r="G855" s="44"/>
      <c r="H855" s="44"/>
      <c r="I855" s="44"/>
      <c r="J855" s="44"/>
      <c r="K855" s="44"/>
      <c r="L855" s="44"/>
    </row>
    <row r="856" ht="15.75" customHeight="1">
      <c r="B856" s="43"/>
      <c r="C856" s="43"/>
      <c r="D856" s="44"/>
      <c r="E856" s="44"/>
      <c r="F856" s="44"/>
      <c r="G856" s="44"/>
      <c r="H856" s="44"/>
      <c r="I856" s="44"/>
      <c r="J856" s="44"/>
      <c r="K856" s="44"/>
      <c r="L856" s="44"/>
    </row>
    <row r="857" ht="15.75" customHeight="1">
      <c r="B857" s="43"/>
      <c r="C857" s="43"/>
      <c r="D857" s="44"/>
      <c r="E857" s="44"/>
      <c r="F857" s="44"/>
      <c r="G857" s="44"/>
      <c r="H857" s="44"/>
      <c r="I857" s="44"/>
      <c r="J857" s="44"/>
      <c r="K857" s="44"/>
      <c r="L857" s="44"/>
    </row>
    <row r="858" ht="15.75" customHeight="1">
      <c r="B858" s="43"/>
      <c r="C858" s="43"/>
      <c r="D858" s="44"/>
      <c r="E858" s="44"/>
      <c r="F858" s="44"/>
      <c r="G858" s="44"/>
      <c r="H858" s="44"/>
      <c r="I858" s="44"/>
      <c r="J858" s="44"/>
      <c r="K858" s="44"/>
      <c r="L858" s="44"/>
    </row>
    <row r="859" ht="15.75" customHeight="1">
      <c r="B859" s="43"/>
      <c r="C859" s="43"/>
      <c r="D859" s="44"/>
      <c r="E859" s="44"/>
      <c r="F859" s="44"/>
      <c r="G859" s="44"/>
      <c r="H859" s="44"/>
      <c r="I859" s="44"/>
      <c r="J859" s="44"/>
      <c r="K859" s="44"/>
      <c r="L859" s="44"/>
    </row>
    <row r="860" ht="15.75" customHeight="1">
      <c r="B860" s="43"/>
      <c r="C860" s="43"/>
      <c r="D860" s="44"/>
      <c r="E860" s="44"/>
      <c r="F860" s="44"/>
      <c r="G860" s="44"/>
      <c r="H860" s="44"/>
      <c r="I860" s="44"/>
      <c r="J860" s="44"/>
      <c r="K860" s="44"/>
      <c r="L860" s="44"/>
    </row>
    <row r="861" ht="15.75" customHeight="1">
      <c r="B861" s="43"/>
      <c r="C861" s="43"/>
      <c r="D861" s="44"/>
      <c r="E861" s="44"/>
      <c r="F861" s="44"/>
      <c r="G861" s="44"/>
      <c r="H861" s="44"/>
      <c r="I861" s="44"/>
      <c r="J861" s="44"/>
      <c r="K861" s="44"/>
      <c r="L861" s="44"/>
    </row>
    <row r="862" ht="15.75" customHeight="1">
      <c r="B862" s="43"/>
      <c r="C862" s="43"/>
      <c r="D862" s="44"/>
      <c r="E862" s="44"/>
      <c r="F862" s="44"/>
      <c r="G862" s="44"/>
      <c r="H862" s="44"/>
      <c r="I862" s="44"/>
      <c r="J862" s="44"/>
      <c r="K862" s="44"/>
      <c r="L862" s="44"/>
    </row>
    <row r="863" ht="15.75" customHeight="1">
      <c r="B863" s="43"/>
      <c r="C863" s="43"/>
      <c r="D863" s="44"/>
      <c r="E863" s="44"/>
      <c r="F863" s="44"/>
      <c r="G863" s="44"/>
      <c r="H863" s="44"/>
      <c r="I863" s="44"/>
      <c r="J863" s="44"/>
      <c r="K863" s="44"/>
      <c r="L863" s="44"/>
    </row>
    <row r="864" ht="15.75" customHeight="1">
      <c r="B864" s="43"/>
      <c r="C864" s="43"/>
      <c r="D864" s="44"/>
      <c r="E864" s="44"/>
      <c r="F864" s="44"/>
      <c r="G864" s="44"/>
      <c r="H864" s="44"/>
      <c r="I864" s="44"/>
      <c r="J864" s="44"/>
      <c r="K864" s="44"/>
      <c r="L864" s="44"/>
    </row>
    <row r="865" ht="15.75" customHeight="1">
      <c r="B865" s="43"/>
      <c r="C865" s="43"/>
      <c r="D865" s="44"/>
      <c r="E865" s="44"/>
      <c r="F865" s="44"/>
      <c r="G865" s="44"/>
      <c r="H865" s="44"/>
      <c r="I865" s="44"/>
      <c r="J865" s="44"/>
      <c r="K865" s="44"/>
      <c r="L865" s="44"/>
    </row>
    <row r="866" ht="15.75" customHeight="1">
      <c r="B866" s="43"/>
      <c r="C866" s="43"/>
      <c r="D866" s="44"/>
      <c r="E866" s="44"/>
      <c r="F866" s="44"/>
      <c r="G866" s="44"/>
      <c r="H866" s="44"/>
      <c r="I866" s="44"/>
      <c r="J866" s="44"/>
      <c r="K866" s="44"/>
      <c r="L866" s="44"/>
    </row>
    <row r="867" ht="15.75" customHeight="1">
      <c r="B867" s="43"/>
      <c r="C867" s="43"/>
      <c r="D867" s="44"/>
      <c r="E867" s="44"/>
      <c r="F867" s="44"/>
      <c r="G867" s="44"/>
      <c r="H867" s="44"/>
      <c r="I867" s="44"/>
      <c r="J867" s="44"/>
      <c r="K867" s="44"/>
      <c r="L867" s="44"/>
    </row>
    <row r="868" ht="15.75" customHeight="1">
      <c r="B868" s="43"/>
      <c r="C868" s="43"/>
      <c r="D868" s="44"/>
      <c r="E868" s="44"/>
      <c r="F868" s="44"/>
      <c r="G868" s="44"/>
      <c r="H868" s="44"/>
      <c r="I868" s="44"/>
      <c r="J868" s="44"/>
      <c r="K868" s="44"/>
      <c r="L868" s="44"/>
    </row>
    <row r="869" ht="15.75" customHeight="1">
      <c r="B869" s="43"/>
      <c r="C869" s="43"/>
      <c r="D869" s="44"/>
      <c r="E869" s="44"/>
      <c r="F869" s="44"/>
      <c r="G869" s="44"/>
      <c r="H869" s="44"/>
      <c r="I869" s="44"/>
      <c r="J869" s="44"/>
      <c r="K869" s="44"/>
      <c r="L869" s="44"/>
    </row>
    <row r="870" ht="15.75" customHeight="1">
      <c r="B870" s="43"/>
      <c r="C870" s="43"/>
      <c r="D870" s="44"/>
      <c r="E870" s="44"/>
      <c r="F870" s="44"/>
      <c r="G870" s="44"/>
      <c r="H870" s="44"/>
      <c r="I870" s="44"/>
      <c r="J870" s="44"/>
      <c r="K870" s="44"/>
      <c r="L870" s="44"/>
    </row>
    <row r="871" ht="15.75" customHeight="1">
      <c r="B871" s="43"/>
      <c r="C871" s="43"/>
      <c r="D871" s="44"/>
      <c r="E871" s="44"/>
      <c r="F871" s="44"/>
      <c r="G871" s="44"/>
      <c r="H871" s="44"/>
      <c r="I871" s="44"/>
      <c r="J871" s="44"/>
      <c r="K871" s="44"/>
      <c r="L871" s="44"/>
    </row>
    <row r="872" ht="15.75" customHeight="1">
      <c r="B872" s="43"/>
      <c r="C872" s="43"/>
      <c r="D872" s="44"/>
      <c r="E872" s="44"/>
      <c r="F872" s="44"/>
      <c r="G872" s="44"/>
      <c r="H872" s="44"/>
      <c r="I872" s="44"/>
      <c r="J872" s="44"/>
      <c r="K872" s="44"/>
      <c r="L872" s="44"/>
    </row>
    <row r="873" ht="15.75" customHeight="1">
      <c r="B873" s="43"/>
      <c r="C873" s="43"/>
      <c r="D873" s="44"/>
      <c r="E873" s="44"/>
      <c r="F873" s="44"/>
      <c r="G873" s="44"/>
      <c r="H873" s="44"/>
      <c r="I873" s="44"/>
      <c r="J873" s="44"/>
      <c r="K873" s="44"/>
      <c r="L873" s="44"/>
    </row>
    <row r="874" ht="15.75" customHeight="1">
      <c r="B874" s="43"/>
      <c r="C874" s="43"/>
      <c r="D874" s="44"/>
      <c r="E874" s="44"/>
      <c r="F874" s="44"/>
      <c r="G874" s="44"/>
      <c r="H874" s="44"/>
      <c r="I874" s="44"/>
      <c r="J874" s="44"/>
      <c r="K874" s="44"/>
      <c r="L874" s="44"/>
    </row>
    <row r="875" ht="15.75" customHeight="1">
      <c r="B875" s="43"/>
      <c r="C875" s="43"/>
      <c r="D875" s="44"/>
      <c r="E875" s="44"/>
      <c r="F875" s="44"/>
      <c r="G875" s="44"/>
      <c r="H875" s="44"/>
      <c r="I875" s="44"/>
      <c r="J875" s="44"/>
      <c r="K875" s="44"/>
      <c r="L875" s="44"/>
    </row>
    <row r="876" ht="15.75" customHeight="1">
      <c r="B876" s="43"/>
      <c r="C876" s="43"/>
      <c r="D876" s="44"/>
      <c r="E876" s="44"/>
      <c r="F876" s="44"/>
      <c r="G876" s="44"/>
      <c r="H876" s="44"/>
      <c r="I876" s="44"/>
      <c r="J876" s="44"/>
      <c r="K876" s="44"/>
      <c r="L876" s="44"/>
    </row>
    <row r="877" ht="15.75" customHeight="1">
      <c r="B877" s="43"/>
      <c r="C877" s="43"/>
      <c r="D877" s="44"/>
      <c r="E877" s="44"/>
      <c r="F877" s="44"/>
      <c r="G877" s="44"/>
      <c r="H877" s="44"/>
      <c r="I877" s="44"/>
      <c r="J877" s="44"/>
      <c r="K877" s="44"/>
      <c r="L877" s="44"/>
    </row>
    <row r="878" ht="15.75" customHeight="1">
      <c r="B878" s="43"/>
      <c r="C878" s="43"/>
      <c r="D878" s="44"/>
      <c r="E878" s="44"/>
      <c r="F878" s="44"/>
      <c r="G878" s="44"/>
      <c r="H878" s="44"/>
      <c r="I878" s="44"/>
      <c r="J878" s="44"/>
      <c r="K878" s="44"/>
      <c r="L878" s="44"/>
    </row>
    <row r="879" ht="15.75" customHeight="1">
      <c r="B879" s="43"/>
      <c r="C879" s="43"/>
      <c r="D879" s="44"/>
      <c r="E879" s="44"/>
      <c r="F879" s="44"/>
      <c r="G879" s="44"/>
      <c r="H879" s="44"/>
      <c r="I879" s="44"/>
      <c r="J879" s="44"/>
      <c r="K879" s="44"/>
      <c r="L879" s="44"/>
    </row>
    <row r="880" ht="15.75" customHeight="1">
      <c r="B880" s="43"/>
      <c r="C880" s="43"/>
      <c r="D880" s="44"/>
      <c r="E880" s="44"/>
      <c r="F880" s="44"/>
      <c r="G880" s="44"/>
      <c r="H880" s="44"/>
      <c r="I880" s="44"/>
      <c r="J880" s="44"/>
      <c r="K880" s="44"/>
      <c r="L880" s="44"/>
    </row>
    <row r="881" ht="15.75" customHeight="1">
      <c r="B881" s="43"/>
      <c r="C881" s="43"/>
      <c r="D881" s="44"/>
      <c r="E881" s="44"/>
      <c r="F881" s="44"/>
      <c r="G881" s="44"/>
      <c r="H881" s="44"/>
      <c r="I881" s="44"/>
      <c r="J881" s="44"/>
      <c r="K881" s="44"/>
      <c r="L881" s="44"/>
    </row>
    <row r="882" ht="15.75" customHeight="1">
      <c r="B882" s="43"/>
      <c r="C882" s="43"/>
      <c r="D882" s="44"/>
      <c r="E882" s="44"/>
      <c r="F882" s="44"/>
      <c r="G882" s="44"/>
      <c r="H882" s="44"/>
      <c r="I882" s="44"/>
      <c r="J882" s="44"/>
      <c r="K882" s="44"/>
      <c r="L882" s="44"/>
    </row>
    <row r="883" ht="15.75" customHeight="1">
      <c r="B883" s="43"/>
      <c r="C883" s="43"/>
      <c r="D883" s="44"/>
      <c r="E883" s="44"/>
      <c r="F883" s="44"/>
      <c r="G883" s="44"/>
      <c r="H883" s="44"/>
      <c r="I883" s="44"/>
      <c r="J883" s="44"/>
      <c r="K883" s="44"/>
      <c r="L883" s="44"/>
    </row>
    <row r="884" ht="15.75" customHeight="1">
      <c r="B884" s="43"/>
      <c r="C884" s="43"/>
      <c r="D884" s="44"/>
      <c r="E884" s="44"/>
      <c r="F884" s="44"/>
      <c r="G884" s="44"/>
      <c r="H884" s="44"/>
      <c r="I884" s="44"/>
      <c r="J884" s="44"/>
      <c r="K884" s="44"/>
      <c r="L884" s="44"/>
    </row>
    <row r="885" ht="15.75" customHeight="1">
      <c r="B885" s="43"/>
      <c r="C885" s="43"/>
      <c r="D885" s="44"/>
      <c r="E885" s="44"/>
      <c r="F885" s="44"/>
      <c r="G885" s="44"/>
      <c r="H885" s="44"/>
      <c r="I885" s="44"/>
      <c r="J885" s="44"/>
      <c r="K885" s="44"/>
      <c r="L885" s="44"/>
    </row>
    <row r="886" ht="15.75" customHeight="1">
      <c r="B886" s="43"/>
      <c r="C886" s="43"/>
      <c r="D886" s="44"/>
      <c r="E886" s="44"/>
      <c r="F886" s="44"/>
      <c r="G886" s="44"/>
      <c r="H886" s="44"/>
      <c r="I886" s="44"/>
      <c r="J886" s="44"/>
      <c r="K886" s="44"/>
      <c r="L886" s="44"/>
    </row>
    <row r="887" ht="15.75" customHeight="1">
      <c r="B887" s="43"/>
      <c r="C887" s="43"/>
      <c r="D887" s="44"/>
      <c r="E887" s="44"/>
      <c r="F887" s="44"/>
      <c r="G887" s="44"/>
      <c r="H887" s="44"/>
      <c r="I887" s="44"/>
      <c r="J887" s="44"/>
      <c r="K887" s="44"/>
      <c r="L887" s="44"/>
    </row>
    <row r="888" ht="15.75" customHeight="1">
      <c r="B888" s="43"/>
      <c r="C888" s="43"/>
      <c r="D888" s="44"/>
      <c r="E888" s="44"/>
      <c r="F888" s="44"/>
      <c r="G888" s="44"/>
      <c r="H888" s="44"/>
      <c r="I888" s="44"/>
      <c r="J888" s="44"/>
      <c r="K888" s="44"/>
      <c r="L888" s="44"/>
    </row>
    <row r="889" ht="15.75" customHeight="1">
      <c r="B889" s="43"/>
      <c r="C889" s="43"/>
      <c r="D889" s="44"/>
      <c r="E889" s="44"/>
      <c r="F889" s="44"/>
      <c r="G889" s="44"/>
      <c r="H889" s="44"/>
      <c r="I889" s="44"/>
      <c r="J889" s="44"/>
      <c r="K889" s="44"/>
      <c r="L889" s="44"/>
    </row>
    <row r="890" ht="15.75" customHeight="1">
      <c r="B890" s="43"/>
      <c r="C890" s="43"/>
      <c r="D890" s="44"/>
      <c r="E890" s="44"/>
      <c r="F890" s="44"/>
      <c r="G890" s="44"/>
      <c r="H890" s="44"/>
      <c r="I890" s="44"/>
      <c r="J890" s="44"/>
      <c r="K890" s="44"/>
      <c r="L890" s="44"/>
    </row>
    <row r="891" ht="15.75" customHeight="1">
      <c r="B891" s="43"/>
      <c r="C891" s="43"/>
      <c r="D891" s="44"/>
      <c r="E891" s="44"/>
      <c r="F891" s="44"/>
      <c r="G891" s="44"/>
      <c r="H891" s="44"/>
      <c r="I891" s="44"/>
      <c r="J891" s="44"/>
      <c r="K891" s="44"/>
      <c r="L891" s="44"/>
    </row>
    <row r="892" ht="15.75" customHeight="1">
      <c r="B892" s="43"/>
      <c r="C892" s="43"/>
      <c r="D892" s="44"/>
      <c r="E892" s="44"/>
      <c r="F892" s="44"/>
      <c r="G892" s="44"/>
      <c r="H892" s="44"/>
      <c r="I892" s="44"/>
      <c r="J892" s="44"/>
      <c r="K892" s="44"/>
      <c r="L892" s="44"/>
    </row>
    <row r="893" ht="15.75" customHeight="1">
      <c r="B893" s="43"/>
      <c r="C893" s="43"/>
      <c r="D893" s="44"/>
      <c r="E893" s="44"/>
      <c r="F893" s="44"/>
      <c r="G893" s="44"/>
      <c r="H893" s="44"/>
      <c r="I893" s="44"/>
      <c r="J893" s="44"/>
      <c r="K893" s="44"/>
      <c r="L893" s="44"/>
    </row>
    <row r="894" ht="15.75" customHeight="1">
      <c r="B894" s="43"/>
      <c r="C894" s="43"/>
      <c r="D894" s="44"/>
      <c r="E894" s="44"/>
      <c r="F894" s="44"/>
      <c r="G894" s="44"/>
      <c r="H894" s="44"/>
      <c r="I894" s="44"/>
      <c r="J894" s="44"/>
      <c r="K894" s="44"/>
      <c r="L894" s="44"/>
    </row>
    <row r="895" ht="15.75" customHeight="1">
      <c r="B895" s="43"/>
      <c r="C895" s="43"/>
      <c r="D895" s="44"/>
      <c r="E895" s="44"/>
      <c r="F895" s="44"/>
      <c r="G895" s="44"/>
      <c r="H895" s="44"/>
      <c r="I895" s="44"/>
      <c r="J895" s="44"/>
      <c r="K895" s="44"/>
      <c r="L895" s="44"/>
    </row>
    <row r="896" ht="15.75" customHeight="1">
      <c r="B896" s="43"/>
      <c r="C896" s="43"/>
      <c r="D896" s="44"/>
      <c r="E896" s="44"/>
      <c r="F896" s="44"/>
      <c r="G896" s="44"/>
      <c r="H896" s="44"/>
      <c r="I896" s="44"/>
      <c r="J896" s="44"/>
      <c r="K896" s="44"/>
      <c r="L896" s="44"/>
    </row>
    <row r="897" ht="15.75" customHeight="1">
      <c r="B897" s="43"/>
      <c r="C897" s="43"/>
      <c r="D897" s="44"/>
      <c r="E897" s="44"/>
      <c r="F897" s="44"/>
      <c r="G897" s="44"/>
      <c r="H897" s="44"/>
      <c r="I897" s="44"/>
      <c r="J897" s="44"/>
      <c r="K897" s="44"/>
      <c r="L897" s="44"/>
    </row>
    <row r="898" ht="15.75" customHeight="1">
      <c r="B898" s="43"/>
      <c r="C898" s="43"/>
      <c r="D898" s="44"/>
      <c r="E898" s="44"/>
      <c r="F898" s="44"/>
      <c r="G898" s="44"/>
      <c r="H898" s="44"/>
      <c r="I898" s="44"/>
      <c r="J898" s="44"/>
      <c r="K898" s="44"/>
      <c r="L898" s="44"/>
    </row>
    <row r="899" ht="15.75" customHeight="1">
      <c r="B899" s="43"/>
      <c r="C899" s="43"/>
      <c r="D899" s="44"/>
      <c r="E899" s="44"/>
      <c r="F899" s="44"/>
      <c r="G899" s="44"/>
      <c r="H899" s="44"/>
      <c r="I899" s="44"/>
      <c r="J899" s="44"/>
      <c r="K899" s="44"/>
      <c r="L899" s="44"/>
    </row>
    <row r="900" ht="15.75" customHeight="1">
      <c r="B900" s="43"/>
      <c r="C900" s="43"/>
      <c r="D900" s="44"/>
      <c r="E900" s="44"/>
      <c r="F900" s="44"/>
      <c r="G900" s="44"/>
      <c r="H900" s="44"/>
      <c r="I900" s="44"/>
      <c r="J900" s="44"/>
      <c r="K900" s="44"/>
      <c r="L900" s="44"/>
    </row>
    <row r="901" ht="15.75" customHeight="1">
      <c r="B901" s="43"/>
      <c r="C901" s="43"/>
      <c r="D901" s="44"/>
      <c r="E901" s="44"/>
      <c r="F901" s="44"/>
      <c r="G901" s="44"/>
      <c r="H901" s="44"/>
      <c r="I901" s="44"/>
      <c r="J901" s="44"/>
      <c r="K901" s="44"/>
      <c r="L901" s="44"/>
    </row>
    <row r="902" ht="15.75" customHeight="1">
      <c r="B902" s="43"/>
      <c r="C902" s="43"/>
      <c r="D902" s="44"/>
      <c r="E902" s="44"/>
      <c r="F902" s="44"/>
      <c r="G902" s="44"/>
      <c r="H902" s="44"/>
      <c r="I902" s="44"/>
      <c r="J902" s="44"/>
      <c r="K902" s="44"/>
      <c r="L902" s="44"/>
    </row>
    <row r="903" ht="15.75" customHeight="1">
      <c r="B903" s="43"/>
      <c r="C903" s="43"/>
      <c r="D903" s="44"/>
      <c r="E903" s="44"/>
      <c r="F903" s="44"/>
      <c r="G903" s="44"/>
      <c r="H903" s="44"/>
      <c r="I903" s="44"/>
      <c r="J903" s="44"/>
      <c r="K903" s="44"/>
      <c r="L903" s="44"/>
    </row>
    <row r="904" ht="15.75" customHeight="1">
      <c r="B904" s="43"/>
      <c r="C904" s="43"/>
      <c r="D904" s="44"/>
      <c r="E904" s="44"/>
      <c r="F904" s="44"/>
      <c r="G904" s="44"/>
      <c r="H904" s="44"/>
      <c r="I904" s="44"/>
      <c r="J904" s="44"/>
      <c r="K904" s="44"/>
      <c r="L904" s="44"/>
    </row>
    <row r="905" ht="15.75" customHeight="1">
      <c r="B905" s="43"/>
      <c r="C905" s="43"/>
      <c r="D905" s="44"/>
      <c r="E905" s="44"/>
      <c r="F905" s="44"/>
      <c r="G905" s="44"/>
      <c r="H905" s="44"/>
      <c r="I905" s="44"/>
      <c r="J905" s="44"/>
      <c r="K905" s="44"/>
      <c r="L905" s="44"/>
    </row>
    <row r="906" ht="15.75" customHeight="1">
      <c r="B906" s="43"/>
      <c r="C906" s="43"/>
      <c r="D906" s="44"/>
      <c r="E906" s="44"/>
      <c r="F906" s="44"/>
      <c r="G906" s="44"/>
      <c r="H906" s="44"/>
      <c r="I906" s="44"/>
      <c r="J906" s="44"/>
      <c r="K906" s="44"/>
      <c r="L906" s="44"/>
    </row>
    <row r="907" ht="15.75" customHeight="1">
      <c r="B907" s="43"/>
      <c r="C907" s="43"/>
      <c r="D907" s="44"/>
      <c r="E907" s="44"/>
      <c r="F907" s="44"/>
      <c r="G907" s="44"/>
      <c r="H907" s="44"/>
      <c r="I907" s="44"/>
      <c r="J907" s="44"/>
      <c r="K907" s="44"/>
      <c r="L907" s="44"/>
    </row>
    <row r="908" ht="15.75" customHeight="1">
      <c r="B908" s="43"/>
      <c r="C908" s="43"/>
      <c r="D908" s="44"/>
      <c r="E908" s="44"/>
      <c r="F908" s="44"/>
      <c r="G908" s="44"/>
      <c r="H908" s="44"/>
      <c r="I908" s="44"/>
      <c r="J908" s="44"/>
      <c r="K908" s="44"/>
      <c r="L908" s="44"/>
    </row>
    <row r="909" ht="15.75" customHeight="1">
      <c r="B909" s="43"/>
      <c r="C909" s="43"/>
      <c r="D909" s="44"/>
      <c r="E909" s="44"/>
      <c r="F909" s="44"/>
      <c r="G909" s="44"/>
      <c r="H909" s="44"/>
      <c r="I909" s="44"/>
      <c r="J909" s="44"/>
      <c r="K909" s="44"/>
      <c r="L909" s="44"/>
    </row>
    <row r="910" ht="15.75" customHeight="1">
      <c r="B910" s="43"/>
      <c r="C910" s="43"/>
      <c r="D910" s="44"/>
      <c r="E910" s="44"/>
      <c r="F910" s="44"/>
      <c r="G910" s="44"/>
      <c r="H910" s="44"/>
      <c r="I910" s="44"/>
      <c r="J910" s="44"/>
      <c r="K910" s="44"/>
      <c r="L910" s="44"/>
    </row>
    <row r="911" ht="15.75" customHeight="1">
      <c r="B911" s="43"/>
      <c r="C911" s="43"/>
      <c r="D911" s="44"/>
      <c r="E911" s="44"/>
      <c r="F911" s="44"/>
      <c r="G911" s="44"/>
      <c r="H911" s="44"/>
      <c r="I911" s="44"/>
      <c r="J911" s="44"/>
      <c r="K911" s="44"/>
      <c r="L911" s="44"/>
    </row>
    <row r="912" ht="15.75" customHeight="1">
      <c r="B912" s="43"/>
      <c r="C912" s="43"/>
      <c r="D912" s="44"/>
      <c r="E912" s="44"/>
      <c r="F912" s="44"/>
      <c r="G912" s="44"/>
      <c r="H912" s="44"/>
      <c r="I912" s="44"/>
      <c r="J912" s="44"/>
      <c r="K912" s="44"/>
      <c r="L912" s="44"/>
    </row>
    <row r="913" ht="15.75" customHeight="1">
      <c r="B913" s="43"/>
      <c r="C913" s="43"/>
      <c r="D913" s="44"/>
      <c r="E913" s="44"/>
      <c r="F913" s="44"/>
      <c r="G913" s="44"/>
      <c r="H913" s="44"/>
      <c r="I913" s="44"/>
      <c r="J913" s="44"/>
      <c r="K913" s="44"/>
      <c r="L913" s="44"/>
    </row>
    <row r="914" ht="15.75" customHeight="1">
      <c r="B914" s="43"/>
      <c r="C914" s="43"/>
      <c r="D914" s="44"/>
      <c r="E914" s="44"/>
      <c r="F914" s="44"/>
      <c r="G914" s="44"/>
      <c r="H914" s="44"/>
      <c r="I914" s="44"/>
      <c r="J914" s="44"/>
      <c r="K914" s="44"/>
      <c r="L914" s="44"/>
    </row>
    <row r="915" ht="15.75" customHeight="1">
      <c r="B915" s="43"/>
      <c r="C915" s="43"/>
      <c r="D915" s="44"/>
      <c r="E915" s="44"/>
      <c r="F915" s="44"/>
      <c r="G915" s="44"/>
      <c r="H915" s="44"/>
      <c r="I915" s="44"/>
      <c r="J915" s="44"/>
      <c r="K915" s="44"/>
      <c r="L915" s="44"/>
    </row>
    <row r="916" ht="15.75" customHeight="1">
      <c r="B916" s="43"/>
      <c r="C916" s="43"/>
      <c r="D916" s="44"/>
      <c r="E916" s="44"/>
      <c r="F916" s="44"/>
      <c r="G916" s="44"/>
      <c r="H916" s="44"/>
      <c r="I916" s="44"/>
      <c r="J916" s="44"/>
      <c r="K916" s="44"/>
      <c r="L916" s="44"/>
    </row>
    <row r="917" ht="15.75" customHeight="1">
      <c r="B917" s="43"/>
      <c r="C917" s="43"/>
      <c r="D917" s="44"/>
      <c r="E917" s="44"/>
      <c r="F917" s="44"/>
      <c r="G917" s="44"/>
      <c r="H917" s="44"/>
      <c r="I917" s="44"/>
      <c r="J917" s="44"/>
      <c r="K917" s="44"/>
      <c r="L917" s="44"/>
    </row>
    <row r="918" ht="15.75" customHeight="1">
      <c r="B918" s="43"/>
      <c r="C918" s="43"/>
      <c r="D918" s="44"/>
      <c r="E918" s="44"/>
      <c r="F918" s="44"/>
      <c r="G918" s="44"/>
      <c r="H918" s="44"/>
      <c r="I918" s="44"/>
      <c r="J918" s="44"/>
      <c r="K918" s="44"/>
      <c r="L918" s="44"/>
    </row>
    <row r="919" ht="15.75" customHeight="1">
      <c r="B919" s="43"/>
      <c r="C919" s="43"/>
      <c r="D919" s="44"/>
      <c r="E919" s="44"/>
      <c r="F919" s="44"/>
      <c r="G919" s="44"/>
      <c r="H919" s="44"/>
      <c r="I919" s="44"/>
      <c r="J919" s="44"/>
      <c r="K919" s="44"/>
      <c r="L919" s="44"/>
    </row>
    <row r="920" ht="15.75" customHeight="1">
      <c r="B920" s="43"/>
      <c r="C920" s="43"/>
      <c r="D920" s="44"/>
      <c r="E920" s="44"/>
      <c r="F920" s="44"/>
      <c r="G920" s="44"/>
      <c r="H920" s="44"/>
      <c r="I920" s="44"/>
      <c r="J920" s="44"/>
      <c r="K920" s="44"/>
      <c r="L920" s="44"/>
    </row>
    <row r="921" ht="15.75" customHeight="1">
      <c r="B921" s="43"/>
      <c r="C921" s="43"/>
      <c r="D921" s="44"/>
      <c r="E921" s="44"/>
      <c r="F921" s="44"/>
      <c r="G921" s="44"/>
      <c r="H921" s="44"/>
      <c r="I921" s="44"/>
      <c r="J921" s="44"/>
      <c r="K921" s="44"/>
      <c r="L921" s="44"/>
    </row>
    <row r="922" ht="15.75" customHeight="1">
      <c r="B922" s="43"/>
      <c r="C922" s="43"/>
      <c r="D922" s="44"/>
      <c r="E922" s="44"/>
      <c r="F922" s="44"/>
      <c r="G922" s="44"/>
      <c r="H922" s="44"/>
      <c r="I922" s="44"/>
      <c r="J922" s="44"/>
      <c r="K922" s="44"/>
      <c r="L922" s="44"/>
    </row>
    <row r="923" ht="15.75" customHeight="1">
      <c r="B923" s="43"/>
      <c r="C923" s="43"/>
      <c r="D923" s="44"/>
      <c r="E923" s="44"/>
      <c r="F923" s="44"/>
      <c r="G923" s="44"/>
      <c r="H923" s="44"/>
      <c r="I923" s="44"/>
      <c r="J923" s="44"/>
      <c r="K923" s="44"/>
      <c r="L923" s="44"/>
    </row>
    <row r="924" ht="15.75" customHeight="1">
      <c r="B924" s="43"/>
      <c r="C924" s="43"/>
      <c r="D924" s="44"/>
      <c r="E924" s="44"/>
      <c r="F924" s="44"/>
      <c r="G924" s="44"/>
      <c r="H924" s="44"/>
      <c r="I924" s="44"/>
      <c r="J924" s="44"/>
      <c r="K924" s="44"/>
      <c r="L924" s="44"/>
    </row>
    <row r="925" ht="15.75" customHeight="1">
      <c r="B925" s="43"/>
      <c r="C925" s="43"/>
      <c r="D925" s="44"/>
      <c r="E925" s="44"/>
      <c r="F925" s="44"/>
      <c r="G925" s="44"/>
      <c r="H925" s="44"/>
      <c r="I925" s="44"/>
      <c r="J925" s="44"/>
      <c r="K925" s="44"/>
      <c r="L925" s="44"/>
    </row>
    <row r="926" ht="15.75" customHeight="1">
      <c r="B926" s="43"/>
      <c r="C926" s="43"/>
      <c r="D926" s="44"/>
      <c r="E926" s="44"/>
      <c r="F926" s="44"/>
      <c r="G926" s="44"/>
      <c r="H926" s="44"/>
      <c r="I926" s="44"/>
      <c r="J926" s="44"/>
      <c r="K926" s="44"/>
      <c r="L926" s="44"/>
    </row>
    <row r="927" ht="15.75" customHeight="1">
      <c r="B927" s="43"/>
      <c r="C927" s="43"/>
      <c r="D927" s="44"/>
      <c r="E927" s="44"/>
      <c r="F927" s="44"/>
      <c r="G927" s="44"/>
      <c r="H927" s="44"/>
      <c r="I927" s="44"/>
      <c r="J927" s="44"/>
      <c r="K927" s="44"/>
      <c r="L927" s="44"/>
    </row>
    <row r="928" ht="15.75" customHeight="1">
      <c r="B928" s="43"/>
      <c r="C928" s="43"/>
      <c r="D928" s="44"/>
      <c r="E928" s="44"/>
      <c r="F928" s="44"/>
      <c r="G928" s="44"/>
      <c r="H928" s="44"/>
      <c r="I928" s="44"/>
      <c r="J928" s="44"/>
      <c r="K928" s="44"/>
      <c r="L928" s="44"/>
    </row>
    <row r="929" ht="15.75" customHeight="1">
      <c r="B929" s="43"/>
      <c r="C929" s="43"/>
      <c r="D929" s="44"/>
      <c r="E929" s="44"/>
      <c r="F929" s="44"/>
      <c r="G929" s="44"/>
      <c r="H929" s="44"/>
      <c r="I929" s="44"/>
      <c r="J929" s="44"/>
      <c r="K929" s="44"/>
      <c r="L929" s="44"/>
    </row>
    <row r="930" ht="15.75" customHeight="1">
      <c r="B930" s="43"/>
      <c r="C930" s="43"/>
      <c r="D930" s="44"/>
      <c r="E930" s="44"/>
      <c r="F930" s="44"/>
      <c r="G930" s="44"/>
      <c r="H930" s="44"/>
      <c r="I930" s="44"/>
      <c r="J930" s="44"/>
      <c r="K930" s="44"/>
      <c r="L930" s="44"/>
    </row>
    <row r="931" ht="15.75" customHeight="1">
      <c r="B931" s="43"/>
      <c r="C931" s="43"/>
      <c r="D931" s="44"/>
      <c r="E931" s="44"/>
      <c r="F931" s="44"/>
      <c r="G931" s="44"/>
      <c r="H931" s="44"/>
      <c r="I931" s="44"/>
      <c r="J931" s="44"/>
      <c r="K931" s="44"/>
      <c r="L931" s="44"/>
    </row>
    <row r="932" ht="15.75" customHeight="1">
      <c r="B932" s="43"/>
      <c r="C932" s="43"/>
      <c r="D932" s="44"/>
      <c r="E932" s="44"/>
      <c r="F932" s="44"/>
      <c r="G932" s="44"/>
      <c r="H932" s="44"/>
      <c r="I932" s="44"/>
      <c r="J932" s="44"/>
      <c r="K932" s="44"/>
      <c r="L932" s="44"/>
    </row>
    <row r="933" ht="15.75" customHeight="1">
      <c r="B933" s="43"/>
      <c r="C933" s="43"/>
      <c r="D933" s="44"/>
      <c r="E933" s="44"/>
      <c r="F933" s="44"/>
      <c r="G933" s="44"/>
      <c r="H933" s="44"/>
      <c r="I933" s="44"/>
      <c r="J933" s="44"/>
      <c r="K933" s="44"/>
      <c r="L933" s="44"/>
    </row>
    <row r="934" ht="15.75" customHeight="1">
      <c r="B934" s="43"/>
      <c r="C934" s="43"/>
      <c r="D934" s="44"/>
      <c r="E934" s="44"/>
      <c r="F934" s="44"/>
      <c r="G934" s="44"/>
      <c r="H934" s="44"/>
      <c r="I934" s="44"/>
      <c r="J934" s="44"/>
      <c r="K934" s="44"/>
      <c r="L934" s="44"/>
    </row>
    <row r="935" ht="15.75" customHeight="1">
      <c r="B935" s="43"/>
      <c r="C935" s="43"/>
      <c r="D935" s="44"/>
      <c r="E935" s="44"/>
      <c r="F935" s="44"/>
      <c r="G935" s="44"/>
      <c r="H935" s="44"/>
      <c r="I935" s="44"/>
      <c r="J935" s="44"/>
      <c r="K935" s="44"/>
      <c r="L935" s="44"/>
    </row>
    <row r="936" ht="15.75" customHeight="1">
      <c r="B936" s="43"/>
      <c r="C936" s="43"/>
      <c r="D936" s="44"/>
      <c r="E936" s="44"/>
      <c r="F936" s="44"/>
      <c r="G936" s="44"/>
      <c r="H936" s="44"/>
      <c r="I936" s="44"/>
      <c r="J936" s="44"/>
      <c r="K936" s="44"/>
      <c r="L936" s="44"/>
    </row>
    <row r="937" ht="15.75" customHeight="1">
      <c r="B937" s="43"/>
      <c r="C937" s="43"/>
      <c r="D937" s="44"/>
      <c r="E937" s="44"/>
      <c r="F937" s="44"/>
      <c r="G937" s="44"/>
      <c r="H937" s="44"/>
      <c r="I937" s="44"/>
      <c r="J937" s="44"/>
      <c r="K937" s="44"/>
      <c r="L937" s="44"/>
    </row>
    <row r="938" ht="15.75" customHeight="1">
      <c r="B938" s="43"/>
      <c r="C938" s="43"/>
      <c r="D938" s="44"/>
      <c r="E938" s="44"/>
      <c r="F938" s="44"/>
      <c r="G938" s="44"/>
      <c r="H938" s="44"/>
      <c r="I938" s="44"/>
      <c r="J938" s="44"/>
      <c r="K938" s="44"/>
      <c r="L938" s="44"/>
    </row>
    <row r="939" ht="15.75" customHeight="1">
      <c r="B939" s="43"/>
      <c r="C939" s="43"/>
      <c r="D939" s="44"/>
      <c r="E939" s="44"/>
      <c r="F939" s="44"/>
      <c r="G939" s="44"/>
      <c r="H939" s="44"/>
      <c r="I939" s="44"/>
      <c r="J939" s="44"/>
      <c r="K939" s="44"/>
      <c r="L939" s="44"/>
    </row>
    <row r="940" ht="15.75" customHeight="1">
      <c r="B940" s="43"/>
      <c r="C940" s="43"/>
      <c r="D940" s="44"/>
      <c r="E940" s="44"/>
      <c r="F940" s="44"/>
      <c r="G940" s="44"/>
      <c r="H940" s="44"/>
      <c r="I940" s="44"/>
      <c r="J940" s="44"/>
      <c r="K940" s="44"/>
      <c r="L940" s="44"/>
    </row>
    <row r="941" ht="15.75" customHeight="1">
      <c r="B941" s="43"/>
      <c r="C941" s="43"/>
      <c r="D941" s="44"/>
      <c r="E941" s="44"/>
      <c r="F941" s="44"/>
      <c r="G941" s="44"/>
      <c r="H941" s="44"/>
      <c r="I941" s="44"/>
      <c r="J941" s="44"/>
      <c r="K941" s="44"/>
      <c r="L941" s="44"/>
    </row>
    <row r="942" ht="15.75" customHeight="1">
      <c r="B942" s="43"/>
      <c r="C942" s="43"/>
      <c r="D942" s="44"/>
      <c r="E942" s="44"/>
      <c r="F942" s="44"/>
      <c r="G942" s="44"/>
      <c r="H942" s="44"/>
      <c r="I942" s="44"/>
      <c r="J942" s="44"/>
      <c r="K942" s="44"/>
      <c r="L942" s="44"/>
    </row>
    <row r="943" ht="15.75" customHeight="1">
      <c r="B943" s="43"/>
      <c r="C943" s="43"/>
      <c r="D943" s="44"/>
      <c r="E943" s="44"/>
      <c r="F943" s="44"/>
      <c r="G943" s="44"/>
      <c r="H943" s="44"/>
      <c r="I943" s="44"/>
      <c r="J943" s="44"/>
      <c r="K943" s="44"/>
      <c r="L943" s="44"/>
    </row>
    <row r="944" ht="15.75" customHeight="1">
      <c r="B944" s="43"/>
      <c r="C944" s="43"/>
      <c r="D944" s="44"/>
      <c r="E944" s="44"/>
      <c r="F944" s="44"/>
      <c r="G944" s="44"/>
      <c r="H944" s="44"/>
      <c r="I944" s="44"/>
      <c r="J944" s="44"/>
      <c r="K944" s="44"/>
      <c r="L944" s="44"/>
    </row>
    <row r="945" ht="15.75" customHeight="1">
      <c r="B945" s="43"/>
      <c r="C945" s="43"/>
      <c r="D945" s="44"/>
      <c r="E945" s="44"/>
      <c r="F945" s="44"/>
      <c r="G945" s="44"/>
      <c r="H945" s="44"/>
      <c r="I945" s="44"/>
      <c r="J945" s="44"/>
      <c r="K945" s="44"/>
      <c r="L945" s="44"/>
    </row>
    <row r="946" ht="15.75" customHeight="1">
      <c r="B946" s="43"/>
      <c r="C946" s="43"/>
      <c r="D946" s="44"/>
      <c r="E946" s="44"/>
      <c r="F946" s="44"/>
      <c r="G946" s="44"/>
      <c r="H946" s="44"/>
      <c r="I946" s="44"/>
      <c r="J946" s="44"/>
      <c r="K946" s="44"/>
      <c r="L946" s="44"/>
    </row>
    <row r="947" ht="15.75" customHeight="1">
      <c r="B947" s="43"/>
      <c r="C947" s="43"/>
      <c r="D947" s="44"/>
      <c r="E947" s="44"/>
      <c r="F947" s="44"/>
      <c r="G947" s="44"/>
      <c r="H947" s="44"/>
      <c r="I947" s="44"/>
      <c r="J947" s="44"/>
      <c r="K947" s="44"/>
      <c r="L947" s="44"/>
    </row>
    <row r="948" ht="15.75" customHeight="1">
      <c r="B948" s="43"/>
      <c r="C948" s="43"/>
      <c r="D948" s="44"/>
      <c r="E948" s="44"/>
      <c r="F948" s="44"/>
      <c r="G948" s="44"/>
      <c r="H948" s="44"/>
      <c r="I948" s="44"/>
      <c r="J948" s="44"/>
      <c r="K948" s="44"/>
      <c r="L948" s="44"/>
    </row>
    <row r="949" ht="15.75" customHeight="1">
      <c r="B949" s="43"/>
      <c r="C949" s="43"/>
      <c r="D949" s="44"/>
      <c r="E949" s="44"/>
      <c r="F949" s="44"/>
      <c r="G949" s="44"/>
      <c r="H949" s="44"/>
      <c r="I949" s="44"/>
      <c r="J949" s="44"/>
      <c r="K949" s="44"/>
      <c r="L949" s="44"/>
    </row>
    <row r="950" ht="15.75" customHeight="1">
      <c r="B950" s="43"/>
      <c r="C950" s="43"/>
      <c r="D950" s="44"/>
      <c r="E950" s="44"/>
      <c r="F950" s="44"/>
      <c r="G950" s="44"/>
      <c r="H950" s="44"/>
      <c r="I950" s="44"/>
      <c r="J950" s="44"/>
      <c r="K950" s="44"/>
      <c r="L950" s="44"/>
    </row>
    <row r="951" ht="15.75" customHeight="1">
      <c r="B951" s="43"/>
      <c r="C951" s="43"/>
      <c r="D951" s="44"/>
      <c r="E951" s="44"/>
      <c r="F951" s="44"/>
      <c r="G951" s="44"/>
      <c r="H951" s="44"/>
      <c r="I951" s="44"/>
      <c r="J951" s="44"/>
      <c r="K951" s="44"/>
      <c r="L951" s="44"/>
    </row>
    <row r="952" ht="15.75" customHeight="1">
      <c r="B952" s="43"/>
      <c r="C952" s="43"/>
      <c r="D952" s="44"/>
      <c r="E952" s="44"/>
      <c r="F952" s="44"/>
      <c r="G952" s="44"/>
      <c r="H952" s="44"/>
      <c r="I952" s="44"/>
      <c r="J952" s="44"/>
      <c r="K952" s="44"/>
      <c r="L952" s="44"/>
    </row>
    <row r="953" ht="15.75" customHeight="1">
      <c r="B953" s="43"/>
      <c r="C953" s="43"/>
      <c r="D953" s="44"/>
      <c r="E953" s="44"/>
      <c r="F953" s="44"/>
      <c r="G953" s="44"/>
      <c r="H953" s="44"/>
      <c r="I953" s="44"/>
      <c r="J953" s="44"/>
      <c r="K953" s="44"/>
      <c r="L953" s="44"/>
    </row>
    <row r="954" ht="15.75" customHeight="1">
      <c r="B954" s="43"/>
      <c r="C954" s="43"/>
      <c r="D954" s="44"/>
      <c r="E954" s="44"/>
      <c r="F954" s="44"/>
      <c r="G954" s="44"/>
      <c r="H954" s="44"/>
      <c r="I954" s="44"/>
      <c r="J954" s="44"/>
      <c r="K954" s="44"/>
      <c r="L954" s="44"/>
    </row>
    <row r="955" ht="15.75" customHeight="1">
      <c r="B955" s="43"/>
      <c r="C955" s="43"/>
      <c r="D955" s="44"/>
      <c r="E955" s="44"/>
      <c r="F955" s="44"/>
      <c r="G955" s="44"/>
      <c r="H955" s="44"/>
      <c r="I955" s="44"/>
      <c r="J955" s="44"/>
      <c r="K955" s="44"/>
      <c r="L955" s="44"/>
    </row>
    <row r="956" ht="15.75" customHeight="1">
      <c r="B956" s="43"/>
      <c r="C956" s="43"/>
      <c r="D956" s="44"/>
      <c r="E956" s="44"/>
      <c r="F956" s="44"/>
      <c r="G956" s="44"/>
      <c r="H956" s="44"/>
      <c r="I956" s="44"/>
      <c r="J956" s="44"/>
      <c r="K956" s="44"/>
      <c r="L956" s="44"/>
    </row>
    <row r="957" ht="15.75" customHeight="1">
      <c r="B957" s="43"/>
      <c r="C957" s="43"/>
      <c r="D957" s="44"/>
      <c r="E957" s="44"/>
      <c r="F957" s="44"/>
      <c r="G957" s="44"/>
      <c r="H957" s="44"/>
      <c r="I957" s="44"/>
      <c r="J957" s="44"/>
      <c r="K957" s="44"/>
      <c r="L957" s="44"/>
    </row>
    <row r="958" ht="15.75" customHeight="1">
      <c r="B958" s="43"/>
      <c r="C958" s="43"/>
      <c r="D958" s="44"/>
      <c r="E958" s="44"/>
      <c r="F958" s="44"/>
      <c r="G958" s="44"/>
      <c r="H958" s="44"/>
      <c r="I958" s="44"/>
      <c r="J958" s="44"/>
      <c r="K958" s="44"/>
      <c r="L958" s="44"/>
    </row>
    <row r="959" ht="15.75" customHeight="1">
      <c r="B959" s="43"/>
      <c r="C959" s="43"/>
      <c r="D959" s="44"/>
      <c r="E959" s="44"/>
      <c r="F959" s="44"/>
      <c r="G959" s="44"/>
      <c r="H959" s="44"/>
      <c r="I959" s="44"/>
      <c r="J959" s="44"/>
      <c r="K959" s="44"/>
      <c r="L959" s="44"/>
    </row>
    <row r="960" ht="15.75" customHeight="1">
      <c r="B960" s="43"/>
      <c r="C960" s="43"/>
      <c r="D960" s="44"/>
      <c r="E960" s="44"/>
      <c r="F960" s="44"/>
      <c r="G960" s="44"/>
      <c r="H960" s="44"/>
      <c r="I960" s="44"/>
      <c r="J960" s="44"/>
      <c r="K960" s="44"/>
      <c r="L960" s="44"/>
    </row>
    <row r="961" ht="15.75" customHeight="1">
      <c r="B961" s="43"/>
      <c r="C961" s="43"/>
      <c r="D961" s="44"/>
      <c r="E961" s="44"/>
      <c r="F961" s="44"/>
      <c r="G961" s="44"/>
      <c r="H961" s="44"/>
      <c r="I961" s="44"/>
      <c r="J961" s="44"/>
      <c r="K961" s="44"/>
      <c r="L961" s="44"/>
    </row>
    <row r="962" ht="15.75" customHeight="1">
      <c r="B962" s="43"/>
      <c r="C962" s="43"/>
      <c r="D962" s="44"/>
      <c r="E962" s="44"/>
      <c r="F962" s="44"/>
      <c r="G962" s="44"/>
      <c r="H962" s="44"/>
      <c r="I962" s="44"/>
      <c r="J962" s="44"/>
      <c r="K962" s="44"/>
      <c r="L962" s="44"/>
    </row>
    <row r="963" ht="15.75" customHeight="1">
      <c r="B963" s="43"/>
      <c r="C963" s="43"/>
      <c r="D963" s="44"/>
      <c r="E963" s="44"/>
      <c r="F963" s="44"/>
      <c r="G963" s="44"/>
      <c r="H963" s="44"/>
      <c r="I963" s="44"/>
      <c r="J963" s="44"/>
      <c r="K963" s="44"/>
      <c r="L963" s="44"/>
    </row>
    <row r="964" ht="15.75" customHeight="1">
      <c r="B964" s="43"/>
      <c r="C964" s="43"/>
      <c r="D964" s="44"/>
      <c r="E964" s="44"/>
      <c r="F964" s="44"/>
      <c r="G964" s="44"/>
      <c r="H964" s="44"/>
      <c r="I964" s="44"/>
      <c r="J964" s="44"/>
      <c r="K964" s="44"/>
      <c r="L964" s="44"/>
    </row>
    <row r="965" ht="15.75" customHeight="1">
      <c r="B965" s="43"/>
      <c r="C965" s="43"/>
      <c r="D965" s="44"/>
      <c r="E965" s="44"/>
      <c r="F965" s="44"/>
      <c r="G965" s="44"/>
      <c r="H965" s="44"/>
      <c r="I965" s="44"/>
      <c r="J965" s="44"/>
      <c r="K965" s="44"/>
      <c r="L965" s="44"/>
    </row>
    <row r="966" ht="15.75" customHeight="1">
      <c r="B966" s="43"/>
      <c r="C966" s="43"/>
      <c r="D966" s="44"/>
      <c r="E966" s="44"/>
      <c r="F966" s="44"/>
      <c r="G966" s="44"/>
      <c r="H966" s="44"/>
      <c r="I966" s="44"/>
      <c r="J966" s="44"/>
      <c r="K966" s="44"/>
      <c r="L966" s="44"/>
    </row>
    <row r="967" ht="15.75" customHeight="1">
      <c r="B967" s="43"/>
      <c r="C967" s="43"/>
      <c r="D967" s="44"/>
      <c r="E967" s="44"/>
      <c r="F967" s="44"/>
      <c r="G967" s="44"/>
      <c r="H967" s="44"/>
      <c r="I967" s="44"/>
      <c r="J967" s="44"/>
      <c r="K967" s="44"/>
      <c r="L967" s="44"/>
    </row>
    <row r="968" ht="15.75" customHeight="1">
      <c r="B968" s="43"/>
      <c r="C968" s="43"/>
      <c r="D968" s="44"/>
      <c r="E968" s="44"/>
      <c r="F968" s="44"/>
      <c r="G968" s="44"/>
      <c r="H968" s="44"/>
      <c r="I968" s="44"/>
      <c r="J968" s="44"/>
      <c r="K968" s="44"/>
      <c r="L968" s="44"/>
    </row>
    <row r="969" ht="15.75" customHeight="1">
      <c r="B969" s="43"/>
      <c r="C969" s="43"/>
      <c r="D969" s="44"/>
      <c r="E969" s="44"/>
      <c r="F969" s="44"/>
      <c r="G969" s="44"/>
      <c r="H969" s="44"/>
      <c r="I969" s="44"/>
      <c r="J969" s="44"/>
      <c r="K969" s="44"/>
      <c r="L969" s="44"/>
    </row>
    <row r="970" ht="15.75" customHeight="1">
      <c r="B970" s="43"/>
      <c r="C970" s="43"/>
      <c r="D970" s="44"/>
      <c r="E970" s="44"/>
      <c r="F970" s="44"/>
      <c r="G970" s="44"/>
      <c r="H970" s="44"/>
      <c r="I970" s="44"/>
      <c r="J970" s="44"/>
      <c r="K970" s="44"/>
      <c r="L970" s="44"/>
    </row>
    <row r="971" ht="15.75" customHeight="1">
      <c r="B971" s="43"/>
      <c r="C971" s="43"/>
      <c r="D971" s="44"/>
      <c r="E971" s="44"/>
      <c r="F971" s="44"/>
      <c r="G971" s="44"/>
      <c r="H971" s="44"/>
      <c r="I971" s="44"/>
      <c r="J971" s="44"/>
      <c r="K971" s="44"/>
      <c r="L971" s="44"/>
    </row>
    <row r="972" ht="15.75" customHeight="1">
      <c r="B972" s="43"/>
      <c r="C972" s="43"/>
      <c r="D972" s="44"/>
      <c r="E972" s="44"/>
      <c r="F972" s="44"/>
      <c r="G972" s="44"/>
      <c r="H972" s="44"/>
      <c r="I972" s="44"/>
      <c r="J972" s="44"/>
      <c r="K972" s="44"/>
      <c r="L972" s="44"/>
    </row>
    <row r="973" ht="15.75" customHeight="1">
      <c r="B973" s="43"/>
      <c r="C973" s="43"/>
      <c r="D973" s="44"/>
      <c r="E973" s="44"/>
      <c r="F973" s="44"/>
      <c r="G973" s="44"/>
      <c r="H973" s="44"/>
      <c r="I973" s="44"/>
      <c r="J973" s="44"/>
      <c r="K973" s="44"/>
      <c r="L973" s="44"/>
    </row>
    <row r="974" ht="15.75" customHeight="1">
      <c r="B974" s="43"/>
      <c r="C974" s="43"/>
      <c r="D974" s="44"/>
      <c r="E974" s="44"/>
      <c r="F974" s="44"/>
      <c r="G974" s="44"/>
      <c r="H974" s="44"/>
      <c r="I974" s="44"/>
      <c r="J974" s="44"/>
      <c r="K974" s="44"/>
      <c r="L974" s="44"/>
    </row>
    <row r="975" ht="15.75" customHeight="1">
      <c r="B975" s="43"/>
      <c r="C975" s="43"/>
      <c r="D975" s="44"/>
      <c r="E975" s="44"/>
      <c r="F975" s="44"/>
      <c r="G975" s="44"/>
      <c r="H975" s="44"/>
      <c r="I975" s="44"/>
      <c r="J975" s="44"/>
      <c r="K975" s="44"/>
      <c r="L975" s="44"/>
    </row>
    <row r="976" ht="15.75" customHeight="1">
      <c r="B976" s="43"/>
      <c r="C976" s="43"/>
      <c r="D976" s="44"/>
      <c r="E976" s="44"/>
      <c r="F976" s="44"/>
      <c r="G976" s="44"/>
      <c r="H976" s="44"/>
      <c r="I976" s="44"/>
      <c r="J976" s="44"/>
      <c r="K976" s="44"/>
      <c r="L976" s="44"/>
    </row>
    <row r="977" ht="15.75" customHeight="1">
      <c r="B977" s="43"/>
      <c r="C977" s="43"/>
      <c r="D977" s="44"/>
      <c r="E977" s="44"/>
      <c r="F977" s="44"/>
      <c r="G977" s="44"/>
      <c r="H977" s="44"/>
      <c r="I977" s="44"/>
      <c r="J977" s="44"/>
      <c r="K977" s="44"/>
      <c r="L977" s="44"/>
    </row>
    <row r="978" ht="15.75" customHeight="1">
      <c r="B978" s="43"/>
      <c r="C978" s="43"/>
      <c r="D978" s="44"/>
      <c r="E978" s="44"/>
      <c r="F978" s="44"/>
      <c r="G978" s="44"/>
      <c r="H978" s="44"/>
      <c r="I978" s="44"/>
      <c r="J978" s="44"/>
      <c r="K978" s="44"/>
      <c r="L978" s="44"/>
    </row>
    <row r="979" ht="15.75" customHeight="1">
      <c r="B979" s="43"/>
      <c r="C979" s="43"/>
      <c r="D979" s="44"/>
      <c r="E979" s="44"/>
      <c r="F979" s="44"/>
      <c r="G979" s="44"/>
      <c r="H979" s="44"/>
      <c r="I979" s="44"/>
      <c r="J979" s="44"/>
      <c r="K979" s="44"/>
      <c r="L979" s="44"/>
    </row>
    <row r="980" ht="15.75" customHeight="1">
      <c r="B980" s="43"/>
      <c r="C980" s="43"/>
      <c r="D980" s="44"/>
      <c r="E980" s="44"/>
      <c r="F980" s="44"/>
      <c r="G980" s="44"/>
      <c r="H980" s="44"/>
      <c r="I980" s="44"/>
      <c r="J980" s="44"/>
      <c r="K980" s="44"/>
      <c r="L980" s="44"/>
    </row>
    <row r="981" ht="15.75" customHeight="1">
      <c r="B981" s="43"/>
      <c r="C981" s="43"/>
      <c r="D981" s="44"/>
      <c r="E981" s="44"/>
      <c r="F981" s="44"/>
      <c r="G981" s="44"/>
      <c r="H981" s="44"/>
      <c r="I981" s="44"/>
      <c r="J981" s="44"/>
      <c r="K981" s="44"/>
      <c r="L981" s="44"/>
    </row>
    <row r="982" ht="15.75" customHeight="1">
      <c r="B982" s="43"/>
      <c r="C982" s="43"/>
      <c r="D982" s="44"/>
      <c r="E982" s="44"/>
      <c r="F982" s="44"/>
      <c r="G982" s="44"/>
      <c r="H982" s="44"/>
      <c r="I982" s="44"/>
      <c r="J982" s="44"/>
      <c r="K982" s="44"/>
      <c r="L982" s="44"/>
    </row>
    <row r="983" ht="15.75" customHeight="1">
      <c r="B983" s="43"/>
      <c r="C983" s="43"/>
      <c r="D983" s="44"/>
      <c r="E983" s="44"/>
      <c r="F983" s="44"/>
      <c r="G983" s="44"/>
      <c r="H983" s="44"/>
      <c r="I983" s="44"/>
      <c r="J983" s="44"/>
      <c r="K983" s="44"/>
      <c r="L983" s="44"/>
    </row>
    <row r="984" ht="15.75" customHeight="1">
      <c r="B984" s="43"/>
      <c r="C984" s="43"/>
      <c r="D984" s="44"/>
      <c r="E984" s="44"/>
      <c r="F984" s="44"/>
      <c r="G984" s="44"/>
      <c r="H984" s="44"/>
      <c r="I984" s="44"/>
      <c r="J984" s="44"/>
      <c r="K984" s="44"/>
      <c r="L984" s="44"/>
    </row>
    <row r="985" ht="15.75" customHeight="1">
      <c r="B985" s="43"/>
      <c r="C985" s="43"/>
      <c r="D985" s="44"/>
      <c r="E985" s="44"/>
      <c r="F985" s="44"/>
      <c r="G985" s="44"/>
      <c r="H985" s="44"/>
      <c r="I985" s="44"/>
      <c r="J985" s="44"/>
      <c r="K985" s="44"/>
      <c r="L985" s="44"/>
    </row>
    <row r="986" ht="15.75" customHeight="1">
      <c r="B986" s="43"/>
      <c r="C986" s="43"/>
      <c r="D986" s="44"/>
      <c r="E986" s="44"/>
      <c r="F986" s="44"/>
      <c r="G986" s="44"/>
      <c r="H986" s="44"/>
      <c r="I986" s="44"/>
      <c r="J986" s="44"/>
      <c r="K986" s="44"/>
      <c r="L986" s="44"/>
    </row>
    <row r="987" ht="15.75" customHeight="1">
      <c r="B987" s="43"/>
      <c r="C987" s="43"/>
      <c r="D987" s="44"/>
      <c r="E987" s="44"/>
      <c r="F987" s="44"/>
      <c r="G987" s="44"/>
      <c r="H987" s="44"/>
      <c r="I987" s="44"/>
      <c r="J987" s="44"/>
      <c r="K987" s="44"/>
      <c r="L987" s="44"/>
    </row>
    <row r="988" ht="15.75" customHeight="1">
      <c r="B988" s="43"/>
      <c r="C988" s="43"/>
      <c r="D988" s="44"/>
      <c r="E988" s="44"/>
      <c r="F988" s="44"/>
      <c r="G988" s="44"/>
      <c r="H988" s="44"/>
      <c r="I988" s="44"/>
      <c r="J988" s="44"/>
      <c r="K988" s="44"/>
      <c r="L988" s="44"/>
    </row>
    <row r="989" ht="15.75" customHeight="1">
      <c r="B989" s="43"/>
      <c r="C989" s="43"/>
      <c r="D989" s="44"/>
      <c r="E989" s="44"/>
      <c r="F989" s="44"/>
      <c r="G989" s="44"/>
      <c r="H989" s="44"/>
      <c r="I989" s="44"/>
      <c r="J989" s="44"/>
      <c r="K989" s="44"/>
      <c r="L989" s="44"/>
    </row>
    <row r="990" ht="15.75" customHeight="1">
      <c r="B990" s="43"/>
      <c r="C990" s="43"/>
      <c r="D990" s="44"/>
      <c r="E990" s="44"/>
      <c r="F990" s="44"/>
      <c r="G990" s="44"/>
      <c r="H990" s="44"/>
      <c r="I990" s="44"/>
      <c r="J990" s="44"/>
      <c r="K990" s="44"/>
      <c r="L990" s="44"/>
    </row>
    <row r="991" ht="15.75" customHeight="1">
      <c r="B991" s="43"/>
      <c r="C991" s="43"/>
      <c r="D991" s="44"/>
      <c r="E991" s="44"/>
      <c r="F991" s="44"/>
      <c r="G991" s="44"/>
      <c r="H991" s="44"/>
      <c r="I991" s="44"/>
      <c r="J991" s="44"/>
      <c r="K991" s="44"/>
      <c r="L991" s="44"/>
    </row>
    <row r="992" ht="15.75" customHeight="1">
      <c r="B992" s="43"/>
      <c r="C992" s="43"/>
      <c r="D992" s="44"/>
      <c r="E992" s="44"/>
      <c r="F992" s="44"/>
      <c r="G992" s="44"/>
      <c r="H992" s="44"/>
      <c r="I992" s="44"/>
      <c r="J992" s="44"/>
      <c r="K992" s="44"/>
      <c r="L992" s="44"/>
    </row>
    <row r="993" ht="15.75" customHeight="1">
      <c r="B993" s="43"/>
      <c r="C993" s="43"/>
      <c r="D993" s="44"/>
      <c r="E993" s="44"/>
      <c r="F993" s="44"/>
      <c r="G993" s="44"/>
      <c r="H993" s="44"/>
      <c r="I993" s="44"/>
      <c r="J993" s="44"/>
      <c r="K993" s="44"/>
      <c r="L993" s="44"/>
    </row>
    <row r="994" ht="15.75" customHeight="1">
      <c r="B994" s="43"/>
      <c r="C994" s="43"/>
      <c r="D994" s="44"/>
      <c r="E994" s="44"/>
      <c r="F994" s="44"/>
      <c r="G994" s="44"/>
      <c r="H994" s="44"/>
      <c r="I994" s="44"/>
      <c r="J994" s="44"/>
      <c r="K994" s="44"/>
      <c r="L994" s="44"/>
    </row>
    <row r="995" ht="15.75" customHeight="1">
      <c r="B995" s="43"/>
      <c r="C995" s="43"/>
      <c r="D995" s="44"/>
      <c r="E995" s="44"/>
      <c r="F995" s="44"/>
      <c r="G995" s="44"/>
      <c r="H995" s="44"/>
      <c r="I995" s="44"/>
      <c r="J995" s="44"/>
      <c r="K995" s="44"/>
      <c r="L995" s="44"/>
    </row>
    <row r="996" ht="15.75" customHeight="1">
      <c r="B996" s="43"/>
      <c r="C996" s="43"/>
      <c r="D996" s="44"/>
      <c r="E996" s="44"/>
      <c r="F996" s="44"/>
      <c r="G996" s="44"/>
      <c r="H996" s="44"/>
      <c r="I996" s="44"/>
      <c r="J996" s="44"/>
      <c r="K996" s="44"/>
      <c r="L996" s="44"/>
    </row>
    <row r="997" ht="15.75" customHeight="1">
      <c r="B997" s="43"/>
      <c r="C997" s="43"/>
      <c r="D997" s="44"/>
      <c r="E997" s="44"/>
      <c r="F997" s="44"/>
      <c r="G997" s="44"/>
      <c r="H997" s="44"/>
      <c r="I997" s="44"/>
      <c r="J997" s="44"/>
      <c r="K997" s="44"/>
      <c r="L997" s="44"/>
    </row>
    <row r="998" ht="15.75" customHeight="1">
      <c r="B998" s="43"/>
      <c r="C998" s="43"/>
      <c r="D998" s="44"/>
      <c r="E998" s="44"/>
      <c r="F998" s="44"/>
      <c r="G998" s="44"/>
      <c r="H998" s="44"/>
      <c r="I998" s="44"/>
      <c r="J998" s="44"/>
      <c r="K998" s="44"/>
      <c r="L998" s="44"/>
    </row>
    <row r="999" ht="15.75" customHeight="1">
      <c r="B999" s="43"/>
      <c r="C999" s="43"/>
      <c r="D999" s="44"/>
      <c r="E999" s="44"/>
      <c r="F999" s="44"/>
      <c r="G999" s="44"/>
      <c r="H999" s="44"/>
      <c r="I999" s="44"/>
      <c r="J999" s="44"/>
      <c r="K999" s="44"/>
      <c r="L999" s="44"/>
    </row>
    <row r="1000" ht="15.75" customHeight="1">
      <c r="B1000" s="43"/>
      <c r="C1000" s="43"/>
      <c r="D1000" s="44"/>
      <c r="E1000" s="44"/>
      <c r="F1000" s="44"/>
      <c r="G1000" s="44"/>
      <c r="H1000" s="44"/>
      <c r="I1000" s="44"/>
      <c r="J1000" s="44"/>
      <c r="K1000" s="44"/>
      <c r="L1000" s="44"/>
    </row>
  </sheetData>
  <mergeCells count="6">
    <mergeCell ref="B2:L5"/>
    <mergeCell ref="C45:F45"/>
    <mergeCell ref="C55:F55"/>
    <mergeCell ref="C61:F61"/>
    <mergeCell ref="C72:E72"/>
    <mergeCell ref="B88:L90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3" width="14.43"/>
    <col customWidth="1" min="4" max="4" width="19.0"/>
    <col customWidth="1" min="5" max="5" width="25.29"/>
    <col customWidth="1" min="6" max="6" width="13.14"/>
    <col customWidth="1" min="7" max="7" width="11.14"/>
    <col customWidth="1" min="8" max="8" width="11.71"/>
    <col customWidth="1" min="11" max="11" width="32.86"/>
  </cols>
  <sheetData>
    <row r="1">
      <c r="A1" s="20" t="s">
        <v>221</v>
      </c>
      <c r="B1" s="2"/>
      <c r="C1" s="2"/>
    </row>
    <row r="2">
      <c r="B2" s="3" t="s">
        <v>0</v>
      </c>
      <c r="C2" s="4"/>
      <c r="D2" s="4"/>
      <c r="E2" s="4"/>
      <c r="F2" s="4"/>
      <c r="G2" s="4"/>
      <c r="H2" s="4"/>
      <c r="I2" s="4"/>
      <c r="J2" s="4"/>
      <c r="K2" s="5"/>
    </row>
    <row r="3">
      <c r="B3" s="7"/>
      <c r="K3" s="8"/>
    </row>
    <row r="4">
      <c r="B4" s="7"/>
      <c r="K4" s="8"/>
    </row>
    <row r="5">
      <c r="B5" s="10"/>
      <c r="C5" s="11"/>
      <c r="D5" s="11"/>
      <c r="E5" s="11"/>
      <c r="F5" s="11"/>
      <c r="G5" s="11"/>
      <c r="H5" s="11"/>
      <c r="I5" s="11"/>
      <c r="J5" s="11"/>
      <c r="K5" s="12"/>
    </row>
    <row r="6">
      <c r="B6" s="13" t="s">
        <v>1</v>
      </c>
      <c r="C6" s="14" t="s">
        <v>2</v>
      </c>
      <c r="D6" s="15" t="s">
        <v>3</v>
      </c>
      <c r="E6" s="15" t="s">
        <v>4</v>
      </c>
      <c r="F6" s="15" t="s">
        <v>5</v>
      </c>
      <c r="G6" s="15" t="s">
        <v>6</v>
      </c>
      <c r="H6" s="15" t="s">
        <v>7</v>
      </c>
      <c r="I6" s="15" t="s">
        <v>8</v>
      </c>
      <c r="J6" s="15" t="s">
        <v>9</v>
      </c>
      <c r="K6" s="15" t="s">
        <v>10</v>
      </c>
    </row>
    <row r="7">
      <c r="B7" s="17">
        <v>45147.0</v>
      </c>
      <c r="C7" s="17">
        <v>45168.0</v>
      </c>
      <c r="D7" s="19" t="s">
        <v>187</v>
      </c>
      <c r="E7" s="19" t="s">
        <v>227</v>
      </c>
      <c r="F7" s="19" t="s">
        <v>409</v>
      </c>
      <c r="G7" s="19">
        <v>2904.0</v>
      </c>
      <c r="H7" s="19">
        <v>3063.6</v>
      </c>
      <c r="I7" s="19">
        <f t="shared" ref="I7:I109" si="1">H7-G7</f>
        <v>159.6</v>
      </c>
      <c r="J7" s="19">
        <v>2440.0</v>
      </c>
      <c r="K7" s="19" t="s">
        <v>410</v>
      </c>
    </row>
    <row r="8">
      <c r="B8" s="17">
        <v>45169.0</v>
      </c>
      <c r="C8" s="20">
        <v>45184.0</v>
      </c>
      <c r="D8" s="19" t="s">
        <v>138</v>
      </c>
      <c r="E8" s="19" t="s">
        <v>200</v>
      </c>
      <c r="F8" s="19" t="s">
        <v>411</v>
      </c>
      <c r="G8" s="19">
        <v>3063.6</v>
      </c>
      <c r="H8" s="19">
        <v>3177.3</v>
      </c>
      <c r="I8" s="19">
        <f t="shared" si="1"/>
        <v>113.7</v>
      </c>
      <c r="J8" s="19"/>
      <c r="K8" s="19" t="s">
        <v>412</v>
      </c>
    </row>
    <row r="9">
      <c r="B9" s="20">
        <v>45184.0</v>
      </c>
      <c r="C9" s="20">
        <v>45188.0</v>
      </c>
      <c r="D9" s="1" t="s">
        <v>134</v>
      </c>
      <c r="E9" s="1" t="s">
        <v>361</v>
      </c>
      <c r="F9" s="19" t="s">
        <v>409</v>
      </c>
      <c r="G9" s="19">
        <v>3172.2</v>
      </c>
      <c r="H9" s="19">
        <v>3203.6</v>
      </c>
      <c r="I9" s="19">
        <f t="shared" si="1"/>
        <v>31.4</v>
      </c>
      <c r="J9" s="19"/>
    </row>
    <row r="10">
      <c r="B10" s="17">
        <v>45189.0</v>
      </c>
      <c r="C10" s="21">
        <v>45220.0</v>
      </c>
      <c r="D10" s="125" t="s">
        <v>38</v>
      </c>
      <c r="E10" s="19" t="s">
        <v>52</v>
      </c>
      <c r="F10" s="19" t="s">
        <v>409</v>
      </c>
      <c r="G10" s="19">
        <v>3203.6</v>
      </c>
      <c r="H10" s="19">
        <v>3357.1</v>
      </c>
      <c r="I10" s="19">
        <f t="shared" si="1"/>
        <v>153.5</v>
      </c>
      <c r="J10" s="19"/>
      <c r="K10" s="19"/>
    </row>
    <row r="11">
      <c r="B11" s="17">
        <v>45221.0</v>
      </c>
      <c r="C11" s="21">
        <v>45226.0</v>
      </c>
      <c r="D11" s="19" t="s">
        <v>413</v>
      </c>
      <c r="E11" s="19" t="s">
        <v>43</v>
      </c>
      <c r="F11" s="19" t="s">
        <v>409</v>
      </c>
      <c r="G11" s="19">
        <v>3357.1</v>
      </c>
      <c r="H11" s="19">
        <v>3396.7</v>
      </c>
      <c r="I11" s="19">
        <f t="shared" si="1"/>
        <v>39.6</v>
      </c>
      <c r="J11" s="19"/>
      <c r="K11" s="19" t="s">
        <v>414</v>
      </c>
    </row>
    <row r="12">
      <c r="B12" s="21">
        <v>45226.0</v>
      </c>
      <c r="C12" s="21">
        <v>45228.0</v>
      </c>
      <c r="D12" s="19" t="s">
        <v>415</v>
      </c>
      <c r="E12" s="18"/>
      <c r="F12" s="19" t="s">
        <v>409</v>
      </c>
      <c r="G12" s="19">
        <v>3396.7</v>
      </c>
      <c r="H12" s="19">
        <v>3412.7</v>
      </c>
      <c r="I12" s="19">
        <f t="shared" si="1"/>
        <v>16</v>
      </c>
      <c r="J12" s="19"/>
      <c r="K12" s="19" t="s">
        <v>416</v>
      </c>
    </row>
    <row r="13">
      <c r="B13" s="21">
        <v>45228.0</v>
      </c>
      <c r="C13" s="21">
        <v>45229.0</v>
      </c>
      <c r="D13" s="19" t="s">
        <v>415</v>
      </c>
      <c r="E13" s="18"/>
      <c r="F13" s="19" t="s">
        <v>409</v>
      </c>
      <c r="G13" s="19">
        <v>3412.7</v>
      </c>
      <c r="H13" s="19">
        <v>3432.0</v>
      </c>
      <c r="I13" s="19">
        <f t="shared" si="1"/>
        <v>19.3</v>
      </c>
      <c r="J13" s="19">
        <v>100.0</v>
      </c>
      <c r="K13" s="19" t="s">
        <v>416</v>
      </c>
    </row>
    <row r="14">
      <c r="B14" s="21">
        <v>45231.0</v>
      </c>
      <c r="C14" s="21">
        <v>45241.0</v>
      </c>
      <c r="D14" s="19" t="s">
        <v>413</v>
      </c>
      <c r="E14" s="19" t="s">
        <v>43</v>
      </c>
      <c r="F14" s="19" t="s">
        <v>409</v>
      </c>
      <c r="G14" s="19">
        <v>3432.0</v>
      </c>
      <c r="H14" s="19">
        <v>3521.7</v>
      </c>
      <c r="I14" s="19">
        <f t="shared" si="1"/>
        <v>89.7</v>
      </c>
      <c r="J14" s="19">
        <v>1010.0</v>
      </c>
      <c r="K14" s="19" t="s">
        <v>96</v>
      </c>
    </row>
    <row r="15">
      <c r="B15" s="17">
        <v>45242.0</v>
      </c>
      <c r="C15" s="21">
        <v>45247.0</v>
      </c>
      <c r="D15" s="19" t="s">
        <v>413</v>
      </c>
      <c r="E15" s="19" t="s">
        <v>43</v>
      </c>
      <c r="F15" s="19" t="s">
        <v>409</v>
      </c>
      <c r="G15" s="19">
        <v>3521.7</v>
      </c>
      <c r="H15" s="19">
        <v>3572.5</v>
      </c>
      <c r="I15" s="19">
        <f t="shared" si="1"/>
        <v>50.8</v>
      </c>
      <c r="J15" s="19">
        <v>680.0</v>
      </c>
      <c r="K15" s="19" t="s">
        <v>96</v>
      </c>
    </row>
    <row r="16">
      <c r="B16" s="17">
        <v>45248.0</v>
      </c>
      <c r="C16" s="21">
        <v>45260.0</v>
      </c>
      <c r="D16" s="19" t="s">
        <v>58</v>
      </c>
      <c r="E16" s="19" t="s">
        <v>59</v>
      </c>
      <c r="F16" s="19" t="s">
        <v>409</v>
      </c>
      <c r="G16" s="19">
        <v>3573.6</v>
      </c>
      <c r="H16" s="19">
        <v>3651.6</v>
      </c>
      <c r="I16" s="19">
        <f t="shared" si="1"/>
        <v>78</v>
      </c>
      <c r="J16" s="19">
        <v>1476.0</v>
      </c>
      <c r="K16" s="19" t="s">
        <v>417</v>
      </c>
    </row>
    <row r="17">
      <c r="B17" s="17">
        <v>45261.0</v>
      </c>
      <c r="C17" s="21">
        <v>45268.0</v>
      </c>
      <c r="D17" s="19" t="s">
        <v>58</v>
      </c>
      <c r="E17" s="19" t="s">
        <v>59</v>
      </c>
      <c r="F17" s="19" t="s">
        <v>409</v>
      </c>
      <c r="G17" s="19">
        <v>3661.1</v>
      </c>
      <c r="H17" s="19">
        <v>3723.1</v>
      </c>
      <c r="I17" s="19">
        <f t="shared" si="1"/>
        <v>62</v>
      </c>
      <c r="J17" s="19">
        <v>1060.0</v>
      </c>
      <c r="K17" s="19" t="s">
        <v>41</v>
      </c>
    </row>
    <row r="18">
      <c r="A18" s="126"/>
      <c r="B18" s="127">
        <v>45269.0</v>
      </c>
      <c r="C18" s="128">
        <v>45269.0</v>
      </c>
      <c r="D18" s="129" t="s">
        <v>51</v>
      </c>
      <c r="E18" s="129" t="s">
        <v>418</v>
      </c>
      <c r="F18" s="129" t="s">
        <v>259</v>
      </c>
      <c r="G18" s="129">
        <v>3723.1</v>
      </c>
      <c r="H18" s="129">
        <v>3727.8</v>
      </c>
      <c r="I18" s="129">
        <f t="shared" si="1"/>
        <v>4.7</v>
      </c>
      <c r="J18" s="129"/>
      <c r="K18" s="129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</row>
    <row r="19">
      <c r="B19" s="17">
        <v>45271.0</v>
      </c>
      <c r="C19" s="21">
        <v>45289.0</v>
      </c>
      <c r="D19" s="19" t="s">
        <v>58</v>
      </c>
      <c r="E19" s="19" t="s">
        <v>59</v>
      </c>
      <c r="F19" s="19" t="s">
        <v>409</v>
      </c>
      <c r="G19" s="19">
        <v>3729.5</v>
      </c>
      <c r="H19" s="19">
        <v>3864.8</v>
      </c>
      <c r="I19" s="19">
        <f t="shared" si="1"/>
        <v>135.3</v>
      </c>
      <c r="J19" s="23">
        <v>1980.0</v>
      </c>
      <c r="K19" s="19"/>
    </row>
    <row r="20">
      <c r="B20" s="17">
        <v>45293.0</v>
      </c>
      <c r="C20" s="21">
        <v>45300.0</v>
      </c>
      <c r="D20" s="19" t="s">
        <v>58</v>
      </c>
      <c r="E20" s="19" t="s">
        <v>59</v>
      </c>
      <c r="F20" s="19" t="s">
        <v>409</v>
      </c>
      <c r="G20" s="19">
        <v>3864.8</v>
      </c>
      <c r="H20" s="19">
        <v>3884.1</v>
      </c>
      <c r="I20" s="19">
        <f t="shared" si="1"/>
        <v>19.3</v>
      </c>
      <c r="J20" s="19"/>
      <c r="K20" s="19"/>
    </row>
    <row r="21" ht="15.75" customHeight="1">
      <c r="B21" s="17">
        <v>45301.0</v>
      </c>
      <c r="C21" s="21">
        <v>45301.0</v>
      </c>
      <c r="D21" s="19" t="s">
        <v>58</v>
      </c>
      <c r="E21" s="19" t="s">
        <v>59</v>
      </c>
      <c r="F21" s="19" t="s">
        <v>259</v>
      </c>
      <c r="G21" s="19">
        <v>3884.1</v>
      </c>
      <c r="H21" s="19">
        <v>3886.9</v>
      </c>
      <c r="I21" s="19">
        <f t="shared" si="1"/>
        <v>2.8</v>
      </c>
      <c r="J21" s="19"/>
      <c r="K21" s="19"/>
    </row>
    <row r="22" ht="15.75" customHeight="1">
      <c r="B22" s="17">
        <v>45302.0</v>
      </c>
      <c r="C22" s="17">
        <v>45302.0</v>
      </c>
      <c r="D22" s="19" t="s">
        <v>58</v>
      </c>
      <c r="E22" s="19" t="s">
        <v>59</v>
      </c>
      <c r="F22" s="19" t="s">
        <v>259</v>
      </c>
      <c r="G22" s="19">
        <v>3886.9</v>
      </c>
      <c r="H22" s="19">
        <v>3894.1</v>
      </c>
      <c r="I22" s="19">
        <f t="shared" si="1"/>
        <v>7.2</v>
      </c>
      <c r="J22" s="19"/>
      <c r="K22" s="19"/>
    </row>
    <row r="23" ht="15.75" customHeight="1">
      <c r="B23" s="17">
        <v>45303.0</v>
      </c>
      <c r="C23" s="17">
        <v>45303.0</v>
      </c>
      <c r="D23" s="19" t="s">
        <v>58</v>
      </c>
      <c r="E23" s="19" t="s">
        <v>59</v>
      </c>
      <c r="F23" s="19" t="s">
        <v>259</v>
      </c>
      <c r="G23" s="19">
        <v>3894.1</v>
      </c>
      <c r="H23" s="19">
        <v>3898.1</v>
      </c>
      <c r="I23" s="19">
        <f t="shared" si="1"/>
        <v>4</v>
      </c>
      <c r="J23" s="23"/>
      <c r="K23" s="19"/>
    </row>
    <row r="24" ht="15.75" customHeight="1">
      <c r="B24" s="17">
        <v>45304.0</v>
      </c>
      <c r="C24" s="17">
        <v>45304.0</v>
      </c>
      <c r="D24" s="19" t="s">
        <v>58</v>
      </c>
      <c r="E24" s="19" t="s">
        <v>59</v>
      </c>
      <c r="F24" s="19" t="s">
        <v>259</v>
      </c>
      <c r="G24" s="19">
        <v>3898.1</v>
      </c>
      <c r="H24" s="19">
        <v>3903.2</v>
      </c>
      <c r="I24" s="19">
        <f t="shared" si="1"/>
        <v>5.1</v>
      </c>
      <c r="J24" s="23"/>
      <c r="K24" s="19"/>
    </row>
    <row r="25" ht="15.75" customHeight="1">
      <c r="B25" s="17">
        <v>45309.0</v>
      </c>
      <c r="C25" s="17">
        <v>45309.0</v>
      </c>
      <c r="D25" s="19" t="s">
        <v>58</v>
      </c>
      <c r="E25" s="19" t="s">
        <v>59</v>
      </c>
      <c r="F25" s="19" t="s">
        <v>419</v>
      </c>
      <c r="G25" s="19">
        <v>3903.2</v>
      </c>
      <c r="H25" s="19">
        <v>3907.3</v>
      </c>
      <c r="I25" s="19">
        <f t="shared" si="1"/>
        <v>4.1</v>
      </c>
      <c r="J25" s="23"/>
      <c r="K25" s="19"/>
    </row>
    <row r="26" ht="15.75" customHeight="1">
      <c r="B26" s="17"/>
      <c r="C26" s="21"/>
      <c r="D26" s="19" t="s">
        <v>58</v>
      </c>
      <c r="E26" s="19" t="s">
        <v>59</v>
      </c>
      <c r="F26" s="19" t="s">
        <v>419</v>
      </c>
      <c r="G26" s="19">
        <v>3907.3</v>
      </c>
      <c r="H26" s="19">
        <v>3913.4</v>
      </c>
      <c r="I26" s="19">
        <f t="shared" si="1"/>
        <v>6.1</v>
      </c>
      <c r="J26" s="23"/>
      <c r="K26" s="19"/>
    </row>
    <row r="27" ht="15.75" customHeight="1">
      <c r="B27" s="17">
        <v>45309.0</v>
      </c>
      <c r="C27" s="21">
        <v>45309.0</v>
      </c>
      <c r="D27" s="19" t="s">
        <v>58</v>
      </c>
      <c r="E27" s="19" t="s">
        <v>59</v>
      </c>
      <c r="F27" s="19" t="s">
        <v>259</v>
      </c>
      <c r="G27" s="19">
        <v>3913.4</v>
      </c>
      <c r="H27" s="19">
        <v>3915.4</v>
      </c>
      <c r="I27" s="19">
        <f t="shared" si="1"/>
        <v>2</v>
      </c>
      <c r="J27" s="23"/>
      <c r="K27" s="19"/>
    </row>
    <row r="28" ht="15.75" customHeight="1">
      <c r="B28" s="17">
        <v>45310.0</v>
      </c>
      <c r="C28" s="21">
        <v>45310.0</v>
      </c>
      <c r="D28" s="19" t="s">
        <v>58</v>
      </c>
      <c r="E28" s="19" t="s">
        <v>59</v>
      </c>
      <c r="F28" s="19" t="s">
        <v>259</v>
      </c>
      <c r="G28" s="19">
        <v>3915.4</v>
      </c>
      <c r="H28" s="19">
        <v>3921.8</v>
      </c>
      <c r="I28" s="19">
        <f t="shared" si="1"/>
        <v>6.4</v>
      </c>
      <c r="J28" s="23"/>
      <c r="K28" s="19"/>
    </row>
    <row r="29" ht="15.75" customHeight="1">
      <c r="B29" s="17">
        <v>45311.0</v>
      </c>
      <c r="C29" s="21">
        <v>45320.0</v>
      </c>
      <c r="D29" s="19" t="s">
        <v>58</v>
      </c>
      <c r="E29" s="19" t="s">
        <v>59</v>
      </c>
      <c r="F29" s="19" t="s">
        <v>289</v>
      </c>
      <c r="G29" s="19">
        <v>3921.8</v>
      </c>
      <c r="H29" s="19">
        <v>3956.2</v>
      </c>
      <c r="I29" s="19">
        <f t="shared" si="1"/>
        <v>34.4</v>
      </c>
      <c r="J29" s="19"/>
      <c r="K29" s="19"/>
    </row>
    <row r="30" ht="15.75" customHeight="1">
      <c r="B30" s="17">
        <v>45321.0</v>
      </c>
      <c r="C30" s="17">
        <v>45325.0</v>
      </c>
      <c r="D30" s="19" t="s">
        <v>420</v>
      </c>
      <c r="E30" s="19" t="s">
        <v>75</v>
      </c>
      <c r="F30" s="19" t="s">
        <v>289</v>
      </c>
      <c r="G30" s="19">
        <v>3956.2</v>
      </c>
      <c r="H30" s="19">
        <v>3979.1</v>
      </c>
      <c r="I30" s="19">
        <f t="shared" si="1"/>
        <v>22.9</v>
      </c>
      <c r="J30" s="19"/>
      <c r="K30" s="19"/>
    </row>
    <row r="31" ht="15.75" customHeight="1">
      <c r="B31" s="17">
        <v>45325.0</v>
      </c>
      <c r="C31" s="21">
        <v>45326.0</v>
      </c>
      <c r="D31" s="19" t="s">
        <v>187</v>
      </c>
      <c r="E31" s="19" t="s">
        <v>79</v>
      </c>
      <c r="F31" s="19" t="s">
        <v>421</v>
      </c>
      <c r="G31" s="19">
        <v>3979.1</v>
      </c>
      <c r="H31" s="19">
        <v>3984.6</v>
      </c>
      <c r="I31" s="19">
        <f t="shared" si="1"/>
        <v>5.5</v>
      </c>
      <c r="J31" s="19"/>
      <c r="K31" s="26"/>
    </row>
    <row r="32" ht="15.75" customHeight="1">
      <c r="B32" s="21">
        <v>45326.0</v>
      </c>
      <c r="C32" s="21">
        <v>45327.0</v>
      </c>
      <c r="D32" s="19" t="s">
        <v>420</v>
      </c>
      <c r="E32" s="19" t="s">
        <v>75</v>
      </c>
      <c r="F32" s="19" t="s">
        <v>289</v>
      </c>
      <c r="G32" s="19">
        <v>3984.6</v>
      </c>
      <c r="H32" s="19">
        <v>3994.5</v>
      </c>
      <c r="I32" s="19">
        <f t="shared" si="1"/>
        <v>9.9</v>
      </c>
      <c r="J32" s="19"/>
      <c r="K32" s="19"/>
    </row>
    <row r="33" ht="15.75" customHeight="1">
      <c r="B33" s="17">
        <v>45328.0</v>
      </c>
      <c r="C33" s="21">
        <v>45331.0</v>
      </c>
      <c r="D33" s="19" t="s">
        <v>74</v>
      </c>
      <c r="E33" s="19" t="s">
        <v>75</v>
      </c>
      <c r="F33" s="19" t="s">
        <v>289</v>
      </c>
      <c r="G33" s="19">
        <v>3994.6</v>
      </c>
      <c r="H33" s="19">
        <v>4019.5</v>
      </c>
      <c r="I33" s="19">
        <f t="shared" si="1"/>
        <v>24.9</v>
      </c>
      <c r="J33" s="19"/>
      <c r="K33" s="19"/>
    </row>
    <row r="34" ht="15.75" customHeight="1">
      <c r="B34" s="17">
        <v>45334.0</v>
      </c>
      <c r="C34" s="21">
        <v>45338.0</v>
      </c>
      <c r="D34" s="19" t="s">
        <v>74</v>
      </c>
      <c r="E34" s="19" t="s">
        <v>75</v>
      </c>
      <c r="F34" s="19" t="s">
        <v>289</v>
      </c>
      <c r="G34" s="19">
        <v>4034.6</v>
      </c>
      <c r="H34" s="19">
        <v>4063.1</v>
      </c>
      <c r="I34" s="19">
        <f t="shared" si="1"/>
        <v>28.5</v>
      </c>
      <c r="J34" s="19"/>
      <c r="K34" s="19"/>
    </row>
    <row r="35" ht="15.75" customHeight="1">
      <c r="B35" s="17">
        <v>45338.0</v>
      </c>
      <c r="C35" s="21">
        <v>45346.0</v>
      </c>
      <c r="D35" s="19" t="s">
        <v>362</v>
      </c>
      <c r="E35" s="19" t="s">
        <v>422</v>
      </c>
      <c r="F35" s="19" t="s">
        <v>289</v>
      </c>
      <c r="G35" s="19">
        <v>4063.1</v>
      </c>
      <c r="H35" s="19">
        <v>4139.9</v>
      </c>
      <c r="I35" s="19">
        <f t="shared" si="1"/>
        <v>76.8</v>
      </c>
      <c r="J35" s="19"/>
      <c r="K35" s="19"/>
    </row>
    <row r="36" ht="15.75" customHeight="1">
      <c r="B36" s="17">
        <v>45346.0</v>
      </c>
      <c r="C36" s="21">
        <v>45355.0</v>
      </c>
      <c r="D36" s="19" t="s">
        <v>38</v>
      </c>
      <c r="E36" s="19" t="s">
        <v>423</v>
      </c>
      <c r="F36" s="19" t="s">
        <v>289</v>
      </c>
      <c r="G36" s="19">
        <v>4139.9</v>
      </c>
      <c r="H36" s="19">
        <v>4214.6</v>
      </c>
      <c r="I36" s="19">
        <f t="shared" si="1"/>
        <v>74.7</v>
      </c>
      <c r="J36" s="19"/>
      <c r="K36" s="19"/>
    </row>
    <row r="37" ht="15.75" customHeight="1">
      <c r="B37" s="17">
        <v>45356.0</v>
      </c>
      <c r="C37" s="21">
        <v>45371.0</v>
      </c>
      <c r="D37" s="19" t="s">
        <v>74</v>
      </c>
      <c r="E37" s="19" t="s">
        <v>75</v>
      </c>
      <c r="F37" s="19" t="s">
        <v>289</v>
      </c>
      <c r="G37" s="19">
        <v>4215.0</v>
      </c>
      <c r="H37" s="19">
        <v>4335.0</v>
      </c>
      <c r="I37" s="19">
        <f t="shared" si="1"/>
        <v>120</v>
      </c>
      <c r="J37" s="19">
        <v>1319.0</v>
      </c>
      <c r="K37" s="19"/>
    </row>
    <row r="38" ht="15.75" customHeight="1">
      <c r="B38" s="17">
        <v>45372.0</v>
      </c>
      <c r="C38" s="21">
        <v>45372.0</v>
      </c>
      <c r="D38" s="19"/>
      <c r="E38" s="19"/>
      <c r="F38" s="19" t="s">
        <v>409</v>
      </c>
      <c r="G38" s="19">
        <v>4335.0</v>
      </c>
      <c r="H38" s="19">
        <v>4340.5</v>
      </c>
      <c r="I38" s="19">
        <f t="shared" si="1"/>
        <v>5.5</v>
      </c>
      <c r="J38" s="19"/>
      <c r="K38" s="19"/>
    </row>
    <row r="39" ht="15.75" customHeight="1">
      <c r="B39" s="17">
        <v>45373.0</v>
      </c>
      <c r="C39" s="21">
        <v>45378.0</v>
      </c>
      <c r="D39" s="19" t="s">
        <v>424</v>
      </c>
      <c r="E39" s="19" t="s">
        <v>425</v>
      </c>
      <c r="F39" s="19" t="s">
        <v>409</v>
      </c>
      <c r="G39" s="19">
        <v>4340.5</v>
      </c>
      <c r="H39" s="19">
        <v>4355.4</v>
      </c>
      <c r="I39" s="19">
        <f t="shared" si="1"/>
        <v>14.9</v>
      </c>
      <c r="J39" s="19"/>
      <c r="K39" s="19"/>
    </row>
    <row r="40" ht="15.75" customHeight="1">
      <c r="B40" s="17">
        <v>45383.0</v>
      </c>
      <c r="C40" s="21">
        <v>45386.0</v>
      </c>
      <c r="D40" s="19" t="s">
        <v>424</v>
      </c>
      <c r="E40" s="19" t="s">
        <v>31</v>
      </c>
      <c r="F40" s="19" t="s">
        <v>409</v>
      </c>
      <c r="G40" s="19">
        <v>4355.4</v>
      </c>
      <c r="H40" s="19">
        <v>4385.8</v>
      </c>
      <c r="I40" s="19">
        <f t="shared" si="1"/>
        <v>30.4</v>
      </c>
      <c r="J40" s="19"/>
      <c r="K40" s="19"/>
    </row>
    <row r="41" ht="15.75" customHeight="1">
      <c r="B41" s="17"/>
      <c r="C41" s="21"/>
      <c r="D41" s="19" t="s">
        <v>426</v>
      </c>
      <c r="E41" s="19"/>
      <c r="F41" s="19"/>
      <c r="G41" s="19"/>
      <c r="H41" s="19"/>
      <c r="I41" s="19">
        <f t="shared" si="1"/>
        <v>0</v>
      </c>
      <c r="J41" s="19"/>
      <c r="K41" s="19"/>
    </row>
    <row r="42" ht="15.75" customHeight="1">
      <c r="B42" s="17">
        <v>45388.0</v>
      </c>
      <c r="C42" s="21">
        <v>45388.0</v>
      </c>
      <c r="D42" s="19" t="s">
        <v>427</v>
      </c>
      <c r="E42" s="19" t="s">
        <v>428</v>
      </c>
      <c r="F42" s="19" t="s">
        <v>429</v>
      </c>
      <c r="G42" s="19">
        <v>4385.8</v>
      </c>
      <c r="H42" s="19">
        <v>4392.0</v>
      </c>
      <c r="I42" s="19">
        <f t="shared" si="1"/>
        <v>6.2</v>
      </c>
      <c r="J42" s="19"/>
      <c r="K42" s="19"/>
    </row>
    <row r="43" ht="15.75" customHeight="1">
      <c r="B43" s="17">
        <v>45390.0</v>
      </c>
      <c r="C43" s="21">
        <v>45390.0</v>
      </c>
      <c r="D43" s="19" t="s">
        <v>430</v>
      </c>
      <c r="E43" s="19" t="s">
        <v>428</v>
      </c>
      <c r="F43" s="19" t="s">
        <v>429</v>
      </c>
      <c r="G43" s="19">
        <v>4392.0</v>
      </c>
      <c r="H43" s="19">
        <v>4399.0</v>
      </c>
      <c r="I43" s="19">
        <f t="shared" si="1"/>
        <v>7</v>
      </c>
      <c r="J43" s="19"/>
      <c r="K43" s="19"/>
    </row>
    <row r="44" ht="15.75" customHeight="1">
      <c r="B44" s="17">
        <v>46486.0</v>
      </c>
      <c r="C44" s="21">
        <v>45402.0</v>
      </c>
      <c r="D44" s="19" t="s">
        <v>187</v>
      </c>
      <c r="E44" s="19" t="s">
        <v>227</v>
      </c>
      <c r="F44" s="19" t="s">
        <v>409</v>
      </c>
      <c r="G44" s="19">
        <v>4399.0</v>
      </c>
      <c r="H44" s="19">
        <v>4488.0</v>
      </c>
      <c r="I44" s="19">
        <f t="shared" si="1"/>
        <v>89</v>
      </c>
      <c r="J44" s="19">
        <v>1160.0</v>
      </c>
      <c r="K44" s="26" t="s">
        <v>431</v>
      </c>
    </row>
    <row r="45" ht="15.75" customHeight="1">
      <c r="B45" s="17">
        <v>45402.0</v>
      </c>
      <c r="C45" s="21">
        <v>45412.0</v>
      </c>
      <c r="D45" s="19" t="s">
        <v>424</v>
      </c>
      <c r="E45" s="19" t="s">
        <v>428</v>
      </c>
      <c r="F45" s="19" t="s">
        <v>429</v>
      </c>
      <c r="G45" s="19">
        <v>4488.0</v>
      </c>
      <c r="H45" s="19">
        <v>4555.4</v>
      </c>
      <c r="I45" s="19">
        <f t="shared" si="1"/>
        <v>67.4</v>
      </c>
      <c r="J45" s="19"/>
      <c r="K45" s="19"/>
    </row>
    <row r="46" ht="15.75" customHeight="1">
      <c r="B46" s="17">
        <v>45413.0</v>
      </c>
      <c r="C46" s="21">
        <v>45416.0</v>
      </c>
      <c r="D46" s="19" t="s">
        <v>424</v>
      </c>
      <c r="E46" s="19" t="s">
        <v>428</v>
      </c>
      <c r="F46" s="19" t="s">
        <v>409</v>
      </c>
      <c r="G46" s="19">
        <v>4555.4</v>
      </c>
      <c r="H46" s="19">
        <v>4586.8</v>
      </c>
      <c r="I46" s="19">
        <f t="shared" si="1"/>
        <v>31.4</v>
      </c>
      <c r="J46" s="19"/>
      <c r="K46" s="19"/>
    </row>
    <row r="47" ht="15.75" customHeight="1">
      <c r="B47" s="17">
        <v>45418.0</v>
      </c>
      <c r="C47" s="21">
        <v>45444.0</v>
      </c>
      <c r="D47" s="19" t="s">
        <v>307</v>
      </c>
      <c r="E47" s="19" t="s">
        <v>432</v>
      </c>
      <c r="F47" s="19" t="s">
        <v>429</v>
      </c>
      <c r="G47" s="19">
        <v>4586.8</v>
      </c>
      <c r="H47" s="19">
        <v>4776.0</v>
      </c>
      <c r="I47" s="19">
        <f t="shared" si="1"/>
        <v>189.2</v>
      </c>
      <c r="J47" s="19"/>
      <c r="K47" s="19"/>
    </row>
    <row r="48" ht="15.75" customHeight="1">
      <c r="B48" s="17">
        <v>45446.0</v>
      </c>
      <c r="C48" s="21">
        <v>45462.0</v>
      </c>
      <c r="D48" s="19" t="s">
        <v>433</v>
      </c>
      <c r="E48" s="19" t="s">
        <v>95</v>
      </c>
      <c r="F48" s="19" t="s">
        <v>409</v>
      </c>
      <c r="G48" s="19">
        <v>4776.0</v>
      </c>
      <c r="H48" s="19">
        <v>4857.0</v>
      </c>
      <c r="I48" s="19">
        <f t="shared" si="1"/>
        <v>81</v>
      </c>
      <c r="J48" s="19">
        <v>900.0</v>
      </c>
      <c r="K48" s="19"/>
    </row>
    <row r="49" ht="15.75" customHeight="1">
      <c r="B49" s="17">
        <v>45463.0</v>
      </c>
      <c r="C49" s="21">
        <v>45464.0</v>
      </c>
      <c r="D49" s="19" t="s">
        <v>112</v>
      </c>
      <c r="E49" s="19" t="s">
        <v>434</v>
      </c>
      <c r="F49" s="19" t="s">
        <v>409</v>
      </c>
      <c r="G49" s="19">
        <v>72.0</v>
      </c>
      <c r="H49" s="19">
        <v>88.8</v>
      </c>
      <c r="I49" s="19">
        <f t="shared" si="1"/>
        <v>16.8</v>
      </c>
      <c r="J49" s="19">
        <v>230.0</v>
      </c>
      <c r="K49" s="19"/>
    </row>
    <row r="50" ht="15.75" customHeight="1">
      <c r="B50" s="17">
        <v>45465.0</v>
      </c>
      <c r="C50" s="21">
        <v>45472.0</v>
      </c>
      <c r="D50" s="19"/>
      <c r="E50" s="19" t="s">
        <v>435</v>
      </c>
      <c r="F50" s="19" t="s">
        <v>409</v>
      </c>
      <c r="G50" s="19">
        <v>88.8</v>
      </c>
      <c r="H50" s="19">
        <v>135.4</v>
      </c>
      <c r="I50" s="19">
        <f t="shared" si="1"/>
        <v>46.6</v>
      </c>
      <c r="J50" s="19">
        <v>1021.0</v>
      </c>
      <c r="K50" s="19"/>
    </row>
    <row r="51" ht="15.75" customHeight="1">
      <c r="B51" s="17">
        <v>45474.0</v>
      </c>
      <c r="C51" s="21">
        <v>45504.0</v>
      </c>
      <c r="D51" s="19"/>
      <c r="E51" s="19" t="s">
        <v>432</v>
      </c>
      <c r="F51" s="19" t="s">
        <v>409</v>
      </c>
      <c r="G51" s="19">
        <v>135.4</v>
      </c>
      <c r="H51" s="19">
        <v>354.4</v>
      </c>
      <c r="I51" s="19">
        <f t="shared" si="1"/>
        <v>219</v>
      </c>
      <c r="J51" s="19">
        <v>1721.0</v>
      </c>
      <c r="K51" s="19"/>
    </row>
    <row r="52" ht="15.75" customHeight="1">
      <c r="B52" s="17">
        <v>45505.0</v>
      </c>
      <c r="C52" s="21">
        <v>45523.0</v>
      </c>
      <c r="D52" s="19"/>
      <c r="E52" s="19" t="s">
        <v>220</v>
      </c>
      <c r="F52" s="19" t="s">
        <v>429</v>
      </c>
      <c r="G52" s="19">
        <v>354.4</v>
      </c>
      <c r="H52" s="19">
        <v>480.2</v>
      </c>
      <c r="I52" s="19">
        <f t="shared" si="1"/>
        <v>125.8</v>
      </c>
      <c r="J52" s="19">
        <v>1060.0</v>
      </c>
      <c r="K52" s="19"/>
    </row>
    <row r="53" ht="15.75" customHeight="1">
      <c r="B53" s="17">
        <v>45524.0</v>
      </c>
      <c r="C53" s="21">
        <v>45534.0</v>
      </c>
      <c r="D53" s="19" t="s">
        <v>436</v>
      </c>
      <c r="E53" s="19" t="s">
        <v>90</v>
      </c>
      <c r="F53" s="19" t="s">
        <v>409</v>
      </c>
      <c r="G53" s="19">
        <v>480.2</v>
      </c>
      <c r="H53" s="19">
        <v>570.0</v>
      </c>
      <c r="I53" s="19">
        <f t="shared" si="1"/>
        <v>89.8</v>
      </c>
      <c r="J53" s="19">
        <v>1353.0</v>
      </c>
      <c r="K53" s="19"/>
    </row>
    <row r="54" ht="15.75" customHeight="1">
      <c r="B54" s="17">
        <v>45537.0</v>
      </c>
      <c r="C54" s="21">
        <v>45541.0</v>
      </c>
      <c r="D54" s="19"/>
      <c r="E54" s="19" t="s">
        <v>90</v>
      </c>
      <c r="F54" s="19" t="s">
        <v>429</v>
      </c>
      <c r="G54" s="19">
        <v>570.0</v>
      </c>
      <c r="H54" s="19">
        <v>600.2</v>
      </c>
      <c r="I54" s="19">
        <f t="shared" si="1"/>
        <v>30.2</v>
      </c>
      <c r="J54" s="19">
        <v>410.0</v>
      </c>
      <c r="K54" s="19"/>
    </row>
    <row r="55" ht="15.75" customHeight="1">
      <c r="B55" s="17">
        <v>45542.0</v>
      </c>
      <c r="C55" s="21">
        <v>45543.0</v>
      </c>
      <c r="D55" s="19" t="s">
        <v>437</v>
      </c>
      <c r="E55" s="19" t="s">
        <v>438</v>
      </c>
      <c r="F55" s="19" t="s">
        <v>409</v>
      </c>
      <c r="G55" s="19">
        <v>600.2</v>
      </c>
      <c r="H55" s="19">
        <v>619.1</v>
      </c>
      <c r="I55" s="19">
        <f t="shared" si="1"/>
        <v>18.9</v>
      </c>
      <c r="J55" s="19"/>
      <c r="K55" s="19"/>
    </row>
    <row r="56" ht="15.75" customHeight="1">
      <c r="B56" s="17">
        <v>45544.0</v>
      </c>
      <c r="C56" s="21">
        <v>45565.0</v>
      </c>
      <c r="D56" s="19" t="s">
        <v>439</v>
      </c>
      <c r="E56" s="19" t="s">
        <v>90</v>
      </c>
      <c r="F56" s="19" t="s">
        <v>409</v>
      </c>
      <c r="G56" s="19">
        <v>619.1</v>
      </c>
      <c r="H56" s="19">
        <v>780.4</v>
      </c>
      <c r="I56" s="19">
        <f t="shared" si="1"/>
        <v>161.3</v>
      </c>
      <c r="J56" s="19">
        <v>1849.0</v>
      </c>
      <c r="K56" s="19"/>
    </row>
    <row r="57" ht="15.75" customHeight="1">
      <c r="B57" s="17">
        <v>45566.0</v>
      </c>
      <c r="C57" s="21">
        <v>45584.0</v>
      </c>
      <c r="D57" s="19" t="s">
        <v>436</v>
      </c>
      <c r="E57" s="19" t="s">
        <v>440</v>
      </c>
      <c r="F57" s="19" t="s">
        <v>409</v>
      </c>
      <c r="G57" s="19">
        <v>780.4</v>
      </c>
      <c r="H57" s="19">
        <v>888.0</v>
      </c>
      <c r="I57" s="19">
        <f t="shared" si="1"/>
        <v>107.6</v>
      </c>
      <c r="J57" s="19">
        <v>1287.0</v>
      </c>
      <c r="K57" s="19"/>
    </row>
    <row r="58" ht="15.75" customHeight="1">
      <c r="B58" s="17">
        <v>45586.0</v>
      </c>
      <c r="C58" s="21">
        <v>45588.0</v>
      </c>
      <c r="D58" s="19" t="s">
        <v>439</v>
      </c>
      <c r="E58" s="19" t="s">
        <v>440</v>
      </c>
      <c r="F58" s="19" t="s">
        <v>409</v>
      </c>
      <c r="G58" s="19">
        <v>888.0</v>
      </c>
      <c r="H58" s="19">
        <v>914.0</v>
      </c>
      <c r="I58" s="19">
        <f t="shared" si="1"/>
        <v>26</v>
      </c>
      <c r="J58" s="19">
        <v>460.0</v>
      </c>
      <c r="K58" s="19"/>
    </row>
    <row r="59" ht="15.75" customHeight="1">
      <c r="B59" s="17">
        <v>45589.0</v>
      </c>
      <c r="C59" s="21">
        <v>45593.0</v>
      </c>
      <c r="D59" s="19" t="s">
        <v>436</v>
      </c>
      <c r="E59" s="19" t="s">
        <v>440</v>
      </c>
      <c r="F59" s="19" t="s">
        <v>409</v>
      </c>
      <c r="G59" s="19">
        <v>914.0</v>
      </c>
      <c r="H59" s="19">
        <v>950.0</v>
      </c>
      <c r="I59" s="19">
        <f t="shared" si="1"/>
        <v>36</v>
      </c>
      <c r="J59" s="19">
        <v>630.0</v>
      </c>
      <c r="K59" s="19"/>
    </row>
    <row r="60" ht="15.75" customHeight="1">
      <c r="B60" s="17">
        <v>45594.0</v>
      </c>
      <c r="C60" s="21">
        <v>45596.0</v>
      </c>
      <c r="D60" s="19" t="s">
        <v>398</v>
      </c>
      <c r="E60" s="19" t="s">
        <v>441</v>
      </c>
      <c r="F60" s="19" t="s">
        <v>409</v>
      </c>
      <c r="G60" s="19">
        <v>950.0</v>
      </c>
      <c r="H60" s="19">
        <v>980.1</v>
      </c>
      <c r="I60" s="19">
        <f t="shared" si="1"/>
        <v>30.1</v>
      </c>
      <c r="J60" s="19">
        <v>400.0</v>
      </c>
      <c r="K60" s="19"/>
    </row>
    <row r="61" ht="15.75" customHeight="1">
      <c r="B61" s="17">
        <v>45566.0</v>
      </c>
      <c r="C61" s="21">
        <v>45604.0</v>
      </c>
      <c r="D61" s="19" t="s">
        <v>398</v>
      </c>
      <c r="E61" s="19" t="s">
        <v>441</v>
      </c>
      <c r="F61" s="19" t="s">
        <v>429</v>
      </c>
      <c r="G61" s="19">
        <v>980.1</v>
      </c>
      <c r="H61" s="19">
        <v>1038.0</v>
      </c>
      <c r="I61" s="19">
        <f t="shared" si="1"/>
        <v>57.9</v>
      </c>
      <c r="J61" s="19">
        <v>400.0</v>
      </c>
      <c r="K61" s="19"/>
    </row>
    <row r="62" ht="15.75" customHeight="1">
      <c r="B62" s="17">
        <v>45607.0</v>
      </c>
      <c r="C62" s="21">
        <v>45616.0</v>
      </c>
      <c r="D62" s="19" t="s">
        <v>298</v>
      </c>
      <c r="E62" s="19" t="s">
        <v>442</v>
      </c>
      <c r="F62" s="19" t="s">
        <v>409</v>
      </c>
      <c r="G62" s="19">
        <v>1038.0</v>
      </c>
      <c r="H62" s="19">
        <v>1087.0</v>
      </c>
      <c r="I62" s="19">
        <f t="shared" si="1"/>
        <v>49</v>
      </c>
      <c r="J62" s="19">
        <v>1190.0</v>
      </c>
      <c r="K62" s="19"/>
    </row>
    <row r="63" ht="15.75" customHeight="1">
      <c r="B63" s="17">
        <v>45618.0</v>
      </c>
      <c r="C63" s="21">
        <v>45624.0</v>
      </c>
      <c r="D63" s="19" t="s">
        <v>443</v>
      </c>
      <c r="E63" s="19" t="s">
        <v>444</v>
      </c>
      <c r="F63" s="19" t="s">
        <v>445</v>
      </c>
      <c r="G63" s="19">
        <v>1105.2</v>
      </c>
      <c r="H63" s="19">
        <v>1146.7</v>
      </c>
      <c r="I63" s="19">
        <f t="shared" si="1"/>
        <v>41.5</v>
      </c>
      <c r="J63" s="19">
        <v>650.0</v>
      </c>
      <c r="K63" s="19"/>
    </row>
    <row r="64" ht="15.75" customHeight="1">
      <c r="B64" s="17">
        <v>45625.0</v>
      </c>
      <c r="C64" s="21">
        <v>45626.0</v>
      </c>
      <c r="D64" s="19" t="s">
        <v>446</v>
      </c>
      <c r="E64" s="19" t="s">
        <v>52</v>
      </c>
      <c r="F64" s="19" t="s">
        <v>445</v>
      </c>
      <c r="G64" s="19">
        <v>1146.7</v>
      </c>
      <c r="H64" s="19">
        <v>1165.7</v>
      </c>
      <c r="I64" s="19">
        <f t="shared" si="1"/>
        <v>19</v>
      </c>
      <c r="J64" s="19">
        <v>160.0</v>
      </c>
      <c r="K64" s="19"/>
    </row>
    <row r="65" ht="15.75" customHeight="1">
      <c r="B65" s="17">
        <v>45628.0</v>
      </c>
      <c r="C65" s="21">
        <v>45635.0</v>
      </c>
      <c r="D65" s="19" t="s">
        <v>446</v>
      </c>
      <c r="E65" s="19" t="s">
        <v>52</v>
      </c>
      <c r="F65" s="19" t="s">
        <v>445</v>
      </c>
      <c r="G65" s="19">
        <v>1165.7</v>
      </c>
      <c r="H65" s="19">
        <v>1223.0</v>
      </c>
      <c r="I65" s="19">
        <f t="shared" si="1"/>
        <v>57.3</v>
      </c>
      <c r="J65" s="19">
        <v>430.0</v>
      </c>
      <c r="K65" s="19"/>
    </row>
    <row r="66" ht="15.75" customHeight="1">
      <c r="B66" s="17">
        <v>45637.0</v>
      </c>
      <c r="C66" s="21">
        <v>45644.0</v>
      </c>
      <c r="D66" s="19" t="s">
        <v>219</v>
      </c>
      <c r="E66" s="19" t="s">
        <v>447</v>
      </c>
      <c r="F66" s="19" t="s">
        <v>445</v>
      </c>
      <c r="G66" s="19">
        <v>1223.0</v>
      </c>
      <c r="H66" s="19">
        <v>1280.0</v>
      </c>
      <c r="I66" s="19">
        <f t="shared" si="1"/>
        <v>57</v>
      </c>
      <c r="J66" s="19">
        <v>683.0</v>
      </c>
      <c r="K66" s="19"/>
    </row>
    <row r="67" ht="15.75" customHeight="1">
      <c r="B67" s="17">
        <v>45645.0</v>
      </c>
      <c r="C67" s="21">
        <v>45656.0</v>
      </c>
      <c r="D67" s="19" t="s">
        <v>187</v>
      </c>
      <c r="E67" s="19" t="s">
        <v>90</v>
      </c>
      <c r="F67" s="19" t="s">
        <v>445</v>
      </c>
      <c r="G67" s="19">
        <v>1280.0</v>
      </c>
      <c r="H67" s="19">
        <v>1356.8</v>
      </c>
      <c r="I67" s="19">
        <f t="shared" si="1"/>
        <v>76.8</v>
      </c>
      <c r="J67" s="19">
        <v>1087.0</v>
      </c>
      <c r="K67" s="19"/>
    </row>
    <row r="68" ht="15.75" customHeight="1">
      <c r="B68" s="17">
        <v>45657.0</v>
      </c>
      <c r="C68" s="21">
        <v>45657.0</v>
      </c>
      <c r="D68" s="19" t="s">
        <v>28</v>
      </c>
      <c r="E68" s="19" t="s">
        <v>257</v>
      </c>
      <c r="F68" s="19" t="s">
        <v>445</v>
      </c>
      <c r="G68" s="19">
        <v>1356.8</v>
      </c>
      <c r="H68" s="19">
        <v>1367.0</v>
      </c>
      <c r="I68" s="19">
        <f t="shared" si="1"/>
        <v>10.2</v>
      </c>
      <c r="J68" s="19"/>
      <c r="K68" s="19"/>
    </row>
    <row r="69" ht="15.75" customHeight="1">
      <c r="B69" s="17">
        <v>45659.0</v>
      </c>
      <c r="C69" s="21">
        <v>45700.0</v>
      </c>
      <c r="D69" s="19" t="s">
        <v>28</v>
      </c>
      <c r="E69" s="19" t="s">
        <v>257</v>
      </c>
      <c r="F69" s="19" t="s">
        <v>445</v>
      </c>
      <c r="G69" s="19">
        <v>1367.0</v>
      </c>
      <c r="H69" s="19">
        <v>1652.7</v>
      </c>
      <c r="I69" s="19">
        <f t="shared" si="1"/>
        <v>285.7</v>
      </c>
      <c r="J69" s="19"/>
      <c r="K69" s="19"/>
    </row>
    <row r="70" ht="15.75" customHeight="1">
      <c r="B70" s="17">
        <v>45760.0</v>
      </c>
      <c r="C70" s="21">
        <v>45707.0</v>
      </c>
      <c r="D70" s="19" t="s">
        <v>448</v>
      </c>
      <c r="E70" s="19" t="s">
        <v>449</v>
      </c>
      <c r="F70" s="19" t="s">
        <v>445</v>
      </c>
      <c r="G70" s="19">
        <v>1652.7</v>
      </c>
      <c r="H70" s="19">
        <v>1709.3</v>
      </c>
      <c r="I70" s="19">
        <f t="shared" si="1"/>
        <v>56.6</v>
      </c>
      <c r="J70" s="19"/>
      <c r="K70" s="19"/>
    </row>
    <row r="71" ht="15.75" customHeight="1">
      <c r="B71" s="17">
        <v>45708.0</v>
      </c>
      <c r="C71" s="21">
        <v>45708.0</v>
      </c>
      <c r="D71" s="19" t="s">
        <v>450</v>
      </c>
      <c r="E71" s="19" t="s">
        <v>451</v>
      </c>
      <c r="F71" s="19" t="s">
        <v>445</v>
      </c>
      <c r="G71" s="19">
        <v>1709.3</v>
      </c>
      <c r="H71" s="19">
        <v>1711.5</v>
      </c>
      <c r="I71" s="19">
        <f t="shared" si="1"/>
        <v>2.2</v>
      </c>
      <c r="J71" s="19">
        <v>220.0</v>
      </c>
      <c r="K71" s="19"/>
    </row>
    <row r="72" ht="15.75" customHeight="1">
      <c r="B72" s="17">
        <v>45708.0</v>
      </c>
      <c r="C72" s="21">
        <v>45712.0</v>
      </c>
      <c r="D72" s="19" t="s">
        <v>448</v>
      </c>
      <c r="E72" s="19" t="s">
        <v>449</v>
      </c>
      <c r="F72" s="19" t="s">
        <v>445</v>
      </c>
      <c r="G72" s="19">
        <v>1711.5</v>
      </c>
      <c r="H72" s="19">
        <v>1740.2</v>
      </c>
      <c r="I72" s="19">
        <f t="shared" si="1"/>
        <v>28.7</v>
      </c>
      <c r="J72" s="19"/>
      <c r="K72" s="19"/>
    </row>
    <row r="73" ht="15.75" customHeight="1">
      <c r="B73" s="17">
        <v>45713.0</v>
      </c>
      <c r="C73" s="21">
        <v>45715.0</v>
      </c>
      <c r="D73" s="19" t="s">
        <v>63</v>
      </c>
      <c r="E73" s="19" t="s">
        <v>452</v>
      </c>
      <c r="F73" s="19" t="s">
        <v>445</v>
      </c>
      <c r="G73" s="19">
        <v>1740.2</v>
      </c>
      <c r="H73" s="19">
        <v>1767.3</v>
      </c>
      <c r="I73" s="19">
        <f t="shared" si="1"/>
        <v>27.1</v>
      </c>
      <c r="J73" s="19"/>
      <c r="K73" s="19"/>
    </row>
    <row r="74" ht="15.75" customHeight="1">
      <c r="B74" s="17">
        <v>45715.0</v>
      </c>
      <c r="C74" s="21">
        <v>45716.0</v>
      </c>
      <c r="D74" s="19" t="s">
        <v>134</v>
      </c>
      <c r="E74" s="19" t="s">
        <v>76</v>
      </c>
      <c r="F74" s="19" t="s">
        <v>445</v>
      </c>
      <c r="G74" s="19">
        <v>1767.5</v>
      </c>
      <c r="H74" s="19">
        <v>1782.0</v>
      </c>
      <c r="I74" s="19">
        <f t="shared" si="1"/>
        <v>14.5</v>
      </c>
      <c r="J74" s="19"/>
      <c r="K74" s="19"/>
    </row>
    <row r="75" ht="15.75" customHeight="1">
      <c r="B75" s="17" t="s">
        <v>453</v>
      </c>
      <c r="C75" s="21">
        <v>45742.0</v>
      </c>
      <c r="D75" s="19" t="s">
        <v>134</v>
      </c>
      <c r="E75" s="19" t="s">
        <v>76</v>
      </c>
      <c r="F75" s="19" t="s">
        <v>445</v>
      </c>
      <c r="G75" s="19">
        <v>1782.0</v>
      </c>
      <c r="H75" s="19">
        <v>2005.1</v>
      </c>
      <c r="I75" s="19">
        <f t="shared" si="1"/>
        <v>223.1</v>
      </c>
      <c r="J75" s="19"/>
      <c r="K75" s="19"/>
    </row>
    <row r="76" ht="15.75" customHeight="1">
      <c r="B76" s="17">
        <v>45743.0</v>
      </c>
      <c r="C76" s="21">
        <v>45743.0</v>
      </c>
      <c r="D76" s="19" t="s">
        <v>454</v>
      </c>
      <c r="E76" s="19" t="s">
        <v>455</v>
      </c>
      <c r="F76" s="19" t="s">
        <v>445</v>
      </c>
      <c r="G76" s="19">
        <v>2005.1</v>
      </c>
      <c r="H76" s="19">
        <v>2012.2</v>
      </c>
      <c r="I76" s="19">
        <f t="shared" si="1"/>
        <v>7.1</v>
      </c>
      <c r="J76" s="19"/>
      <c r="K76" s="19"/>
    </row>
    <row r="77" ht="15.75" customHeight="1">
      <c r="B77" s="17">
        <v>45744.0</v>
      </c>
      <c r="C77" s="21">
        <v>45744.0</v>
      </c>
      <c r="D77" s="19" t="s">
        <v>456</v>
      </c>
      <c r="E77" s="19"/>
      <c r="F77" s="19" t="s">
        <v>445</v>
      </c>
      <c r="G77" s="19">
        <v>2012.2</v>
      </c>
      <c r="H77" s="19">
        <v>2019.8</v>
      </c>
      <c r="I77" s="19">
        <f t="shared" si="1"/>
        <v>7.6</v>
      </c>
      <c r="J77" s="19"/>
      <c r="K77" s="19"/>
    </row>
    <row r="78" ht="15.0" customHeight="1">
      <c r="B78" s="17">
        <v>45745.0</v>
      </c>
      <c r="C78" s="21">
        <v>45747.0</v>
      </c>
      <c r="D78" s="19" t="s">
        <v>28</v>
      </c>
      <c r="E78" s="19" t="s">
        <v>123</v>
      </c>
      <c r="F78" s="19" t="s">
        <v>445</v>
      </c>
      <c r="G78" s="19">
        <v>2019.8</v>
      </c>
      <c r="H78" s="19">
        <v>2039.1</v>
      </c>
      <c r="I78" s="19">
        <f t="shared" si="1"/>
        <v>19.3</v>
      </c>
      <c r="J78" s="19"/>
      <c r="K78" s="19"/>
    </row>
    <row r="79" ht="15.0" customHeight="1">
      <c r="B79" s="17">
        <v>45748.0</v>
      </c>
      <c r="C79" s="21">
        <v>45751.0</v>
      </c>
      <c r="D79" s="19" t="s">
        <v>456</v>
      </c>
      <c r="E79" s="19" t="s">
        <v>457</v>
      </c>
      <c r="F79" s="19" t="s">
        <v>445</v>
      </c>
      <c r="G79" s="19">
        <v>2039.1</v>
      </c>
      <c r="H79" s="19">
        <v>2070.0</v>
      </c>
      <c r="I79" s="19">
        <f t="shared" si="1"/>
        <v>30.9</v>
      </c>
      <c r="J79" s="19">
        <v>200.0</v>
      </c>
      <c r="K79" s="19"/>
    </row>
    <row r="80" ht="15.0" customHeight="1">
      <c r="B80" s="17">
        <v>45755.0</v>
      </c>
      <c r="C80" s="21">
        <v>45771.0</v>
      </c>
      <c r="D80" s="19" t="s">
        <v>443</v>
      </c>
      <c r="E80" s="19"/>
      <c r="F80" s="19" t="s">
        <v>445</v>
      </c>
      <c r="G80" s="19">
        <v>2071.5</v>
      </c>
      <c r="H80" s="19">
        <v>2194.8</v>
      </c>
      <c r="I80" s="19">
        <f t="shared" si="1"/>
        <v>123.3</v>
      </c>
      <c r="J80" s="19">
        <v>1665.0</v>
      </c>
      <c r="K80" s="19"/>
    </row>
    <row r="81" ht="15.0" customHeight="1">
      <c r="B81" s="17">
        <v>45775.0</v>
      </c>
      <c r="C81" s="21">
        <v>45777.0</v>
      </c>
      <c r="D81" s="19" t="s">
        <v>458</v>
      </c>
      <c r="E81" s="19" t="s">
        <v>459</v>
      </c>
      <c r="F81" s="19" t="s">
        <v>445</v>
      </c>
      <c r="G81" s="19">
        <v>2195.6</v>
      </c>
      <c r="H81" s="19">
        <v>2232.0</v>
      </c>
      <c r="I81" s="19">
        <f t="shared" si="1"/>
        <v>36.4</v>
      </c>
      <c r="J81" s="19">
        <v>481.0</v>
      </c>
      <c r="K81" s="19"/>
    </row>
    <row r="82" ht="15.0" customHeight="1">
      <c r="B82" s="17">
        <v>45778.0</v>
      </c>
      <c r="C82" s="21">
        <v>45808.0</v>
      </c>
      <c r="D82" s="19" t="s">
        <v>458</v>
      </c>
      <c r="E82" s="19" t="s">
        <v>459</v>
      </c>
      <c r="F82" s="19" t="s">
        <v>445</v>
      </c>
      <c r="G82" s="19">
        <v>2232.0</v>
      </c>
      <c r="H82" s="19">
        <v>2455.0</v>
      </c>
      <c r="I82" s="19">
        <f t="shared" si="1"/>
        <v>223</v>
      </c>
      <c r="J82" s="19">
        <v>3401.0</v>
      </c>
      <c r="K82" s="19"/>
    </row>
    <row r="83" ht="15.0" customHeight="1">
      <c r="B83" s="17">
        <v>45810.0</v>
      </c>
      <c r="C83" s="21">
        <v>45814.0</v>
      </c>
      <c r="D83" s="19" t="s">
        <v>458</v>
      </c>
      <c r="E83" s="19" t="s">
        <v>459</v>
      </c>
      <c r="F83" s="19" t="s">
        <v>445</v>
      </c>
      <c r="G83" s="19">
        <v>2455.0</v>
      </c>
      <c r="H83" s="19">
        <v>2508.0</v>
      </c>
      <c r="I83" s="19">
        <f t="shared" si="1"/>
        <v>53</v>
      </c>
      <c r="J83" s="19">
        <v>651.0</v>
      </c>
      <c r="K83" s="19"/>
    </row>
    <row r="84" ht="15.0" customHeight="1">
      <c r="B84" s="17">
        <v>45816.0</v>
      </c>
      <c r="C84" s="21">
        <v>45818.0</v>
      </c>
      <c r="D84" s="19"/>
      <c r="E84" s="19" t="s">
        <v>460</v>
      </c>
      <c r="F84" s="19" t="s">
        <v>445</v>
      </c>
      <c r="G84" s="19">
        <v>2508.0</v>
      </c>
      <c r="H84" s="19">
        <v>2519.7</v>
      </c>
      <c r="I84" s="19">
        <f t="shared" si="1"/>
        <v>11.7</v>
      </c>
      <c r="J84" s="19"/>
      <c r="K84" s="19"/>
    </row>
    <row r="85" ht="15.0" customHeight="1">
      <c r="B85" s="17">
        <v>45818.0</v>
      </c>
      <c r="C85" s="21">
        <v>45820.0</v>
      </c>
      <c r="D85" s="19" t="s">
        <v>134</v>
      </c>
      <c r="E85" s="19" t="s">
        <v>461</v>
      </c>
      <c r="F85" s="19" t="s">
        <v>445</v>
      </c>
      <c r="G85" s="19">
        <v>2519.7</v>
      </c>
      <c r="H85" s="19">
        <v>2536.7</v>
      </c>
      <c r="I85" s="19">
        <f t="shared" si="1"/>
        <v>17</v>
      </c>
      <c r="J85" s="19">
        <v>169.0</v>
      </c>
      <c r="K85" s="19"/>
    </row>
    <row r="86" ht="15.0" customHeight="1">
      <c r="B86" s="17">
        <v>45820.0</v>
      </c>
      <c r="C86" s="21">
        <v>45838.0</v>
      </c>
      <c r="D86" s="19" t="s">
        <v>397</v>
      </c>
      <c r="E86" s="19" t="s">
        <v>305</v>
      </c>
      <c r="F86" s="19" t="s">
        <v>445</v>
      </c>
      <c r="G86" s="19">
        <v>2536.7</v>
      </c>
      <c r="H86" s="19">
        <v>2676.0</v>
      </c>
      <c r="I86" s="19">
        <f t="shared" si="1"/>
        <v>139.3</v>
      </c>
      <c r="J86" s="19">
        <v>2098.0</v>
      </c>
      <c r="K86" s="19"/>
    </row>
    <row r="87" ht="15.0" customHeight="1">
      <c r="B87" s="17">
        <v>45839.0</v>
      </c>
      <c r="C87" s="21">
        <v>45852.0</v>
      </c>
      <c r="D87" s="19" t="s">
        <v>397</v>
      </c>
      <c r="E87" s="19" t="s">
        <v>305</v>
      </c>
      <c r="F87" s="19" t="s">
        <v>445</v>
      </c>
      <c r="G87" s="19">
        <v>2686.0</v>
      </c>
      <c r="H87" s="19">
        <v>2763.8</v>
      </c>
      <c r="I87" s="19">
        <f t="shared" si="1"/>
        <v>77.8</v>
      </c>
      <c r="J87" s="19">
        <v>1367.0</v>
      </c>
      <c r="K87" s="19"/>
    </row>
    <row r="88" ht="15.0" customHeight="1">
      <c r="B88" s="17">
        <v>45854.0</v>
      </c>
      <c r="C88" s="21">
        <v>45862.0</v>
      </c>
      <c r="D88" s="19" t="s">
        <v>187</v>
      </c>
      <c r="E88" s="19" t="s">
        <v>90</v>
      </c>
      <c r="F88" s="19" t="s">
        <v>445</v>
      </c>
      <c r="G88" s="19">
        <v>2764.7</v>
      </c>
      <c r="H88" s="19">
        <v>2844.6</v>
      </c>
      <c r="I88" s="19">
        <f t="shared" si="1"/>
        <v>79.9</v>
      </c>
      <c r="J88" s="19">
        <v>981.0</v>
      </c>
      <c r="K88" s="19"/>
    </row>
    <row r="89" ht="15.0" customHeight="1">
      <c r="B89" s="17">
        <v>45868.0</v>
      </c>
      <c r="C89" s="21">
        <v>45868.0</v>
      </c>
      <c r="D89" s="19" t="s">
        <v>58</v>
      </c>
      <c r="E89" s="19" t="s">
        <v>462</v>
      </c>
      <c r="F89" s="19" t="s">
        <v>445</v>
      </c>
      <c r="G89" s="19">
        <v>2845.1</v>
      </c>
      <c r="H89" s="19">
        <v>2851.4</v>
      </c>
      <c r="I89" s="19">
        <f t="shared" si="1"/>
        <v>6.3</v>
      </c>
      <c r="J89" s="19"/>
      <c r="K89" s="19"/>
    </row>
    <row r="90" ht="15.0" customHeight="1">
      <c r="B90" s="17">
        <v>45869.0</v>
      </c>
      <c r="C90" s="21">
        <v>45869.0</v>
      </c>
      <c r="D90" s="19" t="s">
        <v>463</v>
      </c>
      <c r="E90" s="19"/>
      <c r="F90" s="19" t="s">
        <v>445</v>
      </c>
      <c r="G90" s="19">
        <v>2851.4</v>
      </c>
      <c r="H90" s="19">
        <v>2855.6</v>
      </c>
      <c r="I90" s="19">
        <f t="shared" si="1"/>
        <v>4.2</v>
      </c>
      <c r="J90" s="19">
        <v>140.0</v>
      </c>
      <c r="K90" s="19" t="s">
        <v>464</v>
      </c>
    </row>
    <row r="91" ht="15.0" customHeight="1">
      <c r="B91" s="17">
        <v>45870.0</v>
      </c>
      <c r="C91" s="21">
        <v>45887.0</v>
      </c>
      <c r="D91" s="19" t="s">
        <v>463</v>
      </c>
      <c r="E91" s="19"/>
      <c r="F91" s="19" t="s">
        <v>465</v>
      </c>
      <c r="G91" s="19">
        <v>2855.6</v>
      </c>
      <c r="H91" s="19">
        <v>2998.2</v>
      </c>
      <c r="I91" s="19">
        <f t="shared" si="1"/>
        <v>142.6</v>
      </c>
      <c r="J91" s="19">
        <v>2269.0</v>
      </c>
      <c r="K91" s="19"/>
    </row>
    <row r="92" ht="15.0" customHeight="1">
      <c r="B92" s="17">
        <v>45888.0</v>
      </c>
      <c r="C92" s="21">
        <v>45899.0</v>
      </c>
      <c r="D92" s="19" t="s">
        <v>138</v>
      </c>
      <c r="E92" s="19" t="s">
        <v>466</v>
      </c>
      <c r="F92" s="19" t="s">
        <v>445</v>
      </c>
      <c r="G92" s="19">
        <v>2998.2</v>
      </c>
      <c r="H92" s="19">
        <v>3111.0</v>
      </c>
      <c r="I92" s="19">
        <f t="shared" si="1"/>
        <v>112.8</v>
      </c>
      <c r="J92" s="19">
        <v>1489.0</v>
      </c>
      <c r="K92" s="19"/>
    </row>
    <row r="93" ht="15.0" customHeight="1">
      <c r="B93" s="17">
        <v>45901.0</v>
      </c>
      <c r="C93" s="21">
        <v>45912.0</v>
      </c>
      <c r="D93" s="19" t="s">
        <v>138</v>
      </c>
      <c r="E93" s="19" t="s">
        <v>466</v>
      </c>
      <c r="F93" s="19" t="s">
        <v>445</v>
      </c>
      <c r="G93" s="19">
        <v>3111.0</v>
      </c>
      <c r="H93" s="19">
        <v>3214.0</v>
      </c>
      <c r="I93" s="19">
        <f t="shared" si="1"/>
        <v>103</v>
      </c>
      <c r="J93" s="19"/>
      <c r="K93" s="19"/>
    </row>
    <row r="94" ht="15.0" customHeight="1">
      <c r="B94" s="17">
        <v>45916.0</v>
      </c>
      <c r="C94" s="21">
        <v>45930.0</v>
      </c>
      <c r="D94" s="19" t="s">
        <v>362</v>
      </c>
      <c r="E94" s="19" t="s">
        <v>467</v>
      </c>
      <c r="F94" s="19" t="s">
        <v>445</v>
      </c>
      <c r="G94" s="19">
        <v>3214.7</v>
      </c>
      <c r="H94" s="19">
        <v>3327.0</v>
      </c>
      <c r="I94" s="19">
        <f t="shared" si="1"/>
        <v>112.3</v>
      </c>
      <c r="J94" s="19"/>
      <c r="K94" s="19"/>
    </row>
    <row r="95" ht="15.0" customHeight="1">
      <c r="B95" s="121">
        <v>45931.0</v>
      </c>
      <c r="C95" s="122">
        <v>45961.0</v>
      </c>
      <c r="D95" s="123" t="s">
        <v>28</v>
      </c>
      <c r="E95" s="123" t="s">
        <v>467</v>
      </c>
      <c r="F95" s="123" t="s">
        <v>445</v>
      </c>
      <c r="G95" s="123">
        <v>3327.0</v>
      </c>
      <c r="H95" s="123">
        <v>3581.0</v>
      </c>
      <c r="I95" s="19">
        <f t="shared" si="1"/>
        <v>254</v>
      </c>
      <c r="J95" s="29">
        <v>3067.0</v>
      </c>
      <c r="K95" s="19"/>
    </row>
    <row r="96" ht="15.0" customHeight="1">
      <c r="B96" s="30">
        <v>45965.0</v>
      </c>
      <c r="C96" s="31">
        <v>45967.0</v>
      </c>
      <c r="D96" s="29" t="s">
        <v>362</v>
      </c>
      <c r="E96" s="29" t="s">
        <v>467</v>
      </c>
      <c r="F96" s="29" t="s">
        <v>445</v>
      </c>
      <c r="G96" s="29">
        <v>3581.0</v>
      </c>
      <c r="H96" s="29">
        <v>3607.4</v>
      </c>
      <c r="I96" s="19">
        <f t="shared" si="1"/>
        <v>26.4</v>
      </c>
      <c r="J96" s="29">
        <v>269.0</v>
      </c>
      <c r="K96" s="19"/>
    </row>
    <row r="97" ht="15.0" customHeight="1">
      <c r="B97" s="30">
        <v>45968.0</v>
      </c>
      <c r="C97" s="31">
        <v>45990.0</v>
      </c>
      <c r="D97" s="29" t="s">
        <v>468</v>
      </c>
      <c r="E97" s="29" t="s">
        <v>133</v>
      </c>
      <c r="F97" s="29" t="s">
        <v>445</v>
      </c>
      <c r="G97" s="29">
        <v>3607.9</v>
      </c>
      <c r="H97" s="29">
        <v>3786.4</v>
      </c>
      <c r="I97" s="19">
        <f t="shared" si="1"/>
        <v>178.5</v>
      </c>
      <c r="J97" s="29">
        <v>2003.0</v>
      </c>
      <c r="K97" s="19"/>
    </row>
    <row r="98" ht="15.0" customHeight="1">
      <c r="B98" s="30">
        <v>45992.0</v>
      </c>
      <c r="C98" s="31">
        <v>45993.0</v>
      </c>
      <c r="D98" s="29" t="s">
        <v>468</v>
      </c>
      <c r="E98" s="29" t="s">
        <v>133</v>
      </c>
      <c r="F98" s="29" t="s">
        <v>445</v>
      </c>
      <c r="G98" s="29">
        <v>3786.4</v>
      </c>
      <c r="H98" s="29">
        <v>3808.6</v>
      </c>
      <c r="I98" s="19">
        <f t="shared" si="1"/>
        <v>22.2</v>
      </c>
      <c r="J98" s="29">
        <v>434.0</v>
      </c>
      <c r="K98" s="19"/>
    </row>
    <row r="99" ht="15.0" customHeight="1">
      <c r="B99" s="30">
        <v>45999.0</v>
      </c>
      <c r="C99" s="31">
        <v>46022.0</v>
      </c>
      <c r="D99" s="29" t="s">
        <v>362</v>
      </c>
      <c r="E99" s="29" t="s">
        <v>469</v>
      </c>
      <c r="F99" s="29" t="s">
        <v>445</v>
      </c>
      <c r="G99" s="29">
        <v>3812.0</v>
      </c>
      <c r="H99" s="29">
        <v>3957.0</v>
      </c>
      <c r="I99" s="19">
        <f t="shared" si="1"/>
        <v>145</v>
      </c>
      <c r="J99" s="29">
        <v>1762.0</v>
      </c>
      <c r="K99" s="19"/>
    </row>
    <row r="100" ht="15.0" customHeight="1">
      <c r="B100" s="17"/>
      <c r="C100" s="21"/>
      <c r="D100" s="19"/>
      <c r="E100" s="19"/>
      <c r="F100" s="19"/>
      <c r="G100" s="19"/>
      <c r="H100" s="19"/>
      <c r="I100" s="19">
        <f t="shared" si="1"/>
        <v>0</v>
      </c>
      <c r="J100" s="19"/>
      <c r="K100" s="19"/>
    </row>
    <row r="101" ht="15.0" customHeight="1">
      <c r="B101" s="17"/>
      <c r="C101" s="21"/>
      <c r="D101" s="19"/>
      <c r="E101" s="19"/>
      <c r="F101" s="19"/>
      <c r="G101" s="19"/>
      <c r="H101" s="19"/>
      <c r="I101" s="19">
        <f t="shared" si="1"/>
        <v>0</v>
      </c>
      <c r="J101" s="19"/>
      <c r="K101" s="19"/>
    </row>
    <row r="102" ht="15.0" customHeight="1">
      <c r="B102" s="17"/>
      <c r="C102" s="21"/>
      <c r="D102" s="19"/>
      <c r="E102" s="19"/>
      <c r="F102" s="19"/>
      <c r="G102" s="19"/>
      <c r="H102" s="19"/>
      <c r="I102" s="19">
        <f t="shared" si="1"/>
        <v>0</v>
      </c>
      <c r="J102" s="19"/>
      <c r="K102" s="19"/>
    </row>
    <row r="103" ht="15.0" customHeight="1">
      <c r="B103" s="17"/>
      <c r="C103" s="21"/>
      <c r="D103" s="19"/>
      <c r="E103" s="19"/>
      <c r="F103" s="19"/>
      <c r="G103" s="19"/>
      <c r="H103" s="19"/>
      <c r="I103" s="19">
        <f t="shared" si="1"/>
        <v>0</v>
      </c>
      <c r="J103" s="19"/>
      <c r="K103" s="19"/>
    </row>
    <row r="104" ht="15.0" customHeight="1">
      <c r="B104" s="17"/>
      <c r="C104" s="21"/>
      <c r="D104" s="19"/>
      <c r="E104" s="19"/>
      <c r="F104" s="19"/>
      <c r="G104" s="19"/>
      <c r="H104" s="19"/>
      <c r="I104" s="19">
        <f t="shared" si="1"/>
        <v>0</v>
      </c>
      <c r="J104" s="19"/>
      <c r="K104" s="19"/>
    </row>
    <row r="105" ht="15.0" customHeight="1">
      <c r="B105" s="17"/>
      <c r="C105" s="21"/>
      <c r="D105" s="19"/>
      <c r="E105" s="19"/>
      <c r="F105" s="19"/>
      <c r="G105" s="19"/>
      <c r="H105" s="19"/>
      <c r="I105" s="19">
        <f t="shared" si="1"/>
        <v>0</v>
      </c>
      <c r="J105" s="19"/>
      <c r="K105" s="19"/>
    </row>
    <row r="106" ht="15.0" customHeight="1">
      <c r="B106" s="17"/>
      <c r="C106" s="21"/>
      <c r="D106" s="19"/>
      <c r="E106" s="19"/>
      <c r="F106" s="19"/>
      <c r="G106" s="19"/>
      <c r="H106" s="19"/>
      <c r="I106" s="19">
        <f t="shared" si="1"/>
        <v>0</v>
      </c>
      <c r="J106" s="19"/>
      <c r="K106" s="19"/>
    </row>
    <row r="107" ht="15.0" customHeight="1">
      <c r="B107" s="17"/>
      <c r="C107" s="21"/>
      <c r="D107" s="19"/>
      <c r="E107" s="19"/>
      <c r="F107" s="19"/>
      <c r="G107" s="19"/>
      <c r="H107" s="19"/>
      <c r="I107" s="19">
        <f t="shared" si="1"/>
        <v>0</v>
      </c>
      <c r="J107" s="19"/>
      <c r="K107" s="19"/>
    </row>
    <row r="108" ht="15.0" customHeight="1">
      <c r="B108" s="17"/>
      <c r="C108" s="21"/>
      <c r="D108" s="19"/>
      <c r="E108" s="19"/>
      <c r="F108" s="19"/>
      <c r="G108" s="19"/>
      <c r="H108" s="19"/>
      <c r="I108" s="19">
        <f t="shared" si="1"/>
        <v>0</v>
      </c>
      <c r="J108" s="19"/>
      <c r="K108" s="19"/>
    </row>
    <row r="109" ht="15.0" customHeight="1">
      <c r="B109" s="17"/>
      <c r="C109" s="21"/>
      <c r="D109" s="19"/>
      <c r="E109" s="19"/>
      <c r="F109" s="19"/>
      <c r="G109" s="19"/>
      <c r="H109" s="19"/>
      <c r="I109" s="19">
        <f t="shared" si="1"/>
        <v>0</v>
      </c>
      <c r="J109" s="19"/>
      <c r="K109" s="19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autoFilter ref="$A$6:$Z$109"/>
  <mergeCells count="1">
    <mergeCell ref="B2:K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4.14"/>
    <col customWidth="1" min="3" max="4" width="17.29"/>
    <col customWidth="1" min="5" max="5" width="14.86"/>
    <col customWidth="1" min="6" max="6" width="16.0"/>
    <col customWidth="1" min="7" max="7" width="16.57"/>
    <col customWidth="1" min="8" max="8" width="17.43"/>
    <col customWidth="1" min="9" max="9" width="12.86"/>
    <col customWidth="1" min="10" max="10" width="71.57"/>
    <col customWidth="1" min="11" max="11" width="14.43"/>
    <col customWidth="1" hidden="1" min="12" max="12" width="12.29"/>
    <col customWidth="1" min="13" max="13" width="42.43"/>
    <col customWidth="1" min="14" max="14" width="14.71"/>
    <col customWidth="1" min="15" max="15" width="17.71"/>
    <col customWidth="1" min="16" max="26" width="8.86"/>
  </cols>
  <sheetData>
    <row r="1" ht="14.25" customHeight="1">
      <c r="A1" s="1" t="s">
        <v>221</v>
      </c>
      <c r="B1" s="2"/>
      <c r="I1" s="130"/>
    </row>
    <row r="2" ht="21.0" customHeight="1">
      <c r="B2" s="3" t="s">
        <v>470</v>
      </c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</row>
    <row r="3" ht="21.0" customHeight="1">
      <c r="B3" s="7"/>
      <c r="J3" s="8"/>
      <c r="K3" s="6"/>
      <c r="L3" s="6"/>
      <c r="M3" s="6"/>
      <c r="N3" s="6"/>
      <c r="O3" s="6"/>
      <c r="R3" s="9"/>
      <c r="S3" s="9"/>
      <c r="T3" s="9"/>
      <c r="U3" s="9"/>
      <c r="V3" s="9"/>
    </row>
    <row r="4" ht="15.0" customHeight="1">
      <c r="B4" s="7"/>
      <c r="J4" s="8"/>
      <c r="K4" s="6"/>
      <c r="L4" s="6"/>
      <c r="M4" s="6"/>
      <c r="N4" s="6"/>
      <c r="O4" s="6"/>
      <c r="R4" s="9"/>
      <c r="S4" s="9"/>
      <c r="T4" s="9"/>
      <c r="U4" s="9"/>
      <c r="V4" s="9"/>
    </row>
    <row r="5" ht="15.0" customHeight="1">
      <c r="B5" s="10"/>
      <c r="C5" s="11"/>
      <c r="D5" s="11"/>
      <c r="E5" s="11"/>
      <c r="F5" s="11"/>
      <c r="G5" s="11"/>
      <c r="H5" s="11"/>
      <c r="I5" s="11"/>
      <c r="J5" s="12"/>
      <c r="K5" s="6"/>
      <c r="L5" s="6"/>
      <c r="M5" s="6"/>
      <c r="N5" s="6"/>
      <c r="O5" s="6"/>
      <c r="S5" s="9"/>
      <c r="T5" s="9"/>
      <c r="U5" s="9"/>
      <c r="V5" s="9"/>
    </row>
    <row r="6" ht="14.25" customHeight="1">
      <c r="A6" s="131" t="s">
        <v>471</v>
      </c>
      <c r="B6" s="13" t="s">
        <v>472</v>
      </c>
      <c r="C6" s="15" t="s">
        <v>473</v>
      </c>
      <c r="D6" s="15" t="s">
        <v>3</v>
      </c>
      <c r="E6" s="15" t="s">
        <v>5</v>
      </c>
      <c r="F6" s="15" t="s">
        <v>270</v>
      </c>
      <c r="G6" s="15" t="s">
        <v>271</v>
      </c>
      <c r="H6" s="15" t="s">
        <v>272</v>
      </c>
      <c r="I6" s="15" t="s">
        <v>474</v>
      </c>
      <c r="J6" s="15" t="s">
        <v>10</v>
      </c>
      <c r="K6" s="132"/>
      <c r="M6" s="16"/>
      <c r="N6" s="9"/>
      <c r="O6" s="9"/>
      <c r="P6" s="9"/>
    </row>
    <row r="7" ht="14.25" customHeight="1">
      <c r="B7" s="17">
        <v>44952.0</v>
      </c>
      <c r="C7" s="133" t="str">
        <f t="shared" ref="C7:C325" si="1">MONTH(B7)&amp; "-" &amp;YEAR(B7)</f>
        <v>1-2023</v>
      </c>
      <c r="D7" s="18" t="s">
        <v>475</v>
      </c>
      <c r="E7" s="19" t="s">
        <v>476</v>
      </c>
      <c r="F7" s="19">
        <v>996827.7</v>
      </c>
      <c r="G7" s="19">
        <v>996917.9</v>
      </c>
      <c r="H7" s="19">
        <f t="shared" ref="H7:H502" si="2">G7-F7</f>
        <v>90.2</v>
      </c>
      <c r="I7" s="134" t="s">
        <v>477</v>
      </c>
      <c r="J7" s="19" t="s">
        <v>478</v>
      </c>
      <c r="M7" s="16"/>
      <c r="N7" s="9"/>
      <c r="O7" s="9"/>
      <c r="P7" s="9"/>
    </row>
    <row r="8" ht="14.25" customHeight="1">
      <c r="B8" s="17">
        <v>44952.0</v>
      </c>
      <c r="C8" s="133" t="str">
        <f t="shared" si="1"/>
        <v>1-2023</v>
      </c>
      <c r="D8" s="18" t="s">
        <v>479</v>
      </c>
      <c r="E8" s="19" t="s">
        <v>476</v>
      </c>
      <c r="F8" s="19">
        <v>996917.9</v>
      </c>
      <c r="G8" s="19">
        <v>996970.2</v>
      </c>
      <c r="H8" s="19">
        <f t="shared" si="2"/>
        <v>52.3</v>
      </c>
      <c r="I8" s="134" t="s">
        <v>480</v>
      </c>
      <c r="J8" s="19" t="s">
        <v>481</v>
      </c>
      <c r="M8" s="16"/>
      <c r="N8" s="9"/>
      <c r="O8" s="9"/>
      <c r="P8" s="9"/>
    </row>
    <row r="9" ht="14.25" customHeight="1">
      <c r="B9" s="17">
        <v>44953.0</v>
      </c>
      <c r="C9" s="133" t="str">
        <f t="shared" si="1"/>
        <v>1-2023</v>
      </c>
      <c r="D9" s="18" t="s">
        <v>482</v>
      </c>
      <c r="E9" s="19" t="s">
        <v>476</v>
      </c>
      <c r="F9" s="19">
        <v>996970.2</v>
      </c>
      <c r="G9" s="19">
        <v>997058.9</v>
      </c>
      <c r="H9" s="19">
        <f t="shared" si="2"/>
        <v>88.7</v>
      </c>
      <c r="I9" s="134"/>
      <c r="J9" s="19" t="s">
        <v>483</v>
      </c>
      <c r="M9" s="16"/>
      <c r="N9" s="9"/>
      <c r="O9" s="9"/>
      <c r="P9" s="9"/>
    </row>
    <row r="10" ht="14.25" customHeight="1">
      <c r="B10" s="17">
        <v>44954.0</v>
      </c>
      <c r="C10" s="133" t="str">
        <f t="shared" si="1"/>
        <v>1-2023</v>
      </c>
      <c r="D10" s="18" t="s">
        <v>11</v>
      </c>
      <c r="E10" s="19" t="s">
        <v>484</v>
      </c>
      <c r="F10" s="19">
        <v>997058.9</v>
      </c>
      <c r="G10" s="19">
        <v>997150.5</v>
      </c>
      <c r="H10" s="19">
        <f t="shared" si="2"/>
        <v>91.6</v>
      </c>
      <c r="I10" s="134"/>
      <c r="J10" s="19" t="s">
        <v>485</v>
      </c>
      <c r="M10" s="16"/>
      <c r="N10" s="9"/>
      <c r="O10" s="9"/>
      <c r="P10" s="9"/>
    </row>
    <row r="11" ht="14.25" customHeight="1">
      <c r="B11" s="17">
        <v>44954.0</v>
      </c>
      <c r="C11" s="133" t="str">
        <f t="shared" si="1"/>
        <v>1-2023</v>
      </c>
      <c r="D11" s="18" t="s">
        <v>479</v>
      </c>
      <c r="E11" s="19" t="s">
        <v>484</v>
      </c>
      <c r="F11" s="19">
        <v>997150.5</v>
      </c>
      <c r="G11" s="19">
        <v>997180.5</v>
      </c>
      <c r="H11" s="19">
        <f t="shared" si="2"/>
        <v>30</v>
      </c>
      <c r="I11" s="134"/>
      <c r="J11" s="19" t="s">
        <v>486</v>
      </c>
      <c r="M11" s="16"/>
      <c r="N11" s="9"/>
      <c r="O11" s="9"/>
      <c r="P11" s="9"/>
    </row>
    <row r="12" ht="14.25" customHeight="1">
      <c r="B12" s="17">
        <v>44957.0</v>
      </c>
      <c r="C12" s="133" t="str">
        <f t="shared" si="1"/>
        <v>1-2023</v>
      </c>
      <c r="D12" s="18" t="s">
        <v>487</v>
      </c>
      <c r="E12" s="19" t="s">
        <v>484</v>
      </c>
      <c r="F12" s="19">
        <v>997180.5</v>
      </c>
      <c r="G12" s="19">
        <v>997348.1</v>
      </c>
      <c r="H12" s="19">
        <f t="shared" si="2"/>
        <v>167.6</v>
      </c>
      <c r="I12" s="134"/>
      <c r="J12" s="19" t="s">
        <v>488</v>
      </c>
      <c r="M12" s="16"/>
      <c r="N12" s="9"/>
      <c r="O12" s="9"/>
      <c r="P12" s="9"/>
    </row>
    <row r="13" ht="14.25" customHeight="1">
      <c r="B13" s="17">
        <v>44928.0</v>
      </c>
      <c r="C13" s="133" t="str">
        <f t="shared" si="1"/>
        <v>1-2023</v>
      </c>
      <c r="D13" s="18" t="s">
        <v>479</v>
      </c>
      <c r="E13" s="19" t="s">
        <v>476</v>
      </c>
      <c r="F13" s="19">
        <v>997148.1</v>
      </c>
      <c r="G13" s="19">
        <v>997534.2</v>
      </c>
      <c r="H13" s="19">
        <f t="shared" si="2"/>
        <v>386.1</v>
      </c>
      <c r="I13" s="134"/>
      <c r="J13" s="19" t="s">
        <v>489</v>
      </c>
      <c r="M13" s="16"/>
      <c r="N13" s="9"/>
      <c r="O13" s="9"/>
      <c r="P13" s="9"/>
    </row>
    <row r="14" ht="14.25" customHeight="1">
      <c r="B14" s="17">
        <v>44930.0</v>
      </c>
      <c r="C14" s="133" t="str">
        <f t="shared" si="1"/>
        <v>1-2023</v>
      </c>
      <c r="D14" s="18" t="s">
        <v>490</v>
      </c>
      <c r="E14" s="19" t="s">
        <v>484</v>
      </c>
      <c r="F14" s="19">
        <v>997534.2</v>
      </c>
      <c r="G14" s="19">
        <v>997655.5</v>
      </c>
      <c r="H14" s="19">
        <f t="shared" si="2"/>
        <v>121.3</v>
      </c>
      <c r="I14" s="134"/>
      <c r="J14" s="19" t="s">
        <v>491</v>
      </c>
      <c r="M14" s="16"/>
      <c r="N14" s="9"/>
      <c r="O14" s="9"/>
      <c r="P14" s="9"/>
    </row>
    <row r="15" ht="14.25" customHeight="1">
      <c r="B15" s="17">
        <v>44963.0</v>
      </c>
      <c r="C15" s="133" t="str">
        <f t="shared" si="1"/>
        <v>2-2023</v>
      </c>
      <c r="D15" s="18" t="s">
        <v>326</v>
      </c>
      <c r="E15" s="19" t="s">
        <v>484</v>
      </c>
      <c r="F15" s="19">
        <v>997655.5</v>
      </c>
      <c r="G15" s="19">
        <v>997810.9</v>
      </c>
      <c r="H15" s="19">
        <f t="shared" si="2"/>
        <v>155.4</v>
      </c>
      <c r="I15" s="134" t="s">
        <v>492</v>
      </c>
      <c r="J15" s="19" t="s">
        <v>493</v>
      </c>
      <c r="N15" s="9"/>
      <c r="O15" s="9"/>
      <c r="P15" s="9"/>
    </row>
    <row r="16" ht="14.25" customHeight="1">
      <c r="B16" s="17">
        <v>44964.0</v>
      </c>
      <c r="C16" s="133" t="str">
        <f t="shared" si="1"/>
        <v>2-2023</v>
      </c>
      <c r="D16" s="18" t="s">
        <v>494</v>
      </c>
      <c r="E16" s="19" t="s">
        <v>484</v>
      </c>
      <c r="F16" s="19">
        <v>997810.9</v>
      </c>
      <c r="G16" s="19">
        <v>997889.2</v>
      </c>
      <c r="H16" s="19">
        <f t="shared" si="2"/>
        <v>78.3</v>
      </c>
      <c r="I16" s="134"/>
      <c r="J16" s="19" t="s">
        <v>495</v>
      </c>
    </row>
    <row r="17" ht="14.25" customHeight="1">
      <c r="B17" s="17">
        <v>44964.0</v>
      </c>
      <c r="C17" s="133" t="str">
        <f t="shared" si="1"/>
        <v>2-2023</v>
      </c>
      <c r="D17" s="18" t="s">
        <v>479</v>
      </c>
      <c r="E17" s="19" t="s">
        <v>484</v>
      </c>
      <c r="F17" s="19">
        <v>997889.2</v>
      </c>
      <c r="G17" s="19">
        <v>998016.0</v>
      </c>
      <c r="H17" s="19">
        <f t="shared" si="2"/>
        <v>126.8</v>
      </c>
      <c r="I17" s="134"/>
      <c r="J17" s="19" t="s">
        <v>496</v>
      </c>
    </row>
    <row r="18" ht="14.25" customHeight="1">
      <c r="B18" s="17">
        <v>44965.0</v>
      </c>
      <c r="C18" s="133" t="str">
        <f t="shared" si="1"/>
        <v>2-2023</v>
      </c>
      <c r="D18" s="18" t="s">
        <v>479</v>
      </c>
      <c r="E18" s="19" t="s">
        <v>484</v>
      </c>
      <c r="F18" s="19">
        <v>998016.1</v>
      </c>
      <c r="G18" s="19">
        <v>998132.9</v>
      </c>
      <c r="H18" s="19">
        <f t="shared" si="2"/>
        <v>116.8</v>
      </c>
      <c r="I18" s="134"/>
      <c r="J18" s="19" t="s">
        <v>497</v>
      </c>
    </row>
    <row r="19" ht="14.25" customHeight="1">
      <c r="B19" s="17">
        <v>44966.0</v>
      </c>
      <c r="C19" s="133" t="str">
        <f t="shared" si="1"/>
        <v>2-2023</v>
      </c>
      <c r="D19" s="18" t="s">
        <v>326</v>
      </c>
      <c r="E19" s="19" t="s">
        <v>484</v>
      </c>
      <c r="F19" s="19">
        <v>998132.9</v>
      </c>
      <c r="G19" s="19">
        <v>998271.9</v>
      </c>
      <c r="H19" s="19">
        <f t="shared" si="2"/>
        <v>139</v>
      </c>
      <c r="I19" s="134"/>
      <c r="J19" s="19" t="s">
        <v>493</v>
      </c>
    </row>
    <row r="20" ht="14.25" customHeight="1">
      <c r="B20" s="17">
        <v>44967.0</v>
      </c>
      <c r="C20" s="133" t="str">
        <f t="shared" si="1"/>
        <v>2-2023</v>
      </c>
      <c r="D20" s="18" t="s">
        <v>479</v>
      </c>
      <c r="E20" s="19" t="s">
        <v>484</v>
      </c>
      <c r="F20" s="19">
        <v>998271.9</v>
      </c>
      <c r="G20" s="19"/>
      <c r="H20" s="19">
        <f t="shared" si="2"/>
        <v>-998271.9</v>
      </c>
      <c r="I20" s="134"/>
      <c r="J20" s="19" t="s">
        <v>498</v>
      </c>
    </row>
    <row r="21" ht="14.25" customHeight="1">
      <c r="B21" s="17">
        <v>44967.0</v>
      </c>
      <c r="C21" s="133" t="str">
        <f t="shared" si="1"/>
        <v>2-2023</v>
      </c>
      <c r="D21" s="18" t="s">
        <v>479</v>
      </c>
      <c r="E21" s="19" t="s">
        <v>484</v>
      </c>
      <c r="F21" s="19"/>
      <c r="G21" s="19">
        <v>998431.9</v>
      </c>
      <c r="H21" s="19">
        <f t="shared" si="2"/>
        <v>998431.9</v>
      </c>
      <c r="I21" s="134"/>
      <c r="J21" s="19" t="s">
        <v>499</v>
      </c>
    </row>
    <row r="22" ht="14.25" customHeight="1">
      <c r="B22" s="17">
        <v>44971.0</v>
      </c>
      <c r="C22" s="133" t="str">
        <f t="shared" si="1"/>
        <v>2-2023</v>
      </c>
      <c r="D22" s="18" t="s">
        <v>500</v>
      </c>
      <c r="E22" s="19" t="s">
        <v>476</v>
      </c>
      <c r="F22" s="19">
        <v>998431.9</v>
      </c>
      <c r="G22" s="19">
        <v>998550.2</v>
      </c>
      <c r="H22" s="19">
        <f t="shared" si="2"/>
        <v>118.3</v>
      </c>
      <c r="I22" s="134"/>
      <c r="J22" s="19" t="s">
        <v>501</v>
      </c>
    </row>
    <row r="23" ht="14.25" customHeight="1">
      <c r="B23" s="17">
        <v>44972.0</v>
      </c>
      <c r="C23" s="133" t="str">
        <f t="shared" si="1"/>
        <v>2-2023</v>
      </c>
      <c r="D23" s="18" t="s">
        <v>479</v>
      </c>
      <c r="E23" s="19" t="s">
        <v>476</v>
      </c>
      <c r="F23" s="19">
        <v>998550.2</v>
      </c>
      <c r="G23" s="19">
        <v>998735.4</v>
      </c>
      <c r="H23" s="19">
        <f t="shared" si="2"/>
        <v>185.2</v>
      </c>
      <c r="I23" s="134"/>
      <c r="J23" s="19" t="s">
        <v>502</v>
      </c>
    </row>
    <row r="24" ht="14.25" customHeight="1">
      <c r="B24" s="17">
        <v>44973.0</v>
      </c>
      <c r="C24" s="133" t="str">
        <f t="shared" si="1"/>
        <v>2-2023</v>
      </c>
      <c r="D24" s="18" t="s">
        <v>326</v>
      </c>
      <c r="E24" s="19" t="s">
        <v>484</v>
      </c>
      <c r="F24" s="19">
        <v>998735.4</v>
      </c>
      <c r="G24" s="19">
        <v>998889.3</v>
      </c>
      <c r="H24" s="19">
        <f t="shared" si="2"/>
        <v>153.9</v>
      </c>
      <c r="I24" s="134"/>
      <c r="J24" s="19" t="s">
        <v>503</v>
      </c>
    </row>
    <row r="25" ht="14.25" customHeight="1">
      <c r="B25" s="17">
        <v>44975.0</v>
      </c>
      <c r="C25" s="133" t="str">
        <f t="shared" si="1"/>
        <v>2-2023</v>
      </c>
      <c r="D25" s="18" t="s">
        <v>504</v>
      </c>
      <c r="E25" s="19" t="s">
        <v>484</v>
      </c>
      <c r="F25" s="19">
        <v>998889.3</v>
      </c>
      <c r="G25" s="19">
        <v>999015.4</v>
      </c>
      <c r="H25" s="19">
        <f t="shared" si="2"/>
        <v>126.1</v>
      </c>
      <c r="I25" s="134"/>
      <c r="J25" s="19" t="s">
        <v>505</v>
      </c>
    </row>
    <row r="26" ht="14.25" customHeight="1">
      <c r="B26" s="17">
        <v>44975.0</v>
      </c>
      <c r="C26" s="133" t="str">
        <f t="shared" si="1"/>
        <v>2-2023</v>
      </c>
      <c r="D26" s="18" t="s">
        <v>506</v>
      </c>
      <c r="E26" s="19" t="s">
        <v>476</v>
      </c>
      <c r="F26" s="19">
        <v>990015.4</v>
      </c>
      <c r="G26" s="19">
        <v>999070.4</v>
      </c>
      <c r="H26" s="19">
        <f t="shared" si="2"/>
        <v>9055</v>
      </c>
      <c r="I26" s="134"/>
      <c r="J26" s="19" t="s">
        <v>507</v>
      </c>
    </row>
    <row r="27" ht="14.25" customHeight="1">
      <c r="B27" s="17">
        <v>44975.0</v>
      </c>
      <c r="C27" s="133" t="str">
        <f t="shared" si="1"/>
        <v>2-2023</v>
      </c>
      <c r="D27" s="18" t="s">
        <v>479</v>
      </c>
      <c r="E27" s="19" t="s">
        <v>484</v>
      </c>
      <c r="F27" s="19">
        <v>999070.4</v>
      </c>
      <c r="G27" s="19">
        <v>999120.4</v>
      </c>
      <c r="H27" s="19">
        <f t="shared" si="2"/>
        <v>50</v>
      </c>
      <c r="I27" s="134"/>
      <c r="J27" s="26" t="s">
        <v>508</v>
      </c>
    </row>
    <row r="28" ht="14.25" customHeight="1">
      <c r="B28" s="17">
        <v>44975.0</v>
      </c>
      <c r="C28" s="133" t="str">
        <f t="shared" si="1"/>
        <v>2-2023</v>
      </c>
      <c r="D28" s="18" t="s">
        <v>504</v>
      </c>
      <c r="E28" s="19" t="s">
        <v>509</v>
      </c>
      <c r="F28" s="19">
        <v>999120.4</v>
      </c>
      <c r="G28" s="19">
        <v>999200.7</v>
      </c>
      <c r="H28" s="19">
        <f t="shared" si="2"/>
        <v>80.3</v>
      </c>
      <c r="I28" s="134"/>
      <c r="J28" s="19" t="s">
        <v>510</v>
      </c>
    </row>
    <row r="29" ht="14.25" customHeight="1">
      <c r="B29" s="17">
        <v>44975.0</v>
      </c>
      <c r="C29" s="133" t="str">
        <f t="shared" si="1"/>
        <v>2-2023</v>
      </c>
      <c r="D29" s="18" t="s">
        <v>511</v>
      </c>
      <c r="E29" s="19" t="s">
        <v>484</v>
      </c>
      <c r="F29" s="19">
        <v>999200.7</v>
      </c>
      <c r="G29" s="19">
        <v>999238.8</v>
      </c>
      <c r="H29" s="19">
        <f t="shared" si="2"/>
        <v>38.1</v>
      </c>
      <c r="I29" s="134"/>
      <c r="J29" s="19" t="s">
        <v>512</v>
      </c>
    </row>
    <row r="30" ht="14.25" customHeight="1">
      <c r="B30" s="17">
        <v>44977.0</v>
      </c>
      <c r="C30" s="133" t="str">
        <f t="shared" si="1"/>
        <v>2-2023</v>
      </c>
      <c r="D30" s="18" t="s">
        <v>479</v>
      </c>
      <c r="E30" s="19" t="s">
        <v>484</v>
      </c>
      <c r="F30" s="19">
        <v>999238.8</v>
      </c>
      <c r="G30" s="19">
        <v>999395.1</v>
      </c>
      <c r="H30" s="19">
        <f t="shared" si="2"/>
        <v>156.3</v>
      </c>
      <c r="I30" s="134"/>
      <c r="J30" s="19" t="s">
        <v>513</v>
      </c>
    </row>
    <row r="31" ht="14.25" customHeight="1">
      <c r="B31" s="17">
        <v>44979.0</v>
      </c>
      <c r="C31" s="133" t="str">
        <f t="shared" si="1"/>
        <v>2-2023</v>
      </c>
      <c r="D31" s="135" t="s">
        <v>504</v>
      </c>
      <c r="E31" s="19" t="s">
        <v>476</v>
      </c>
      <c r="F31" s="19">
        <v>999395.1</v>
      </c>
      <c r="G31" s="19">
        <v>999463.2</v>
      </c>
      <c r="H31" s="19">
        <f t="shared" si="2"/>
        <v>68.1</v>
      </c>
      <c r="I31" s="134" t="s">
        <v>514</v>
      </c>
      <c r="J31" s="19" t="s">
        <v>515</v>
      </c>
    </row>
    <row r="32" ht="14.25" customHeight="1">
      <c r="B32" s="27">
        <v>44985.0</v>
      </c>
      <c r="C32" s="133" t="str">
        <f t="shared" si="1"/>
        <v>2-2023</v>
      </c>
      <c r="D32" s="136" t="s">
        <v>506</v>
      </c>
      <c r="E32" s="19" t="s">
        <v>484</v>
      </c>
      <c r="F32" s="19">
        <v>999663.2</v>
      </c>
      <c r="G32" s="19">
        <v>999761.3</v>
      </c>
      <c r="H32" s="19">
        <f t="shared" si="2"/>
        <v>98.1</v>
      </c>
      <c r="I32" s="134"/>
      <c r="J32" s="19" t="s">
        <v>516</v>
      </c>
    </row>
    <row r="33" ht="14.25" customHeight="1">
      <c r="B33" s="27">
        <v>44980.0</v>
      </c>
      <c r="C33" s="133" t="str">
        <f t="shared" si="1"/>
        <v>2-2023</v>
      </c>
      <c r="D33" s="137" t="s">
        <v>479</v>
      </c>
      <c r="E33" s="19" t="s">
        <v>484</v>
      </c>
      <c r="F33" s="19">
        <v>999761.3</v>
      </c>
      <c r="G33" s="19">
        <v>999860.4</v>
      </c>
      <c r="H33" s="19">
        <f t="shared" si="2"/>
        <v>99.1</v>
      </c>
      <c r="I33" s="134" t="s">
        <v>517</v>
      </c>
      <c r="J33" s="19" t="s">
        <v>518</v>
      </c>
    </row>
    <row r="34" ht="14.25" customHeight="1">
      <c r="B34" s="27">
        <v>44981.0</v>
      </c>
      <c r="C34" s="133" t="str">
        <f t="shared" si="1"/>
        <v>2-2023</v>
      </c>
      <c r="D34" s="137" t="s">
        <v>479</v>
      </c>
      <c r="E34" s="19" t="s">
        <v>484</v>
      </c>
      <c r="F34" s="19">
        <v>999860.4</v>
      </c>
      <c r="G34" s="19">
        <v>999890.3</v>
      </c>
      <c r="H34" s="19">
        <f t="shared" si="2"/>
        <v>29.9</v>
      </c>
      <c r="I34" s="134"/>
      <c r="J34" s="19" t="s">
        <v>519</v>
      </c>
    </row>
    <row r="35" ht="14.25" customHeight="1">
      <c r="B35" s="27">
        <v>44982.0</v>
      </c>
      <c r="C35" s="133" t="str">
        <f t="shared" si="1"/>
        <v>2-2023</v>
      </c>
      <c r="D35" s="137" t="s">
        <v>479</v>
      </c>
      <c r="E35" s="19" t="s">
        <v>484</v>
      </c>
      <c r="F35" s="19">
        <v>999890.5</v>
      </c>
      <c r="G35" s="19">
        <v>999894.7</v>
      </c>
      <c r="H35" s="19">
        <f t="shared" si="2"/>
        <v>4.2</v>
      </c>
      <c r="I35" s="134"/>
      <c r="J35" s="19" t="s">
        <v>520</v>
      </c>
    </row>
    <row r="36" ht="14.25" customHeight="1">
      <c r="B36" s="27">
        <v>44984.0</v>
      </c>
      <c r="C36" s="133" t="str">
        <f t="shared" si="1"/>
        <v>2-2023</v>
      </c>
      <c r="D36" s="137" t="s">
        <v>479</v>
      </c>
      <c r="E36" s="19" t="s">
        <v>484</v>
      </c>
      <c r="F36" s="19">
        <v>194.7</v>
      </c>
      <c r="G36" s="19">
        <v>195.6</v>
      </c>
      <c r="H36" s="19">
        <f t="shared" si="2"/>
        <v>0.9</v>
      </c>
      <c r="I36" s="134"/>
      <c r="J36" s="19" t="s">
        <v>521</v>
      </c>
    </row>
    <row r="37" ht="14.25" customHeight="1">
      <c r="B37" s="27">
        <v>44984.0</v>
      </c>
      <c r="C37" s="133" t="str">
        <f t="shared" si="1"/>
        <v>2-2023</v>
      </c>
      <c r="D37" s="137" t="s">
        <v>159</v>
      </c>
      <c r="E37" s="19" t="s">
        <v>484</v>
      </c>
      <c r="F37" s="19">
        <v>195.6</v>
      </c>
      <c r="G37" s="19">
        <v>225.1</v>
      </c>
      <c r="H37" s="19">
        <f t="shared" si="2"/>
        <v>29.5</v>
      </c>
      <c r="I37" s="134"/>
      <c r="J37" s="19" t="s">
        <v>522</v>
      </c>
    </row>
    <row r="38" ht="14.25" customHeight="1">
      <c r="B38" s="27">
        <v>44985.0</v>
      </c>
      <c r="C38" s="133" t="str">
        <f t="shared" si="1"/>
        <v>2-2023</v>
      </c>
      <c r="D38" s="137" t="s">
        <v>523</v>
      </c>
      <c r="E38" s="19" t="s">
        <v>484</v>
      </c>
      <c r="F38" s="19">
        <v>225.1</v>
      </c>
      <c r="G38" s="19">
        <v>290.5</v>
      </c>
      <c r="H38" s="19">
        <f t="shared" si="2"/>
        <v>65.4</v>
      </c>
      <c r="I38" s="134"/>
      <c r="J38" s="19" t="s">
        <v>524</v>
      </c>
    </row>
    <row r="39" ht="14.25" customHeight="1">
      <c r="B39" s="27">
        <v>44988.0</v>
      </c>
      <c r="C39" s="133" t="str">
        <f t="shared" si="1"/>
        <v>3-2023</v>
      </c>
      <c r="D39" s="137" t="s">
        <v>525</v>
      </c>
      <c r="E39" s="19" t="s">
        <v>484</v>
      </c>
      <c r="F39" s="19">
        <v>290.5</v>
      </c>
      <c r="G39" s="19">
        <v>390.4</v>
      </c>
      <c r="H39" s="19">
        <f t="shared" si="2"/>
        <v>99.9</v>
      </c>
      <c r="I39" s="134"/>
      <c r="J39" s="26" t="s">
        <v>526</v>
      </c>
    </row>
    <row r="40" ht="14.25" customHeight="1">
      <c r="B40" s="27">
        <v>44988.0</v>
      </c>
      <c r="C40" s="133" t="str">
        <f t="shared" si="1"/>
        <v>3-2023</v>
      </c>
      <c r="D40" s="137" t="s">
        <v>511</v>
      </c>
      <c r="E40" s="19" t="s">
        <v>484</v>
      </c>
      <c r="F40" s="19">
        <v>390.5</v>
      </c>
      <c r="G40" s="19">
        <v>420.1</v>
      </c>
      <c r="H40" s="19">
        <f t="shared" si="2"/>
        <v>29.6</v>
      </c>
      <c r="I40" s="134"/>
      <c r="J40" s="19" t="s">
        <v>527</v>
      </c>
    </row>
    <row r="41" ht="14.25" customHeight="1">
      <c r="B41" s="27">
        <v>44991.0</v>
      </c>
      <c r="C41" s="133" t="str">
        <f t="shared" si="1"/>
        <v>3-2023</v>
      </c>
      <c r="D41" s="137" t="s">
        <v>511</v>
      </c>
      <c r="E41" s="19" t="s">
        <v>484</v>
      </c>
      <c r="F41" s="19">
        <v>420.1</v>
      </c>
      <c r="G41" s="19">
        <v>469.0</v>
      </c>
      <c r="H41" s="19">
        <f t="shared" si="2"/>
        <v>48.9</v>
      </c>
      <c r="I41" s="134" t="s">
        <v>528</v>
      </c>
      <c r="J41" s="19" t="s">
        <v>529</v>
      </c>
    </row>
    <row r="42" ht="14.25" customHeight="1">
      <c r="B42" s="27">
        <v>45053.0</v>
      </c>
      <c r="C42" s="133" t="str">
        <f t="shared" si="1"/>
        <v>5-2023</v>
      </c>
      <c r="D42" s="137" t="s">
        <v>530</v>
      </c>
      <c r="E42" s="19" t="s">
        <v>484</v>
      </c>
      <c r="F42" s="19">
        <v>469.0</v>
      </c>
      <c r="G42" s="19">
        <v>656.2</v>
      </c>
      <c r="H42" s="19">
        <f t="shared" si="2"/>
        <v>187.2</v>
      </c>
      <c r="I42" s="134"/>
      <c r="J42" s="19" t="s">
        <v>531</v>
      </c>
    </row>
    <row r="43" ht="14.25" customHeight="1">
      <c r="B43" s="27">
        <v>44993.0</v>
      </c>
      <c r="C43" s="133" t="str">
        <f t="shared" si="1"/>
        <v>3-2023</v>
      </c>
      <c r="D43" s="137" t="s">
        <v>504</v>
      </c>
      <c r="E43" s="19" t="s">
        <v>484</v>
      </c>
      <c r="F43" s="19">
        <v>656.2</v>
      </c>
      <c r="G43" s="19">
        <v>776.2</v>
      </c>
      <c r="H43" s="19">
        <f t="shared" si="2"/>
        <v>120</v>
      </c>
      <c r="I43" s="134" t="s">
        <v>532</v>
      </c>
      <c r="J43" s="19" t="s">
        <v>533</v>
      </c>
    </row>
    <row r="44" ht="14.25" customHeight="1">
      <c r="B44" s="27">
        <v>44994.0</v>
      </c>
      <c r="C44" s="133" t="str">
        <f t="shared" si="1"/>
        <v>3-2023</v>
      </c>
      <c r="D44" s="137" t="s">
        <v>504</v>
      </c>
      <c r="E44" s="19" t="s">
        <v>484</v>
      </c>
      <c r="F44" s="19">
        <v>776.2</v>
      </c>
      <c r="G44" s="19">
        <v>877.1</v>
      </c>
      <c r="H44" s="19">
        <f t="shared" si="2"/>
        <v>100.9</v>
      </c>
      <c r="I44" s="134"/>
      <c r="J44" s="19" t="s">
        <v>534</v>
      </c>
    </row>
    <row r="45" ht="14.25" customHeight="1">
      <c r="B45" s="27">
        <v>44995.0</v>
      </c>
      <c r="C45" s="133" t="str">
        <f t="shared" si="1"/>
        <v>3-2023</v>
      </c>
      <c r="D45" s="137" t="s">
        <v>511</v>
      </c>
      <c r="E45" s="19" t="s">
        <v>484</v>
      </c>
      <c r="F45" s="19">
        <v>877.1</v>
      </c>
      <c r="G45" s="19">
        <v>907.0</v>
      </c>
      <c r="H45" s="19">
        <f t="shared" si="2"/>
        <v>29.9</v>
      </c>
      <c r="I45" s="134"/>
      <c r="J45" s="19" t="s">
        <v>535</v>
      </c>
    </row>
    <row r="46" ht="14.25" customHeight="1">
      <c r="B46" s="27">
        <v>44995.0</v>
      </c>
      <c r="C46" s="133" t="str">
        <f t="shared" si="1"/>
        <v>3-2023</v>
      </c>
      <c r="D46" s="137" t="s">
        <v>536</v>
      </c>
      <c r="E46" s="19" t="s">
        <v>484</v>
      </c>
      <c r="F46" s="19">
        <v>907.0</v>
      </c>
      <c r="G46" s="19">
        <v>1147.2</v>
      </c>
      <c r="H46" s="19">
        <f t="shared" si="2"/>
        <v>240.2</v>
      </c>
      <c r="I46" s="134"/>
      <c r="J46" s="19" t="s">
        <v>537</v>
      </c>
    </row>
    <row r="47" ht="14.25" customHeight="1">
      <c r="B47" s="27">
        <v>45048.0</v>
      </c>
      <c r="C47" s="133" t="str">
        <f t="shared" si="1"/>
        <v>5-2023</v>
      </c>
      <c r="D47" s="136" t="s">
        <v>538</v>
      </c>
      <c r="E47" s="19" t="s">
        <v>476</v>
      </c>
      <c r="F47" s="19">
        <v>889212.6</v>
      </c>
      <c r="G47" s="19">
        <v>889388.7</v>
      </c>
      <c r="H47" s="19">
        <f t="shared" si="2"/>
        <v>176.1</v>
      </c>
      <c r="I47" s="134">
        <v>323.0</v>
      </c>
      <c r="J47" s="26" t="s">
        <v>539</v>
      </c>
    </row>
    <row r="48" ht="14.25" customHeight="1">
      <c r="B48" s="27">
        <v>45055.0</v>
      </c>
      <c r="C48" s="133" t="str">
        <f t="shared" si="1"/>
        <v>5-2023</v>
      </c>
      <c r="D48" s="138" t="s">
        <v>259</v>
      </c>
      <c r="E48" s="19" t="s">
        <v>540</v>
      </c>
      <c r="F48" s="19">
        <v>889509.9</v>
      </c>
      <c r="G48" s="19">
        <v>889629.4</v>
      </c>
      <c r="H48" s="19">
        <f t="shared" si="2"/>
        <v>119.5</v>
      </c>
      <c r="I48" s="134"/>
      <c r="J48" s="19" t="s">
        <v>541</v>
      </c>
    </row>
    <row r="49" ht="14.25" customHeight="1">
      <c r="B49" s="27">
        <v>45056.0</v>
      </c>
      <c r="C49" s="133" t="str">
        <f t="shared" si="1"/>
        <v>5-2023</v>
      </c>
      <c r="D49" s="138" t="s">
        <v>235</v>
      </c>
      <c r="E49" s="19" t="s">
        <v>540</v>
      </c>
      <c r="F49" s="19">
        <v>889629.4</v>
      </c>
      <c r="G49" s="19">
        <v>889725.7</v>
      </c>
      <c r="H49" s="19">
        <f t="shared" si="2"/>
        <v>96.3</v>
      </c>
      <c r="I49" s="134">
        <v>300.0</v>
      </c>
      <c r="J49" s="19" t="s">
        <v>542</v>
      </c>
    </row>
    <row r="50" ht="14.25" customHeight="1">
      <c r="B50" s="27">
        <v>45061.0</v>
      </c>
      <c r="C50" s="133" t="str">
        <f t="shared" si="1"/>
        <v>5-2023</v>
      </c>
      <c r="D50" s="138" t="s">
        <v>259</v>
      </c>
      <c r="E50" s="19" t="s">
        <v>543</v>
      </c>
      <c r="F50" s="19">
        <v>889785.7</v>
      </c>
      <c r="G50" s="19">
        <v>889847.5</v>
      </c>
      <c r="H50" s="19">
        <f t="shared" si="2"/>
        <v>61.8</v>
      </c>
      <c r="I50" s="134"/>
      <c r="J50" s="19" t="s">
        <v>544</v>
      </c>
    </row>
    <row r="51" ht="14.25" customHeight="1">
      <c r="B51" s="27">
        <v>45063.0</v>
      </c>
      <c r="C51" s="133" t="str">
        <f t="shared" si="1"/>
        <v>5-2023</v>
      </c>
      <c r="D51" s="138" t="s">
        <v>235</v>
      </c>
      <c r="E51" s="19" t="s">
        <v>540</v>
      </c>
      <c r="F51" s="19">
        <v>889857.8</v>
      </c>
      <c r="G51" s="19">
        <v>890007.2</v>
      </c>
      <c r="H51" s="19">
        <f t="shared" si="2"/>
        <v>149.4</v>
      </c>
      <c r="I51" s="134"/>
      <c r="J51" s="19" t="s">
        <v>545</v>
      </c>
    </row>
    <row r="52" ht="14.25" customHeight="1">
      <c r="B52" s="27">
        <v>45064.0</v>
      </c>
      <c r="C52" s="133" t="str">
        <f t="shared" si="1"/>
        <v>5-2023</v>
      </c>
      <c r="D52" s="138" t="s">
        <v>546</v>
      </c>
      <c r="E52" s="19" t="s">
        <v>540</v>
      </c>
      <c r="F52" s="19">
        <v>890007.2</v>
      </c>
      <c r="G52" s="19">
        <v>890055.8</v>
      </c>
      <c r="H52" s="19">
        <f t="shared" si="2"/>
        <v>48.6</v>
      </c>
      <c r="I52" s="134"/>
      <c r="J52" s="19" t="s">
        <v>441</v>
      </c>
    </row>
    <row r="53" ht="14.25" customHeight="1">
      <c r="B53" s="27">
        <v>45064.0</v>
      </c>
      <c r="C53" s="133" t="str">
        <f t="shared" si="1"/>
        <v>5-2023</v>
      </c>
      <c r="D53" s="138" t="s">
        <v>547</v>
      </c>
      <c r="E53" s="19" t="s">
        <v>543</v>
      </c>
      <c r="F53" s="19">
        <v>890055.8</v>
      </c>
      <c r="G53" s="19">
        <v>890099.2</v>
      </c>
      <c r="H53" s="19">
        <f t="shared" si="2"/>
        <v>43.4</v>
      </c>
      <c r="I53" s="134"/>
      <c r="J53" s="19" t="s">
        <v>548</v>
      </c>
    </row>
    <row r="54" ht="14.25" customHeight="1">
      <c r="B54" s="27">
        <v>45065.0</v>
      </c>
      <c r="C54" s="133" t="str">
        <f t="shared" si="1"/>
        <v>5-2023</v>
      </c>
      <c r="D54" s="138" t="s">
        <v>259</v>
      </c>
      <c r="E54" s="19" t="s">
        <v>543</v>
      </c>
      <c r="F54" s="19">
        <v>890099.2</v>
      </c>
      <c r="G54" s="19">
        <v>890285.8</v>
      </c>
      <c r="H54" s="19">
        <f t="shared" si="2"/>
        <v>186.6</v>
      </c>
      <c r="I54" s="134"/>
      <c r="J54" s="19" t="s">
        <v>549</v>
      </c>
    </row>
    <row r="55" ht="14.25" customHeight="1">
      <c r="B55" s="27">
        <v>45073.0</v>
      </c>
      <c r="C55" s="133" t="str">
        <f t="shared" si="1"/>
        <v>5-2023</v>
      </c>
      <c r="D55" s="138" t="s">
        <v>259</v>
      </c>
      <c r="E55" s="19" t="s">
        <v>543</v>
      </c>
      <c r="F55" s="19">
        <v>890285.8</v>
      </c>
      <c r="G55" s="19">
        <v>890320.8</v>
      </c>
      <c r="H55" s="19">
        <f t="shared" si="2"/>
        <v>35</v>
      </c>
      <c r="I55" s="134">
        <v>762.0</v>
      </c>
      <c r="J55" s="19" t="s">
        <v>550</v>
      </c>
    </row>
    <row r="56" ht="14.25" customHeight="1">
      <c r="B56" s="27">
        <v>45075.0</v>
      </c>
      <c r="C56" s="133" t="str">
        <f t="shared" si="1"/>
        <v>5-2023</v>
      </c>
      <c r="D56" s="138" t="s">
        <v>259</v>
      </c>
      <c r="E56" s="19" t="s">
        <v>543</v>
      </c>
      <c r="F56" s="19">
        <v>890320.8</v>
      </c>
      <c r="G56" s="19">
        <v>890437.6</v>
      </c>
      <c r="H56" s="19">
        <f t="shared" si="2"/>
        <v>116.8</v>
      </c>
      <c r="I56" s="134"/>
      <c r="J56" s="19" t="s">
        <v>551</v>
      </c>
    </row>
    <row r="57" ht="14.25" customHeight="1">
      <c r="B57" s="27">
        <v>45076.0</v>
      </c>
      <c r="C57" s="133" t="str">
        <f t="shared" si="1"/>
        <v>5-2023</v>
      </c>
      <c r="D57" s="138" t="s">
        <v>552</v>
      </c>
      <c r="E57" s="19" t="s">
        <v>540</v>
      </c>
      <c r="F57" s="19">
        <v>890437.6</v>
      </c>
      <c r="G57" s="19">
        <v>890678.6</v>
      </c>
      <c r="H57" s="19">
        <f t="shared" si="2"/>
        <v>241</v>
      </c>
      <c r="I57" s="134"/>
      <c r="J57" s="26" t="s">
        <v>553</v>
      </c>
    </row>
    <row r="58" ht="14.25" customHeight="1">
      <c r="B58" s="27">
        <v>45079.0</v>
      </c>
      <c r="C58" s="133" t="str">
        <f t="shared" si="1"/>
        <v>6-2023</v>
      </c>
      <c r="D58" s="138" t="s">
        <v>554</v>
      </c>
      <c r="E58" s="19" t="s">
        <v>540</v>
      </c>
      <c r="F58" s="19">
        <v>890678.6</v>
      </c>
      <c r="G58" s="19">
        <v>890817.1</v>
      </c>
      <c r="H58" s="19">
        <f t="shared" si="2"/>
        <v>138.5</v>
      </c>
      <c r="I58" s="134"/>
      <c r="J58" s="19" t="s">
        <v>555</v>
      </c>
    </row>
    <row r="59" ht="14.25" customHeight="1">
      <c r="B59" s="27">
        <v>45079.0</v>
      </c>
      <c r="C59" s="133" t="str">
        <f t="shared" si="1"/>
        <v>6-2023</v>
      </c>
      <c r="D59" s="136" t="s">
        <v>134</v>
      </c>
      <c r="E59" s="19" t="s">
        <v>543</v>
      </c>
      <c r="F59" s="19">
        <v>890817.6</v>
      </c>
      <c r="G59" s="19">
        <v>890840.0</v>
      </c>
      <c r="H59" s="19">
        <f t="shared" si="2"/>
        <v>22.4</v>
      </c>
      <c r="I59" s="134"/>
      <c r="J59" s="19" t="s">
        <v>556</v>
      </c>
    </row>
    <row r="60" ht="14.25" customHeight="1">
      <c r="B60" s="27">
        <v>45080.0</v>
      </c>
      <c r="C60" s="133" t="str">
        <f t="shared" si="1"/>
        <v>6-2023</v>
      </c>
      <c r="D60" s="138" t="s">
        <v>187</v>
      </c>
      <c r="E60" s="19" t="s">
        <v>543</v>
      </c>
      <c r="F60" s="19">
        <v>890840.0</v>
      </c>
      <c r="G60" s="19">
        <v>890910.3</v>
      </c>
      <c r="H60" s="19">
        <f t="shared" si="2"/>
        <v>70.3</v>
      </c>
      <c r="I60" s="134"/>
      <c r="J60" s="19" t="s">
        <v>557</v>
      </c>
    </row>
    <row r="61" ht="14.25" customHeight="1">
      <c r="B61" s="27">
        <v>45082.0</v>
      </c>
      <c r="C61" s="133" t="str">
        <f t="shared" si="1"/>
        <v>6-2023</v>
      </c>
      <c r="D61" s="138" t="s">
        <v>558</v>
      </c>
      <c r="E61" s="19" t="s">
        <v>543</v>
      </c>
      <c r="F61" s="19">
        <v>890910.3</v>
      </c>
      <c r="G61" s="19">
        <v>891103.5</v>
      </c>
      <c r="H61" s="19">
        <f t="shared" si="2"/>
        <v>193.2</v>
      </c>
      <c r="I61" s="134"/>
      <c r="J61" s="19" t="s">
        <v>559</v>
      </c>
    </row>
    <row r="62" ht="14.25" customHeight="1">
      <c r="B62" s="27">
        <v>45083.0</v>
      </c>
      <c r="C62" s="133" t="str">
        <f t="shared" si="1"/>
        <v>6-2023</v>
      </c>
      <c r="D62" s="138" t="s">
        <v>187</v>
      </c>
      <c r="E62" s="19" t="s">
        <v>543</v>
      </c>
      <c r="F62" s="19">
        <v>891103.5</v>
      </c>
      <c r="G62" s="19">
        <v>892055.4</v>
      </c>
      <c r="H62" s="19">
        <f t="shared" si="2"/>
        <v>951.9</v>
      </c>
      <c r="I62" s="134"/>
      <c r="J62" s="19" t="s">
        <v>560</v>
      </c>
    </row>
    <row r="63" ht="14.25" customHeight="1">
      <c r="B63" s="27">
        <v>45086.0</v>
      </c>
      <c r="C63" s="133" t="str">
        <f t="shared" si="1"/>
        <v>6-2023</v>
      </c>
      <c r="D63" s="138" t="s">
        <v>561</v>
      </c>
      <c r="E63" s="19" t="s">
        <v>543</v>
      </c>
      <c r="F63" s="19">
        <v>892055.4</v>
      </c>
      <c r="G63" s="19">
        <v>892167.4</v>
      </c>
      <c r="H63" s="19">
        <f t="shared" si="2"/>
        <v>112</v>
      </c>
      <c r="I63" s="134"/>
      <c r="J63" s="19" t="s">
        <v>562</v>
      </c>
    </row>
    <row r="64" ht="14.25" customHeight="1">
      <c r="B64" s="27">
        <v>45089.0</v>
      </c>
      <c r="C64" s="133" t="str">
        <f t="shared" si="1"/>
        <v>6-2023</v>
      </c>
      <c r="D64" s="138" t="s">
        <v>563</v>
      </c>
      <c r="E64" s="19" t="s">
        <v>543</v>
      </c>
      <c r="F64" s="139">
        <v>892167.4</v>
      </c>
      <c r="G64" s="139">
        <v>892267.5</v>
      </c>
      <c r="H64" s="19">
        <f t="shared" si="2"/>
        <v>100.1</v>
      </c>
      <c r="I64" s="134"/>
      <c r="J64" s="19" t="s">
        <v>564</v>
      </c>
    </row>
    <row r="65" ht="14.25" customHeight="1">
      <c r="B65" s="27">
        <v>45092.0</v>
      </c>
      <c r="C65" s="133" t="str">
        <f t="shared" si="1"/>
        <v>6-2023</v>
      </c>
      <c r="D65" s="138" t="s">
        <v>259</v>
      </c>
      <c r="E65" s="19" t="s">
        <v>543</v>
      </c>
      <c r="F65" s="139">
        <v>892267.5</v>
      </c>
      <c r="G65" s="139">
        <v>892267.4</v>
      </c>
      <c r="H65" s="19">
        <f t="shared" si="2"/>
        <v>-0.09999999998</v>
      </c>
      <c r="I65" s="134"/>
      <c r="J65" s="19" t="s">
        <v>565</v>
      </c>
    </row>
    <row r="66" ht="14.25" customHeight="1">
      <c r="B66" s="27">
        <v>45093.0</v>
      </c>
      <c r="C66" s="133" t="str">
        <f t="shared" si="1"/>
        <v>6-2023</v>
      </c>
      <c r="D66" s="138" t="s">
        <v>175</v>
      </c>
      <c r="E66" s="19" t="s">
        <v>543</v>
      </c>
      <c r="F66" s="19">
        <v>892267.4</v>
      </c>
      <c r="G66" s="19">
        <v>892387.4</v>
      </c>
      <c r="H66" s="19">
        <f t="shared" si="2"/>
        <v>120</v>
      </c>
      <c r="I66" s="134"/>
      <c r="J66" s="19" t="s">
        <v>566</v>
      </c>
    </row>
    <row r="67" ht="14.25" customHeight="1">
      <c r="B67" s="27">
        <v>45097.0</v>
      </c>
      <c r="C67" s="133" t="str">
        <f t="shared" si="1"/>
        <v>6-2023</v>
      </c>
      <c r="D67" s="138" t="s">
        <v>567</v>
      </c>
      <c r="E67" s="19" t="s">
        <v>543</v>
      </c>
      <c r="F67" s="19">
        <v>892522.4</v>
      </c>
      <c r="G67" s="19">
        <v>892704.8</v>
      </c>
      <c r="H67" s="19">
        <f t="shared" si="2"/>
        <v>182.4</v>
      </c>
      <c r="I67" s="134"/>
      <c r="J67" s="19" t="s">
        <v>568</v>
      </c>
    </row>
    <row r="68" ht="14.25" customHeight="1">
      <c r="B68" s="27">
        <v>45100.0</v>
      </c>
      <c r="C68" s="133" t="str">
        <f t="shared" si="1"/>
        <v>6-2023</v>
      </c>
      <c r="D68" s="138" t="s">
        <v>259</v>
      </c>
      <c r="E68" s="19" t="s">
        <v>543</v>
      </c>
      <c r="F68" s="19">
        <v>892704.8</v>
      </c>
      <c r="G68" s="19">
        <v>892792.4</v>
      </c>
      <c r="H68" s="19">
        <f t="shared" si="2"/>
        <v>87.6</v>
      </c>
      <c r="I68" s="134"/>
      <c r="J68" s="19" t="s">
        <v>569</v>
      </c>
    </row>
    <row r="69" ht="14.25" customHeight="1">
      <c r="B69" s="27">
        <v>45103.0</v>
      </c>
      <c r="C69" s="133" t="str">
        <f t="shared" si="1"/>
        <v>6-2023</v>
      </c>
      <c r="D69" s="138" t="s">
        <v>570</v>
      </c>
      <c r="E69" s="19" t="s">
        <v>543</v>
      </c>
      <c r="F69" s="19">
        <v>892792.4</v>
      </c>
      <c r="G69" s="19">
        <v>892835.9</v>
      </c>
      <c r="H69" s="19">
        <f t="shared" si="2"/>
        <v>43.5</v>
      </c>
      <c r="I69" s="134"/>
      <c r="J69" s="19" t="s">
        <v>571</v>
      </c>
    </row>
    <row r="70" ht="14.25" customHeight="1">
      <c r="B70" s="27">
        <v>45104.0</v>
      </c>
      <c r="C70" s="133" t="str">
        <f t="shared" si="1"/>
        <v>6-2023</v>
      </c>
      <c r="D70" s="138" t="s">
        <v>572</v>
      </c>
      <c r="E70" s="19" t="s">
        <v>543</v>
      </c>
      <c r="F70" s="19">
        <v>892835.9</v>
      </c>
      <c r="G70" s="19">
        <v>892867.6</v>
      </c>
      <c r="H70" s="19">
        <f t="shared" si="2"/>
        <v>31.7</v>
      </c>
      <c r="I70" s="134"/>
      <c r="J70" s="19" t="s">
        <v>573</v>
      </c>
    </row>
    <row r="71" ht="14.25" customHeight="1">
      <c r="B71" s="27">
        <v>45108.0</v>
      </c>
      <c r="C71" s="133" t="str">
        <f t="shared" si="1"/>
        <v>7-2023</v>
      </c>
      <c r="D71" s="138" t="s">
        <v>574</v>
      </c>
      <c r="E71" s="19" t="s">
        <v>543</v>
      </c>
      <c r="F71" s="19">
        <v>893091.2</v>
      </c>
      <c r="G71" s="19">
        <v>893153.0</v>
      </c>
      <c r="H71" s="19">
        <f t="shared" si="2"/>
        <v>61.8</v>
      </c>
      <c r="I71" s="134"/>
      <c r="J71" s="19" t="s">
        <v>575</v>
      </c>
    </row>
    <row r="72" ht="14.25" customHeight="1">
      <c r="B72" s="27">
        <v>45108.0</v>
      </c>
      <c r="C72" s="133" t="str">
        <f t="shared" si="1"/>
        <v>7-2023</v>
      </c>
      <c r="D72" s="138" t="s">
        <v>576</v>
      </c>
      <c r="E72" s="19" t="s">
        <v>543</v>
      </c>
      <c r="F72" s="19">
        <v>893153.0</v>
      </c>
      <c r="G72" s="19">
        <v>893164.9</v>
      </c>
      <c r="H72" s="19">
        <f t="shared" si="2"/>
        <v>11.9</v>
      </c>
      <c r="I72" s="134"/>
      <c r="J72" s="19" t="s">
        <v>577</v>
      </c>
    </row>
    <row r="73" ht="14.25" customHeight="1">
      <c r="B73" s="27">
        <v>45109.0</v>
      </c>
      <c r="C73" s="133" t="str">
        <f t="shared" si="1"/>
        <v>7-2023</v>
      </c>
      <c r="D73" s="138" t="s">
        <v>26</v>
      </c>
      <c r="E73" s="19" t="s">
        <v>540</v>
      </c>
      <c r="F73" s="19">
        <v>893164.9</v>
      </c>
      <c r="G73" s="19">
        <v>893237.7</v>
      </c>
      <c r="H73" s="19">
        <f t="shared" si="2"/>
        <v>72.8</v>
      </c>
      <c r="I73" s="134"/>
      <c r="J73" s="19" t="s">
        <v>578</v>
      </c>
    </row>
    <row r="74" ht="14.25" customHeight="1">
      <c r="B74" s="27">
        <v>45110.0</v>
      </c>
      <c r="C74" s="133" t="str">
        <f t="shared" si="1"/>
        <v>7-2023</v>
      </c>
      <c r="D74" s="138" t="s">
        <v>579</v>
      </c>
      <c r="E74" s="19" t="s">
        <v>540</v>
      </c>
      <c r="F74" s="19">
        <v>893237.7</v>
      </c>
      <c r="G74" s="19">
        <v>893376.3</v>
      </c>
      <c r="H74" s="19">
        <f t="shared" si="2"/>
        <v>138.6</v>
      </c>
      <c r="I74" s="134"/>
      <c r="J74" s="19" t="s">
        <v>580</v>
      </c>
    </row>
    <row r="75" ht="14.25" customHeight="1">
      <c r="B75" s="27">
        <v>45117.0</v>
      </c>
      <c r="C75" s="133" t="str">
        <f t="shared" si="1"/>
        <v>7-2023</v>
      </c>
      <c r="D75" s="138" t="s">
        <v>259</v>
      </c>
      <c r="E75" s="19" t="s">
        <v>540</v>
      </c>
      <c r="F75" s="19">
        <v>893378.1</v>
      </c>
      <c r="G75" s="19">
        <v>893467.3</v>
      </c>
      <c r="H75" s="19">
        <f t="shared" si="2"/>
        <v>89.2</v>
      </c>
      <c r="I75" s="134"/>
      <c r="J75" s="19" t="s">
        <v>581</v>
      </c>
    </row>
    <row r="76" ht="14.25" customHeight="1">
      <c r="B76" s="27">
        <v>45118.0</v>
      </c>
      <c r="C76" s="133" t="str">
        <f t="shared" si="1"/>
        <v>7-2023</v>
      </c>
      <c r="D76" s="138" t="s">
        <v>582</v>
      </c>
      <c r="E76" s="19" t="s">
        <v>543</v>
      </c>
      <c r="F76" s="19">
        <v>893467.3</v>
      </c>
      <c r="G76" s="19">
        <v>893535.1</v>
      </c>
      <c r="H76" s="19">
        <f t="shared" si="2"/>
        <v>67.8</v>
      </c>
      <c r="I76" s="134"/>
      <c r="J76" s="19" t="s">
        <v>583</v>
      </c>
    </row>
    <row r="77" ht="14.25" customHeight="1">
      <c r="B77" s="27">
        <v>45121.0</v>
      </c>
      <c r="C77" s="133" t="str">
        <f t="shared" si="1"/>
        <v>7-2023</v>
      </c>
      <c r="D77" s="138" t="s">
        <v>584</v>
      </c>
      <c r="E77" s="19" t="s">
        <v>543</v>
      </c>
      <c r="F77" s="19">
        <v>893535.1</v>
      </c>
      <c r="G77" s="19">
        <v>893720.6</v>
      </c>
      <c r="H77" s="19">
        <f t="shared" si="2"/>
        <v>185.5</v>
      </c>
      <c r="I77" s="134"/>
      <c r="J77" s="19" t="s">
        <v>585</v>
      </c>
    </row>
    <row r="78" ht="14.25" customHeight="1">
      <c r="B78" s="27">
        <v>45124.0</v>
      </c>
      <c r="C78" s="133" t="str">
        <f t="shared" si="1"/>
        <v>7-2023</v>
      </c>
      <c r="D78" s="138" t="s">
        <v>586</v>
      </c>
      <c r="E78" s="19" t="s">
        <v>543</v>
      </c>
      <c r="F78" s="19">
        <v>893720.6</v>
      </c>
      <c r="G78" s="19">
        <v>893918.0</v>
      </c>
      <c r="H78" s="19">
        <f t="shared" si="2"/>
        <v>197.4</v>
      </c>
      <c r="I78" s="134">
        <v>652.0</v>
      </c>
      <c r="J78" s="19" t="s">
        <v>587</v>
      </c>
    </row>
    <row r="79" ht="14.25" customHeight="1">
      <c r="B79" s="27">
        <v>45125.0</v>
      </c>
      <c r="C79" s="133" t="str">
        <f t="shared" si="1"/>
        <v>7-2023</v>
      </c>
      <c r="D79" s="138" t="s">
        <v>588</v>
      </c>
      <c r="E79" s="19" t="s">
        <v>540</v>
      </c>
      <c r="F79" s="19">
        <v>893918.0</v>
      </c>
      <c r="G79" s="19">
        <v>894011.2</v>
      </c>
      <c r="H79" s="19">
        <f t="shared" si="2"/>
        <v>93.2</v>
      </c>
      <c r="I79" s="134"/>
      <c r="J79" s="19" t="s">
        <v>589</v>
      </c>
    </row>
    <row r="80" ht="14.25" customHeight="1">
      <c r="B80" s="27">
        <v>45127.0</v>
      </c>
      <c r="C80" s="133" t="str">
        <f t="shared" si="1"/>
        <v>7-2023</v>
      </c>
      <c r="D80" s="138" t="s">
        <v>259</v>
      </c>
      <c r="E80" s="19" t="s">
        <v>540</v>
      </c>
      <c r="F80" s="19">
        <v>894011.2</v>
      </c>
      <c r="G80" s="19">
        <v>894074.0</v>
      </c>
      <c r="H80" s="19">
        <f t="shared" si="2"/>
        <v>62.8</v>
      </c>
      <c r="I80" s="134">
        <v>125.0</v>
      </c>
      <c r="J80" s="19" t="s">
        <v>590</v>
      </c>
    </row>
    <row r="81" ht="14.25" customHeight="1">
      <c r="B81" s="27">
        <v>45128.0</v>
      </c>
      <c r="C81" s="133" t="str">
        <f t="shared" si="1"/>
        <v>7-2023</v>
      </c>
      <c r="D81" s="138" t="s">
        <v>591</v>
      </c>
      <c r="E81" s="19" t="s">
        <v>540</v>
      </c>
      <c r="F81" s="19">
        <v>894074.0</v>
      </c>
      <c r="G81" s="19">
        <v>894146.1</v>
      </c>
      <c r="H81" s="19">
        <f t="shared" si="2"/>
        <v>72.1</v>
      </c>
      <c r="I81" s="134"/>
      <c r="J81" s="19" t="s">
        <v>592</v>
      </c>
    </row>
    <row r="82" ht="14.25" customHeight="1">
      <c r="B82" s="27">
        <v>45129.0</v>
      </c>
      <c r="C82" s="133" t="str">
        <f t="shared" si="1"/>
        <v>7-2023</v>
      </c>
      <c r="D82" s="138" t="s">
        <v>582</v>
      </c>
      <c r="E82" s="19" t="s">
        <v>540</v>
      </c>
      <c r="F82" s="19">
        <v>894146.1</v>
      </c>
      <c r="G82" s="19">
        <v>894212.5</v>
      </c>
      <c r="H82" s="19">
        <f t="shared" si="2"/>
        <v>66.4</v>
      </c>
      <c r="I82" s="134"/>
      <c r="J82" s="19" t="s">
        <v>593</v>
      </c>
    </row>
    <row r="83" ht="14.25" customHeight="1">
      <c r="B83" s="27">
        <v>45131.0</v>
      </c>
      <c r="C83" s="133" t="str">
        <f t="shared" si="1"/>
        <v>7-2023</v>
      </c>
      <c r="D83" s="138" t="s">
        <v>594</v>
      </c>
      <c r="E83" s="19" t="s">
        <v>543</v>
      </c>
      <c r="F83" s="19">
        <v>894146.1</v>
      </c>
      <c r="G83" s="19">
        <v>894885.7</v>
      </c>
      <c r="H83" s="19">
        <f t="shared" si="2"/>
        <v>739.6</v>
      </c>
      <c r="I83" s="134"/>
      <c r="J83" s="19" t="s">
        <v>595</v>
      </c>
    </row>
    <row r="84" ht="14.25" customHeight="1">
      <c r="B84" s="27">
        <v>45133.0</v>
      </c>
      <c r="C84" s="133" t="str">
        <f t="shared" si="1"/>
        <v>7-2023</v>
      </c>
      <c r="D84" s="138" t="s">
        <v>335</v>
      </c>
      <c r="E84" s="19" t="s">
        <v>540</v>
      </c>
      <c r="F84" s="19">
        <v>894884.7</v>
      </c>
      <c r="G84" s="19">
        <v>895011.4</v>
      </c>
      <c r="H84" s="19">
        <f t="shared" si="2"/>
        <v>126.7</v>
      </c>
      <c r="I84" s="134">
        <v>400.0</v>
      </c>
      <c r="J84" s="19" t="s">
        <v>596</v>
      </c>
    </row>
    <row r="85" ht="14.25" customHeight="1">
      <c r="B85" s="27">
        <v>45134.0</v>
      </c>
      <c r="C85" s="133" t="str">
        <f t="shared" si="1"/>
        <v>7-2023</v>
      </c>
      <c r="D85" s="138" t="s">
        <v>597</v>
      </c>
      <c r="E85" s="19" t="s">
        <v>540</v>
      </c>
      <c r="F85" s="19">
        <v>895011.4</v>
      </c>
      <c r="G85" s="19">
        <v>895041.9</v>
      </c>
      <c r="H85" s="19">
        <f t="shared" si="2"/>
        <v>30.5</v>
      </c>
      <c r="I85" s="134"/>
      <c r="J85" s="19" t="s">
        <v>598</v>
      </c>
    </row>
    <row r="86" ht="14.25" customHeight="1">
      <c r="B86" s="27">
        <v>45136.0</v>
      </c>
      <c r="C86" s="133" t="str">
        <f t="shared" si="1"/>
        <v>7-2023</v>
      </c>
      <c r="D86" s="138" t="s">
        <v>599</v>
      </c>
      <c r="E86" s="19" t="s">
        <v>540</v>
      </c>
      <c r="F86" s="19">
        <v>895041.9</v>
      </c>
      <c r="G86" s="19">
        <v>895167.5</v>
      </c>
      <c r="H86" s="19">
        <f t="shared" si="2"/>
        <v>125.6</v>
      </c>
      <c r="I86" s="134"/>
      <c r="J86" s="19" t="s">
        <v>600</v>
      </c>
    </row>
    <row r="87" ht="14.25" customHeight="1">
      <c r="B87" s="27">
        <v>45139.0</v>
      </c>
      <c r="C87" s="133" t="str">
        <f t="shared" si="1"/>
        <v>8-2023</v>
      </c>
      <c r="D87" s="136" t="s">
        <v>259</v>
      </c>
      <c r="E87" s="136" t="s">
        <v>540</v>
      </c>
      <c r="F87" s="19">
        <v>895167.6</v>
      </c>
      <c r="G87" s="19">
        <v>895294.2</v>
      </c>
      <c r="H87" s="19">
        <f t="shared" si="2"/>
        <v>126.6</v>
      </c>
      <c r="I87" s="134"/>
      <c r="J87" s="19" t="s">
        <v>601</v>
      </c>
    </row>
    <row r="88" ht="14.25" customHeight="1">
      <c r="B88" s="27">
        <v>45141.0</v>
      </c>
      <c r="C88" s="133" t="str">
        <f t="shared" si="1"/>
        <v>8-2023</v>
      </c>
      <c r="D88" s="19" t="s">
        <v>602</v>
      </c>
      <c r="E88" s="136" t="s">
        <v>543</v>
      </c>
      <c r="F88" s="19">
        <v>895294.2</v>
      </c>
      <c r="G88" s="19">
        <v>895426.7</v>
      </c>
      <c r="H88" s="19">
        <f t="shared" si="2"/>
        <v>132.5</v>
      </c>
      <c r="I88" s="134">
        <v>335.0</v>
      </c>
      <c r="J88" s="19" t="s">
        <v>603</v>
      </c>
    </row>
    <row r="89" ht="14.25" customHeight="1">
      <c r="B89" s="27">
        <v>45141.0</v>
      </c>
      <c r="C89" s="133" t="str">
        <f t="shared" si="1"/>
        <v>8-2023</v>
      </c>
      <c r="D89" s="19" t="s">
        <v>187</v>
      </c>
      <c r="E89" s="136" t="s">
        <v>543</v>
      </c>
      <c r="F89" s="19">
        <v>895426.7</v>
      </c>
      <c r="G89" s="19">
        <v>895456.6</v>
      </c>
      <c r="H89" s="19">
        <f t="shared" si="2"/>
        <v>29.9</v>
      </c>
      <c r="I89" s="134">
        <v>130.0</v>
      </c>
      <c r="J89" s="19" t="s">
        <v>604</v>
      </c>
    </row>
    <row r="90" ht="14.25" customHeight="1">
      <c r="B90" s="27">
        <v>45145.0</v>
      </c>
      <c r="C90" s="133" t="str">
        <f t="shared" si="1"/>
        <v>8-2023</v>
      </c>
      <c r="D90" s="19" t="s">
        <v>187</v>
      </c>
      <c r="E90" s="136" t="s">
        <v>543</v>
      </c>
      <c r="F90" s="19">
        <v>895465.6</v>
      </c>
      <c r="G90" s="19">
        <v>896056.1</v>
      </c>
      <c r="H90" s="19">
        <f t="shared" si="2"/>
        <v>590.5</v>
      </c>
      <c r="I90" s="134">
        <v>313.0</v>
      </c>
      <c r="J90" s="19" t="s">
        <v>605</v>
      </c>
    </row>
    <row r="91" ht="14.25" customHeight="1">
      <c r="B91" s="27">
        <v>45146.0</v>
      </c>
      <c r="C91" s="133" t="str">
        <f t="shared" si="1"/>
        <v>8-2023</v>
      </c>
      <c r="D91" s="19" t="s">
        <v>187</v>
      </c>
      <c r="E91" s="136" t="s">
        <v>606</v>
      </c>
      <c r="F91" s="19">
        <v>896056.1</v>
      </c>
      <c r="G91" s="19">
        <v>896925.3</v>
      </c>
      <c r="H91" s="19">
        <f t="shared" si="2"/>
        <v>869.2</v>
      </c>
      <c r="I91" s="134"/>
      <c r="J91" s="19" t="s">
        <v>607</v>
      </c>
    </row>
    <row r="92" ht="14.25" customHeight="1">
      <c r="B92" s="27">
        <v>45150.0</v>
      </c>
      <c r="C92" s="133" t="str">
        <f t="shared" si="1"/>
        <v>8-2023</v>
      </c>
      <c r="D92" s="19"/>
      <c r="E92" s="136" t="s">
        <v>606</v>
      </c>
      <c r="F92" s="19">
        <v>896925.3</v>
      </c>
      <c r="G92" s="19">
        <v>896989.1</v>
      </c>
      <c r="H92" s="19">
        <f t="shared" si="2"/>
        <v>63.8</v>
      </c>
      <c r="I92" s="134"/>
      <c r="J92" s="19" t="s">
        <v>608</v>
      </c>
    </row>
    <row r="93" ht="14.25" customHeight="1">
      <c r="B93" s="27">
        <v>45154.0</v>
      </c>
      <c r="C93" s="133" t="str">
        <f t="shared" si="1"/>
        <v>8-2023</v>
      </c>
      <c r="D93" s="19" t="s">
        <v>609</v>
      </c>
      <c r="E93" s="136" t="s">
        <v>606</v>
      </c>
      <c r="F93" s="138">
        <v>896989.1</v>
      </c>
      <c r="G93" s="19">
        <v>897106.4</v>
      </c>
      <c r="H93" s="19">
        <f t="shared" si="2"/>
        <v>117.3</v>
      </c>
      <c r="I93" s="134"/>
      <c r="J93" s="19" t="s">
        <v>610</v>
      </c>
    </row>
    <row r="94" ht="14.25" customHeight="1">
      <c r="B94" s="27">
        <v>45156.0</v>
      </c>
      <c r="C94" s="133" t="str">
        <f t="shared" si="1"/>
        <v>8-2023</v>
      </c>
      <c r="D94" s="19"/>
      <c r="E94" s="136" t="s">
        <v>606</v>
      </c>
      <c r="F94" s="19">
        <v>897108.8</v>
      </c>
      <c r="G94" s="19">
        <v>897153.7</v>
      </c>
      <c r="H94" s="19">
        <f t="shared" si="2"/>
        <v>44.9</v>
      </c>
      <c r="I94" s="134"/>
      <c r="J94" s="19" t="s">
        <v>611</v>
      </c>
    </row>
    <row r="95" ht="14.25" customHeight="1">
      <c r="B95" s="27">
        <v>45157.0</v>
      </c>
      <c r="C95" s="133" t="str">
        <f t="shared" si="1"/>
        <v>8-2023</v>
      </c>
      <c r="D95" s="19"/>
      <c r="E95" s="136" t="s">
        <v>606</v>
      </c>
      <c r="F95" s="19">
        <v>897153.7</v>
      </c>
      <c r="G95" s="19">
        <v>897215.0</v>
      </c>
      <c r="H95" s="19">
        <f t="shared" si="2"/>
        <v>61.3</v>
      </c>
      <c r="I95" s="134"/>
      <c r="J95" s="19" t="s">
        <v>612</v>
      </c>
    </row>
    <row r="96" ht="14.25" customHeight="1">
      <c r="B96" s="27">
        <v>45161.0</v>
      </c>
      <c r="C96" s="133" t="str">
        <f t="shared" si="1"/>
        <v>8-2023</v>
      </c>
      <c r="D96" s="19" t="s">
        <v>576</v>
      </c>
      <c r="E96" s="136" t="s">
        <v>613</v>
      </c>
      <c r="F96" s="19">
        <v>897215.0</v>
      </c>
      <c r="G96" s="19">
        <v>897283.7</v>
      </c>
      <c r="H96" s="19">
        <f t="shared" si="2"/>
        <v>68.7</v>
      </c>
      <c r="I96" s="134"/>
      <c r="J96" s="19" t="s">
        <v>614</v>
      </c>
    </row>
    <row r="97" ht="14.25" customHeight="1">
      <c r="B97" s="27">
        <v>45161.0</v>
      </c>
      <c r="C97" s="133" t="str">
        <f t="shared" si="1"/>
        <v>8-2023</v>
      </c>
      <c r="D97" s="19" t="s">
        <v>335</v>
      </c>
      <c r="E97" s="136" t="s">
        <v>606</v>
      </c>
      <c r="F97" s="19">
        <v>897283.1</v>
      </c>
      <c r="G97" s="19">
        <v>897321.0</v>
      </c>
      <c r="H97" s="19">
        <f t="shared" si="2"/>
        <v>37.9</v>
      </c>
      <c r="I97" s="134"/>
      <c r="J97" s="19" t="s">
        <v>615</v>
      </c>
    </row>
    <row r="98" ht="14.25" customHeight="1">
      <c r="B98" s="27">
        <v>45161.0</v>
      </c>
      <c r="C98" s="133" t="str">
        <f t="shared" si="1"/>
        <v>8-2023</v>
      </c>
      <c r="D98" s="19" t="s">
        <v>259</v>
      </c>
      <c r="E98" s="136" t="s">
        <v>613</v>
      </c>
      <c r="F98" s="19">
        <v>897321.0</v>
      </c>
      <c r="G98" s="19">
        <v>897389.1</v>
      </c>
      <c r="H98" s="19">
        <f t="shared" si="2"/>
        <v>68.1</v>
      </c>
      <c r="I98" s="134"/>
      <c r="J98" s="19" t="s">
        <v>616</v>
      </c>
    </row>
    <row r="99" ht="14.25" customHeight="1">
      <c r="B99" s="27">
        <v>45163.0</v>
      </c>
      <c r="C99" s="133" t="str">
        <f t="shared" si="1"/>
        <v>8-2023</v>
      </c>
      <c r="D99" s="19" t="s">
        <v>259</v>
      </c>
      <c r="E99" s="19" t="s">
        <v>606</v>
      </c>
      <c r="F99" s="19">
        <v>897389.1</v>
      </c>
      <c r="G99" s="19">
        <v>897419.6</v>
      </c>
      <c r="H99" s="19">
        <f t="shared" si="2"/>
        <v>30.5</v>
      </c>
      <c r="I99" s="134"/>
      <c r="J99" s="19" t="s">
        <v>617</v>
      </c>
    </row>
    <row r="100" ht="14.25" customHeight="1">
      <c r="B100" s="27">
        <v>45164.0</v>
      </c>
      <c r="C100" s="133" t="str">
        <f t="shared" si="1"/>
        <v>8-2023</v>
      </c>
      <c r="D100" s="19" t="s">
        <v>576</v>
      </c>
      <c r="E100" s="19" t="s">
        <v>606</v>
      </c>
      <c r="F100" s="19">
        <v>897419.6</v>
      </c>
      <c r="G100" s="19">
        <v>897467.3</v>
      </c>
      <c r="H100" s="19">
        <f t="shared" si="2"/>
        <v>47.7</v>
      </c>
      <c r="I100" s="134">
        <v>35.0</v>
      </c>
      <c r="J100" s="19" t="s">
        <v>618</v>
      </c>
    </row>
    <row r="101" ht="14.25" customHeight="1">
      <c r="B101" s="27">
        <v>45164.0</v>
      </c>
      <c r="C101" s="133" t="str">
        <f t="shared" si="1"/>
        <v>8-2023</v>
      </c>
      <c r="D101" s="140" t="s">
        <v>362</v>
      </c>
      <c r="E101" s="19" t="s">
        <v>606</v>
      </c>
      <c r="F101" s="19">
        <v>897467.3</v>
      </c>
      <c r="G101" s="19">
        <v>897526.2</v>
      </c>
      <c r="H101" s="19">
        <f t="shared" si="2"/>
        <v>58.9</v>
      </c>
      <c r="I101" s="134">
        <v>235.0</v>
      </c>
      <c r="J101" s="19" t="s">
        <v>619</v>
      </c>
    </row>
    <row r="102" ht="13.5" customHeight="1">
      <c r="B102" s="27">
        <v>45165.0</v>
      </c>
      <c r="C102" s="133" t="str">
        <f t="shared" si="1"/>
        <v>8-2023</v>
      </c>
      <c r="D102" s="140" t="s">
        <v>28</v>
      </c>
      <c r="E102" s="19" t="s">
        <v>606</v>
      </c>
      <c r="F102" s="19">
        <v>897526.2</v>
      </c>
      <c r="G102" s="19">
        <v>897588.2</v>
      </c>
      <c r="H102" s="19">
        <f t="shared" si="2"/>
        <v>62</v>
      </c>
      <c r="I102" s="134"/>
      <c r="J102" s="19" t="s">
        <v>620</v>
      </c>
    </row>
    <row r="103" ht="14.25" customHeight="1">
      <c r="B103" s="27">
        <v>45167.0</v>
      </c>
      <c r="C103" s="133" t="str">
        <f t="shared" si="1"/>
        <v>8-2023</v>
      </c>
      <c r="D103" s="19" t="s">
        <v>621</v>
      </c>
      <c r="E103" s="19" t="s">
        <v>606</v>
      </c>
      <c r="F103" s="19">
        <v>897588.2</v>
      </c>
      <c r="G103" s="19">
        <v>897669.5</v>
      </c>
      <c r="H103" s="19">
        <f t="shared" si="2"/>
        <v>81.3</v>
      </c>
      <c r="I103" s="134">
        <v>267.0</v>
      </c>
      <c r="J103" s="19" t="s">
        <v>622</v>
      </c>
    </row>
    <row r="104" ht="14.25" customHeight="1">
      <c r="B104" s="27">
        <v>45168.0</v>
      </c>
      <c r="C104" s="133" t="str">
        <f t="shared" si="1"/>
        <v>8-2023</v>
      </c>
      <c r="D104" s="19" t="s">
        <v>259</v>
      </c>
      <c r="E104" s="19" t="s">
        <v>606</v>
      </c>
      <c r="F104" s="19">
        <v>897669.5</v>
      </c>
      <c r="G104" s="19">
        <v>897746.0</v>
      </c>
      <c r="H104" s="19">
        <f t="shared" si="2"/>
        <v>76.5</v>
      </c>
      <c r="I104" s="134"/>
      <c r="J104" s="19" t="s">
        <v>623</v>
      </c>
    </row>
    <row r="105" ht="14.25" customHeight="1">
      <c r="B105" s="27">
        <v>45169.0</v>
      </c>
      <c r="C105" s="133" t="str">
        <f t="shared" si="1"/>
        <v>8-2023</v>
      </c>
      <c r="D105" s="19" t="s">
        <v>624</v>
      </c>
      <c r="E105" s="19" t="s">
        <v>606</v>
      </c>
      <c r="F105" s="19">
        <v>897746.0</v>
      </c>
      <c r="G105" s="19">
        <v>897997.9</v>
      </c>
      <c r="H105" s="19">
        <f t="shared" si="2"/>
        <v>251.9</v>
      </c>
      <c r="I105" s="134"/>
      <c r="J105" s="19" t="s">
        <v>625</v>
      </c>
    </row>
    <row r="106" ht="14.25" customHeight="1">
      <c r="B106" s="27">
        <v>45170.0</v>
      </c>
      <c r="C106" s="133" t="str">
        <f t="shared" si="1"/>
        <v>9-2023</v>
      </c>
      <c r="D106" s="19" t="s">
        <v>335</v>
      </c>
      <c r="E106" s="19" t="s">
        <v>606</v>
      </c>
      <c r="F106" s="19">
        <v>897997.9</v>
      </c>
      <c r="G106" s="19">
        <v>898024.5</v>
      </c>
      <c r="H106" s="19">
        <f t="shared" si="2"/>
        <v>26.6</v>
      </c>
      <c r="I106" s="134"/>
      <c r="J106" s="19" t="s">
        <v>626</v>
      </c>
    </row>
    <row r="107" ht="14.25" customHeight="1">
      <c r="B107" s="27">
        <v>45174.0</v>
      </c>
      <c r="C107" s="133" t="str">
        <f t="shared" si="1"/>
        <v>9-2023</v>
      </c>
      <c r="D107" s="19" t="s">
        <v>187</v>
      </c>
      <c r="E107" s="19" t="s">
        <v>606</v>
      </c>
      <c r="F107" s="19">
        <v>898024.5</v>
      </c>
      <c r="G107" s="19">
        <v>898132.7</v>
      </c>
      <c r="H107" s="19">
        <f t="shared" si="2"/>
        <v>108.2</v>
      </c>
      <c r="I107" s="134">
        <v>290.0</v>
      </c>
      <c r="J107" s="19" t="s">
        <v>627</v>
      </c>
    </row>
    <row r="108" ht="14.25" customHeight="1">
      <c r="B108" s="27">
        <v>45177.0</v>
      </c>
      <c r="C108" s="133" t="str">
        <f t="shared" si="1"/>
        <v>9-2023</v>
      </c>
      <c r="D108" s="19" t="s">
        <v>628</v>
      </c>
      <c r="E108" s="19" t="s">
        <v>606</v>
      </c>
      <c r="F108" s="19">
        <v>898132.7</v>
      </c>
      <c r="G108" s="19">
        <v>898220.7</v>
      </c>
      <c r="H108" s="19">
        <f t="shared" si="2"/>
        <v>88</v>
      </c>
      <c r="I108" s="134"/>
      <c r="J108" s="19" t="s">
        <v>629</v>
      </c>
    </row>
    <row r="109" ht="14.25" customHeight="1">
      <c r="B109" s="27">
        <v>45183.0</v>
      </c>
      <c r="C109" s="133" t="str">
        <f t="shared" si="1"/>
        <v>9-2023</v>
      </c>
      <c r="D109" s="19" t="s">
        <v>259</v>
      </c>
      <c r="E109" s="19" t="s">
        <v>606</v>
      </c>
      <c r="F109" s="19">
        <v>898222.3</v>
      </c>
      <c r="G109" s="19">
        <v>898269.2</v>
      </c>
      <c r="H109" s="19">
        <f t="shared" si="2"/>
        <v>46.9</v>
      </c>
      <c r="I109" s="134"/>
      <c r="J109" s="19" t="s">
        <v>630</v>
      </c>
    </row>
    <row r="110" ht="14.25" customHeight="1">
      <c r="B110" s="27">
        <v>45184.0</v>
      </c>
      <c r="C110" s="133" t="str">
        <f t="shared" si="1"/>
        <v>9-2023</v>
      </c>
      <c r="D110" s="19" t="s">
        <v>259</v>
      </c>
      <c r="E110" s="19" t="s">
        <v>606</v>
      </c>
      <c r="F110" s="19">
        <v>898269.2</v>
      </c>
      <c r="G110" s="19">
        <v>898286.8</v>
      </c>
      <c r="H110" s="19">
        <f t="shared" si="2"/>
        <v>17.6</v>
      </c>
      <c r="I110" s="134"/>
      <c r="J110" s="19" t="s">
        <v>631</v>
      </c>
    </row>
    <row r="111" ht="14.25" customHeight="1">
      <c r="B111" s="27">
        <v>45184.0</v>
      </c>
      <c r="C111" s="133" t="str">
        <f t="shared" si="1"/>
        <v>9-2023</v>
      </c>
      <c r="D111" s="19" t="s">
        <v>259</v>
      </c>
      <c r="E111" s="19" t="s">
        <v>606</v>
      </c>
      <c r="F111" s="19">
        <v>898286.8</v>
      </c>
      <c r="G111" s="19">
        <v>898358.1</v>
      </c>
      <c r="H111" s="19">
        <f t="shared" si="2"/>
        <v>71.3</v>
      </c>
      <c r="I111" s="134"/>
      <c r="J111" s="19" t="s">
        <v>632</v>
      </c>
    </row>
    <row r="112" ht="14.25" customHeight="1">
      <c r="B112" s="27">
        <v>45187.0</v>
      </c>
      <c r="C112" s="133" t="str">
        <f t="shared" si="1"/>
        <v>9-2023</v>
      </c>
      <c r="D112" s="19" t="s">
        <v>259</v>
      </c>
      <c r="E112" s="19" t="s">
        <v>606</v>
      </c>
      <c r="F112" s="19">
        <v>898358.1</v>
      </c>
      <c r="G112" s="19">
        <v>898389.5</v>
      </c>
      <c r="H112" s="19">
        <f t="shared" si="2"/>
        <v>31.4</v>
      </c>
      <c r="I112" s="134"/>
      <c r="J112" s="19" t="s">
        <v>633</v>
      </c>
    </row>
    <row r="113" ht="14.25" customHeight="1">
      <c r="B113" s="27">
        <v>45188.0</v>
      </c>
      <c r="C113" s="133" t="str">
        <f t="shared" si="1"/>
        <v>9-2023</v>
      </c>
      <c r="D113" s="19" t="s">
        <v>259</v>
      </c>
      <c r="E113" s="19" t="s">
        <v>606</v>
      </c>
      <c r="F113" s="19">
        <v>898389.5</v>
      </c>
      <c r="G113" s="19">
        <v>898404.9</v>
      </c>
      <c r="H113" s="19">
        <f t="shared" si="2"/>
        <v>15.4</v>
      </c>
      <c r="I113" s="134"/>
      <c r="J113" s="19" t="s">
        <v>634</v>
      </c>
    </row>
    <row r="114" ht="14.25" customHeight="1">
      <c r="B114" s="27">
        <v>45188.0</v>
      </c>
      <c r="C114" s="133" t="str">
        <f t="shared" si="1"/>
        <v>9-2023</v>
      </c>
      <c r="D114" s="19" t="s">
        <v>259</v>
      </c>
      <c r="E114" s="19" t="s">
        <v>606</v>
      </c>
      <c r="F114" s="19">
        <v>898404.9</v>
      </c>
      <c r="G114" s="19">
        <v>898430.8</v>
      </c>
      <c r="H114" s="19">
        <f t="shared" si="2"/>
        <v>25.9</v>
      </c>
      <c r="I114" s="134"/>
      <c r="J114" s="19" t="s">
        <v>635</v>
      </c>
    </row>
    <row r="115" ht="14.25" customHeight="1">
      <c r="B115" s="27">
        <v>45189.0</v>
      </c>
      <c r="C115" s="133" t="str">
        <f t="shared" si="1"/>
        <v>9-2023</v>
      </c>
      <c r="D115" s="19" t="s">
        <v>259</v>
      </c>
      <c r="E115" s="19" t="s">
        <v>606</v>
      </c>
      <c r="F115" s="19">
        <v>898430.8</v>
      </c>
      <c r="G115" s="19">
        <v>898488.4</v>
      </c>
      <c r="H115" s="19">
        <f t="shared" si="2"/>
        <v>57.6</v>
      </c>
      <c r="I115" s="134"/>
      <c r="J115" s="19" t="s">
        <v>636</v>
      </c>
    </row>
    <row r="116" ht="14.25" customHeight="1">
      <c r="B116" s="27">
        <v>45194.0</v>
      </c>
      <c r="C116" s="133" t="str">
        <f t="shared" si="1"/>
        <v>9-2023</v>
      </c>
      <c r="D116" s="19" t="s">
        <v>134</v>
      </c>
      <c r="E116" s="19" t="s">
        <v>606</v>
      </c>
      <c r="F116" s="19">
        <v>898498.0</v>
      </c>
      <c r="G116" s="19">
        <v>899497.0</v>
      </c>
      <c r="H116" s="19">
        <f t="shared" si="2"/>
        <v>999</v>
      </c>
      <c r="I116" s="134">
        <v>478.0</v>
      </c>
      <c r="J116" s="19" t="s">
        <v>637</v>
      </c>
    </row>
    <row r="117" ht="14.25" customHeight="1">
      <c r="A117" s="141"/>
      <c r="B117" s="142">
        <v>45196.0</v>
      </c>
      <c r="C117" s="133" t="str">
        <f t="shared" si="1"/>
        <v>9-2023</v>
      </c>
      <c r="D117" s="143" t="s">
        <v>638</v>
      </c>
      <c r="E117" s="143" t="s">
        <v>606</v>
      </c>
      <c r="F117" s="143">
        <v>899497.0</v>
      </c>
      <c r="G117" s="143">
        <v>899652.8</v>
      </c>
      <c r="H117" s="143">
        <f t="shared" si="2"/>
        <v>155.8</v>
      </c>
      <c r="I117" s="144"/>
      <c r="J117" s="143" t="s">
        <v>639</v>
      </c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ht="14.25" customHeight="1">
      <c r="A118" s="141"/>
      <c r="B118" s="142">
        <v>45197.0</v>
      </c>
      <c r="C118" s="133" t="str">
        <f t="shared" si="1"/>
        <v>9-2023</v>
      </c>
      <c r="D118" s="143" t="s">
        <v>540</v>
      </c>
      <c r="E118" s="143" t="s">
        <v>606</v>
      </c>
      <c r="F118" s="143">
        <v>899652.8</v>
      </c>
      <c r="G118" s="143">
        <v>899798.7</v>
      </c>
      <c r="H118" s="143">
        <f t="shared" si="2"/>
        <v>145.9</v>
      </c>
      <c r="I118" s="144"/>
      <c r="J118" s="143" t="s">
        <v>640</v>
      </c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ht="14.25" customHeight="1">
      <c r="B119" s="27">
        <v>45198.0</v>
      </c>
      <c r="C119" s="133" t="str">
        <f t="shared" si="1"/>
        <v>9-2023</v>
      </c>
      <c r="D119" s="19" t="s">
        <v>641</v>
      </c>
      <c r="E119" s="19" t="s">
        <v>606</v>
      </c>
      <c r="F119" s="19">
        <v>899798.7</v>
      </c>
      <c r="G119" s="19">
        <v>900060.6</v>
      </c>
      <c r="H119" s="19">
        <f t="shared" si="2"/>
        <v>261.9</v>
      </c>
      <c r="I119" s="134"/>
      <c r="J119" s="19" t="s">
        <v>642</v>
      </c>
    </row>
    <row r="120" ht="14.25" customHeight="1">
      <c r="B120" s="27">
        <v>45201.0</v>
      </c>
      <c r="C120" s="133" t="str">
        <f t="shared" si="1"/>
        <v>10-2023</v>
      </c>
      <c r="D120" s="19" t="s">
        <v>643</v>
      </c>
      <c r="E120" s="19" t="s">
        <v>606</v>
      </c>
      <c r="F120" s="19">
        <v>900060.6</v>
      </c>
      <c r="G120" s="19">
        <v>900142.2</v>
      </c>
      <c r="H120" s="19">
        <f t="shared" si="2"/>
        <v>81.6</v>
      </c>
      <c r="I120" s="134"/>
      <c r="J120" s="19" t="s">
        <v>644</v>
      </c>
    </row>
    <row r="121" ht="14.25" customHeight="1">
      <c r="B121" s="27">
        <v>45201.0</v>
      </c>
      <c r="C121" s="133" t="str">
        <f t="shared" si="1"/>
        <v>10-2023</v>
      </c>
      <c r="D121" s="19" t="s">
        <v>259</v>
      </c>
      <c r="E121" s="19" t="s">
        <v>606</v>
      </c>
      <c r="F121" s="19">
        <v>900142.2</v>
      </c>
      <c r="G121" s="19">
        <v>900204.0</v>
      </c>
      <c r="H121" s="19">
        <f t="shared" si="2"/>
        <v>61.8</v>
      </c>
      <c r="I121" s="134"/>
      <c r="J121" s="19" t="s">
        <v>645</v>
      </c>
    </row>
    <row r="122" ht="14.25" customHeight="1">
      <c r="B122" s="27">
        <v>45202.0</v>
      </c>
      <c r="C122" s="133" t="str">
        <f t="shared" si="1"/>
        <v>10-2023</v>
      </c>
      <c r="D122" s="19" t="s">
        <v>582</v>
      </c>
      <c r="E122" s="19" t="s">
        <v>606</v>
      </c>
      <c r="F122" s="19">
        <v>900204.0</v>
      </c>
      <c r="G122" s="19">
        <v>900318.2</v>
      </c>
      <c r="H122" s="19">
        <f t="shared" si="2"/>
        <v>114.2</v>
      </c>
      <c r="I122" s="134"/>
      <c r="J122" s="19" t="s">
        <v>646</v>
      </c>
    </row>
    <row r="123" ht="14.25" customHeight="1">
      <c r="B123" s="27">
        <v>45205.0</v>
      </c>
      <c r="C123" s="133" t="str">
        <f t="shared" si="1"/>
        <v>10-2023</v>
      </c>
      <c r="D123" s="19" t="s">
        <v>647</v>
      </c>
      <c r="E123" s="19" t="s">
        <v>606</v>
      </c>
      <c r="F123" s="19">
        <v>900318.2</v>
      </c>
      <c r="G123" s="19">
        <v>900681.9</v>
      </c>
      <c r="H123" s="19">
        <f t="shared" si="2"/>
        <v>363.7</v>
      </c>
      <c r="I123" s="134">
        <v>565.0</v>
      </c>
      <c r="J123" s="19" t="s">
        <v>648</v>
      </c>
    </row>
    <row r="124" ht="14.25" customHeight="1">
      <c r="B124" s="27">
        <v>45206.0</v>
      </c>
      <c r="C124" s="133" t="str">
        <f t="shared" si="1"/>
        <v>10-2023</v>
      </c>
      <c r="D124" s="19" t="s">
        <v>582</v>
      </c>
      <c r="E124" s="19" t="s">
        <v>606</v>
      </c>
      <c r="F124" s="19">
        <v>900681.9</v>
      </c>
      <c r="G124" s="19">
        <v>900738.8</v>
      </c>
      <c r="H124" s="19">
        <f t="shared" si="2"/>
        <v>56.9</v>
      </c>
      <c r="I124" s="134"/>
      <c r="J124" s="19" t="s">
        <v>649</v>
      </c>
    </row>
    <row r="125" ht="14.25" customHeight="1">
      <c r="B125" s="27">
        <v>45210.0</v>
      </c>
      <c r="C125" s="133" t="str">
        <f t="shared" si="1"/>
        <v>10-2023</v>
      </c>
      <c r="D125" s="19" t="s">
        <v>335</v>
      </c>
      <c r="E125" s="19" t="s">
        <v>606</v>
      </c>
      <c r="F125" s="19">
        <v>900738.8</v>
      </c>
      <c r="G125" s="19">
        <v>900789.1</v>
      </c>
      <c r="H125" s="19">
        <f t="shared" si="2"/>
        <v>50.3</v>
      </c>
      <c r="I125" s="134"/>
      <c r="J125" s="19" t="s">
        <v>650</v>
      </c>
    </row>
    <row r="126" ht="14.25" customHeight="1">
      <c r="B126" s="27">
        <v>45210.0</v>
      </c>
      <c r="C126" s="133" t="str">
        <f t="shared" si="1"/>
        <v>10-2023</v>
      </c>
      <c r="D126" s="19" t="s">
        <v>259</v>
      </c>
      <c r="E126" s="19" t="s">
        <v>606</v>
      </c>
      <c r="F126" s="19">
        <v>900789.1</v>
      </c>
      <c r="G126" s="19">
        <v>900841.0</v>
      </c>
      <c r="H126" s="19">
        <f t="shared" si="2"/>
        <v>51.9</v>
      </c>
      <c r="I126" s="134"/>
      <c r="J126" s="19" t="s">
        <v>651</v>
      </c>
    </row>
    <row r="127" ht="14.25" customHeight="1">
      <c r="B127" s="27">
        <v>45212.0</v>
      </c>
      <c r="C127" s="133" t="str">
        <f t="shared" si="1"/>
        <v>10-2023</v>
      </c>
      <c r="D127" s="19" t="s">
        <v>259</v>
      </c>
      <c r="E127" s="19" t="s">
        <v>606</v>
      </c>
      <c r="F127" s="19">
        <v>900841.0</v>
      </c>
      <c r="G127" s="19">
        <v>900923.9</v>
      </c>
      <c r="H127" s="19">
        <f t="shared" si="2"/>
        <v>82.9</v>
      </c>
      <c r="I127" s="134"/>
      <c r="J127" s="19" t="s">
        <v>652</v>
      </c>
    </row>
    <row r="128" ht="14.25" customHeight="1">
      <c r="B128" s="27">
        <v>45215.0</v>
      </c>
      <c r="C128" s="133" t="str">
        <f t="shared" si="1"/>
        <v>10-2023</v>
      </c>
      <c r="D128" s="19" t="s">
        <v>653</v>
      </c>
      <c r="E128" s="19" t="s">
        <v>606</v>
      </c>
      <c r="F128" s="19">
        <v>900923.9</v>
      </c>
      <c r="G128" s="19">
        <v>901145.8</v>
      </c>
      <c r="H128" s="19">
        <f t="shared" si="2"/>
        <v>221.9</v>
      </c>
      <c r="I128" s="134">
        <v>402.0</v>
      </c>
      <c r="J128" s="19" t="s">
        <v>654</v>
      </c>
    </row>
    <row r="129" ht="14.25" customHeight="1">
      <c r="B129" s="27">
        <v>45215.0</v>
      </c>
      <c r="C129" s="133" t="str">
        <f t="shared" si="1"/>
        <v>10-2023</v>
      </c>
      <c r="D129" s="19" t="s">
        <v>641</v>
      </c>
      <c r="E129" s="19" t="s">
        <v>606</v>
      </c>
      <c r="F129" s="19">
        <v>901145.8</v>
      </c>
      <c r="G129" s="19">
        <v>901215.8</v>
      </c>
      <c r="H129" s="19">
        <f t="shared" si="2"/>
        <v>70</v>
      </c>
      <c r="I129" s="134"/>
      <c r="J129" s="19" t="s">
        <v>655</v>
      </c>
    </row>
    <row r="130" ht="14.25" customHeight="1">
      <c r="B130" s="27">
        <v>45216.0</v>
      </c>
      <c r="C130" s="133" t="str">
        <f t="shared" si="1"/>
        <v>10-2023</v>
      </c>
      <c r="D130" s="19" t="s">
        <v>641</v>
      </c>
      <c r="E130" s="19" t="s">
        <v>656</v>
      </c>
      <c r="F130" s="19">
        <v>901215.8</v>
      </c>
      <c r="G130" s="19">
        <v>901437.3</v>
      </c>
      <c r="H130" s="19">
        <f t="shared" si="2"/>
        <v>221.5</v>
      </c>
      <c r="I130" s="134"/>
      <c r="J130" s="19" t="s">
        <v>657</v>
      </c>
    </row>
    <row r="131" ht="14.25" customHeight="1">
      <c r="B131" s="27">
        <v>45218.0</v>
      </c>
      <c r="C131" s="133" t="str">
        <f t="shared" si="1"/>
        <v>10-2023</v>
      </c>
      <c r="D131" s="19" t="s">
        <v>658</v>
      </c>
      <c r="E131" s="19" t="s">
        <v>606</v>
      </c>
      <c r="F131" s="19">
        <v>901437.3</v>
      </c>
      <c r="G131" s="19">
        <v>901574.6</v>
      </c>
      <c r="H131" s="19">
        <f t="shared" si="2"/>
        <v>137.3</v>
      </c>
      <c r="I131" s="134">
        <v>423.0</v>
      </c>
      <c r="J131" s="19" t="s">
        <v>659</v>
      </c>
    </row>
    <row r="132" ht="14.25" customHeight="1">
      <c r="B132" s="27">
        <v>45220.0</v>
      </c>
      <c r="C132" s="133" t="str">
        <f t="shared" si="1"/>
        <v>10-2023</v>
      </c>
      <c r="D132" s="19" t="s">
        <v>259</v>
      </c>
      <c r="E132" s="19" t="s">
        <v>606</v>
      </c>
      <c r="F132" s="19">
        <v>901574.6</v>
      </c>
      <c r="G132" s="19">
        <v>901603.3</v>
      </c>
      <c r="H132" s="19">
        <f t="shared" si="2"/>
        <v>28.7</v>
      </c>
      <c r="I132" s="134"/>
      <c r="J132" s="19" t="s">
        <v>660</v>
      </c>
    </row>
    <row r="133" ht="14.25" customHeight="1">
      <c r="B133" s="27">
        <v>45223.0</v>
      </c>
      <c r="C133" s="133" t="str">
        <f t="shared" si="1"/>
        <v>10-2023</v>
      </c>
      <c r="D133" s="19" t="s">
        <v>259</v>
      </c>
      <c r="E133" s="19" t="s">
        <v>606</v>
      </c>
      <c r="F133" s="19">
        <v>901603.3</v>
      </c>
      <c r="G133" s="19">
        <v>901635.7</v>
      </c>
      <c r="H133" s="19">
        <f t="shared" si="2"/>
        <v>32.4</v>
      </c>
      <c r="I133" s="134"/>
      <c r="J133" s="19" t="s">
        <v>661</v>
      </c>
    </row>
    <row r="134" ht="14.25" customHeight="1">
      <c r="B134" s="27">
        <v>45225.0</v>
      </c>
      <c r="C134" s="133" t="str">
        <f t="shared" si="1"/>
        <v>10-2023</v>
      </c>
      <c r="D134" s="19" t="s">
        <v>259</v>
      </c>
      <c r="E134" s="19" t="s">
        <v>606</v>
      </c>
      <c r="F134" s="19">
        <v>901635.7</v>
      </c>
      <c r="G134" s="19">
        <v>901674.5</v>
      </c>
      <c r="H134" s="19">
        <f t="shared" si="2"/>
        <v>38.8</v>
      </c>
      <c r="I134" s="134"/>
      <c r="J134" s="19" t="s">
        <v>662</v>
      </c>
    </row>
    <row r="135" ht="14.25" customHeight="1">
      <c r="B135" s="27">
        <v>45225.0</v>
      </c>
      <c r="C135" s="133" t="str">
        <f t="shared" si="1"/>
        <v>10-2023</v>
      </c>
      <c r="D135" s="19" t="s">
        <v>134</v>
      </c>
      <c r="E135" s="19" t="s">
        <v>606</v>
      </c>
      <c r="F135" s="19">
        <v>901674.5</v>
      </c>
      <c r="G135" s="19">
        <v>901692.2</v>
      </c>
      <c r="H135" s="19">
        <f t="shared" si="2"/>
        <v>17.7</v>
      </c>
      <c r="I135" s="134"/>
      <c r="J135" s="19" t="s">
        <v>663</v>
      </c>
    </row>
    <row r="136" ht="14.25" customHeight="1">
      <c r="B136" s="27">
        <v>45226.0</v>
      </c>
      <c r="C136" s="133" t="str">
        <f t="shared" si="1"/>
        <v>10-2023</v>
      </c>
      <c r="D136" s="19" t="s">
        <v>259</v>
      </c>
      <c r="E136" s="19" t="s">
        <v>606</v>
      </c>
      <c r="F136" s="19">
        <v>901692.2</v>
      </c>
      <c r="G136" s="19">
        <v>901720.7</v>
      </c>
      <c r="H136" s="19">
        <f t="shared" si="2"/>
        <v>28.5</v>
      </c>
      <c r="I136" s="134"/>
      <c r="J136" s="19" t="s">
        <v>664</v>
      </c>
    </row>
    <row r="137" ht="14.25" customHeight="1">
      <c r="B137" s="27">
        <v>45226.0</v>
      </c>
      <c r="C137" s="133" t="str">
        <f t="shared" si="1"/>
        <v>10-2023</v>
      </c>
      <c r="D137" s="19" t="s">
        <v>643</v>
      </c>
      <c r="E137" s="19" t="s">
        <v>606</v>
      </c>
      <c r="F137" s="19">
        <v>901720.7</v>
      </c>
      <c r="G137" s="19">
        <v>901804.0</v>
      </c>
      <c r="H137" s="19">
        <f t="shared" si="2"/>
        <v>83.3</v>
      </c>
      <c r="I137" s="134"/>
      <c r="J137" s="19" t="s">
        <v>665</v>
      </c>
    </row>
    <row r="138" ht="14.25" customHeight="1">
      <c r="B138" s="27">
        <v>45229.0</v>
      </c>
      <c r="C138" s="133" t="str">
        <f t="shared" si="1"/>
        <v>10-2023</v>
      </c>
      <c r="D138" s="19" t="s">
        <v>259</v>
      </c>
      <c r="E138" s="19" t="s">
        <v>606</v>
      </c>
      <c r="F138" s="19">
        <v>901804.0</v>
      </c>
      <c r="G138" s="19">
        <v>901830.2</v>
      </c>
      <c r="H138" s="19">
        <f t="shared" si="2"/>
        <v>26.2</v>
      </c>
      <c r="I138" s="134"/>
      <c r="J138" s="19" t="s">
        <v>666</v>
      </c>
    </row>
    <row r="139" ht="14.25" customHeight="1">
      <c r="B139" s="27">
        <v>45229.0</v>
      </c>
      <c r="C139" s="133" t="str">
        <f t="shared" si="1"/>
        <v>10-2023</v>
      </c>
      <c r="D139" s="19" t="s">
        <v>259</v>
      </c>
      <c r="E139" s="19" t="s">
        <v>606</v>
      </c>
      <c r="F139" s="19">
        <v>901830.2</v>
      </c>
      <c r="G139" s="19">
        <v>901883.5</v>
      </c>
      <c r="H139" s="19">
        <f t="shared" si="2"/>
        <v>53.3</v>
      </c>
      <c r="I139" s="134"/>
      <c r="J139" s="19" t="s">
        <v>667</v>
      </c>
    </row>
    <row r="140" ht="14.25" customHeight="1">
      <c r="B140" s="27">
        <v>45230.0</v>
      </c>
      <c r="C140" s="133" t="str">
        <f t="shared" si="1"/>
        <v>10-2023</v>
      </c>
      <c r="D140" s="19" t="s">
        <v>259</v>
      </c>
      <c r="E140" s="19" t="s">
        <v>606</v>
      </c>
      <c r="F140" s="19">
        <v>901883.5</v>
      </c>
      <c r="G140" s="19">
        <v>901933.2</v>
      </c>
      <c r="H140" s="19">
        <f t="shared" si="2"/>
        <v>49.7</v>
      </c>
      <c r="I140" s="134"/>
      <c r="J140" s="19" t="s">
        <v>668</v>
      </c>
    </row>
    <row r="141" ht="14.25" customHeight="1">
      <c r="B141" s="27">
        <v>45231.0</v>
      </c>
      <c r="C141" s="133" t="str">
        <f t="shared" si="1"/>
        <v>11-2023</v>
      </c>
      <c r="D141" s="19" t="s">
        <v>669</v>
      </c>
      <c r="E141" s="19" t="s">
        <v>606</v>
      </c>
      <c r="F141" s="19">
        <v>901933.2</v>
      </c>
      <c r="G141" s="19">
        <v>902095.7</v>
      </c>
      <c r="H141" s="19">
        <f t="shared" si="2"/>
        <v>162.5</v>
      </c>
      <c r="I141" s="134"/>
      <c r="J141" s="19" t="s">
        <v>670</v>
      </c>
    </row>
    <row r="142" ht="14.25" customHeight="1">
      <c r="B142" s="27">
        <v>45232.0</v>
      </c>
      <c r="C142" s="133" t="str">
        <f t="shared" si="1"/>
        <v>11-2023</v>
      </c>
      <c r="D142" s="19" t="s">
        <v>259</v>
      </c>
      <c r="E142" s="19" t="s">
        <v>606</v>
      </c>
      <c r="F142" s="19">
        <v>902095.7</v>
      </c>
      <c r="G142" s="19">
        <v>902175.9</v>
      </c>
      <c r="H142" s="19">
        <f t="shared" si="2"/>
        <v>80.2</v>
      </c>
      <c r="I142" s="134"/>
      <c r="J142" s="19" t="s">
        <v>671</v>
      </c>
    </row>
    <row r="143" ht="14.25" customHeight="1">
      <c r="B143" s="27">
        <v>45235.0</v>
      </c>
      <c r="C143" s="133" t="str">
        <f t="shared" si="1"/>
        <v>11-2023</v>
      </c>
      <c r="D143" s="19" t="s">
        <v>26</v>
      </c>
      <c r="E143" s="19" t="s">
        <v>606</v>
      </c>
      <c r="F143" s="19">
        <v>902175.9</v>
      </c>
      <c r="G143" s="19">
        <v>902219.1</v>
      </c>
      <c r="H143" s="19">
        <f t="shared" si="2"/>
        <v>43.2</v>
      </c>
      <c r="I143" s="134"/>
      <c r="J143" s="19" t="s">
        <v>672</v>
      </c>
    </row>
    <row r="144" ht="14.25" customHeight="1">
      <c r="B144" s="27">
        <v>45237.0</v>
      </c>
      <c r="C144" s="133" t="str">
        <f t="shared" si="1"/>
        <v>11-2023</v>
      </c>
      <c r="D144" s="19" t="s">
        <v>673</v>
      </c>
      <c r="E144" s="19" t="s">
        <v>606</v>
      </c>
      <c r="F144" s="19"/>
      <c r="G144" s="19"/>
      <c r="H144" s="19">
        <f t="shared" si="2"/>
        <v>0</v>
      </c>
      <c r="I144" s="134">
        <v>407.0</v>
      </c>
      <c r="J144" s="19"/>
    </row>
    <row r="145" ht="14.25" customHeight="1">
      <c r="B145" s="27">
        <v>45240.0</v>
      </c>
      <c r="C145" s="133" t="str">
        <f t="shared" si="1"/>
        <v>11-2023</v>
      </c>
      <c r="D145" s="19" t="s">
        <v>674</v>
      </c>
      <c r="E145" s="19" t="s">
        <v>606</v>
      </c>
      <c r="F145" s="19">
        <v>902219.1</v>
      </c>
      <c r="G145" s="19">
        <v>902355.5</v>
      </c>
      <c r="H145" s="19">
        <f t="shared" si="2"/>
        <v>136.4</v>
      </c>
      <c r="I145" s="134"/>
      <c r="J145" s="19" t="s">
        <v>675</v>
      </c>
    </row>
    <row r="146" ht="14.25" customHeight="1">
      <c r="B146" s="27">
        <v>45241.0</v>
      </c>
      <c r="C146" s="133" t="str">
        <f t="shared" si="1"/>
        <v>11-2023</v>
      </c>
      <c r="D146" s="19" t="s">
        <v>259</v>
      </c>
      <c r="E146" s="19" t="s">
        <v>606</v>
      </c>
      <c r="F146" s="19">
        <v>902355.5</v>
      </c>
      <c r="G146" s="19">
        <v>902399.3</v>
      </c>
      <c r="H146" s="19">
        <f t="shared" si="2"/>
        <v>43.8</v>
      </c>
      <c r="I146" s="134"/>
      <c r="J146" s="19" t="s">
        <v>676</v>
      </c>
    </row>
    <row r="147" ht="14.25" customHeight="1">
      <c r="B147" s="27">
        <v>45243.0</v>
      </c>
      <c r="C147" s="133" t="str">
        <f t="shared" si="1"/>
        <v>11-2023</v>
      </c>
      <c r="D147" s="19" t="s">
        <v>259</v>
      </c>
      <c r="E147" s="19" t="s">
        <v>606</v>
      </c>
      <c r="F147" s="19">
        <v>902399.3</v>
      </c>
      <c r="G147" s="19">
        <v>902438.0</v>
      </c>
      <c r="H147" s="19">
        <f t="shared" si="2"/>
        <v>38.7</v>
      </c>
      <c r="I147" s="134"/>
      <c r="J147" s="19" t="s">
        <v>677</v>
      </c>
    </row>
    <row r="148" ht="14.25" customHeight="1">
      <c r="B148" s="27">
        <v>45243.0</v>
      </c>
      <c r="C148" s="133" t="str">
        <f t="shared" si="1"/>
        <v>11-2023</v>
      </c>
      <c r="D148" s="19" t="s">
        <v>259</v>
      </c>
      <c r="E148" s="19" t="s">
        <v>606</v>
      </c>
      <c r="F148" s="19">
        <v>902438.0</v>
      </c>
      <c r="G148" s="19">
        <v>902491.5</v>
      </c>
      <c r="H148" s="19">
        <f t="shared" si="2"/>
        <v>53.5</v>
      </c>
      <c r="I148" s="134"/>
      <c r="J148" s="19" t="s">
        <v>678</v>
      </c>
    </row>
    <row r="149" ht="14.25" customHeight="1">
      <c r="B149" s="27">
        <v>45244.0</v>
      </c>
      <c r="C149" s="133" t="str">
        <f t="shared" si="1"/>
        <v>11-2023</v>
      </c>
      <c r="D149" s="19" t="s">
        <v>259</v>
      </c>
      <c r="E149" s="19" t="s">
        <v>606</v>
      </c>
      <c r="F149" s="19">
        <f t="shared" ref="F149:F182" si="3">G148</f>
        <v>902491.5</v>
      </c>
      <c r="G149" s="19"/>
      <c r="H149" s="19">
        <f t="shared" si="2"/>
        <v>-902491.5</v>
      </c>
      <c r="I149" s="134"/>
      <c r="J149" s="19" t="s">
        <v>679</v>
      </c>
    </row>
    <row r="150" ht="14.25" customHeight="1">
      <c r="B150" s="27">
        <v>45244.0</v>
      </c>
      <c r="C150" s="133" t="str">
        <f t="shared" si="1"/>
        <v>11-2023</v>
      </c>
      <c r="D150" s="19" t="s">
        <v>669</v>
      </c>
      <c r="E150" s="19" t="s">
        <v>606</v>
      </c>
      <c r="F150" s="19" t="str">
        <f t="shared" si="3"/>
        <v/>
      </c>
      <c r="G150" s="19"/>
      <c r="H150" s="19">
        <f t="shared" si="2"/>
        <v>0</v>
      </c>
      <c r="I150" s="134"/>
      <c r="J150" s="19" t="s">
        <v>680</v>
      </c>
    </row>
    <row r="151" ht="14.25" customHeight="1">
      <c r="B151" s="27">
        <v>45244.0</v>
      </c>
      <c r="C151" s="133" t="str">
        <f t="shared" si="1"/>
        <v>11-2023</v>
      </c>
      <c r="D151" s="19" t="s">
        <v>335</v>
      </c>
      <c r="E151" s="19" t="s">
        <v>606</v>
      </c>
      <c r="F151" s="19" t="str">
        <f t="shared" si="3"/>
        <v/>
      </c>
      <c r="G151" s="19"/>
      <c r="H151" s="19">
        <f t="shared" si="2"/>
        <v>0</v>
      </c>
      <c r="I151" s="134"/>
      <c r="J151" s="19" t="s">
        <v>681</v>
      </c>
    </row>
    <row r="152" ht="14.25" customHeight="1">
      <c r="B152" s="27">
        <v>45245.0</v>
      </c>
      <c r="C152" s="133" t="str">
        <f t="shared" si="1"/>
        <v>11-2023</v>
      </c>
      <c r="D152" s="19" t="s">
        <v>682</v>
      </c>
      <c r="E152" s="19" t="s">
        <v>606</v>
      </c>
      <c r="F152" s="19" t="str">
        <f t="shared" si="3"/>
        <v/>
      </c>
      <c r="G152" s="19"/>
      <c r="H152" s="19">
        <f t="shared" si="2"/>
        <v>0</v>
      </c>
      <c r="I152" s="134">
        <v>341.0</v>
      </c>
      <c r="J152" s="19"/>
    </row>
    <row r="153" ht="14.25" customHeight="1">
      <c r="B153" s="27">
        <v>45245.0</v>
      </c>
      <c r="C153" s="133" t="str">
        <f t="shared" si="1"/>
        <v>11-2023</v>
      </c>
      <c r="D153" s="19" t="s">
        <v>259</v>
      </c>
      <c r="E153" s="19" t="s">
        <v>606</v>
      </c>
      <c r="F153" s="19" t="str">
        <f t="shared" si="3"/>
        <v/>
      </c>
      <c r="G153" s="19"/>
      <c r="H153" s="19">
        <f t="shared" si="2"/>
        <v>0</v>
      </c>
      <c r="I153" s="134"/>
      <c r="J153" s="19" t="s">
        <v>683</v>
      </c>
    </row>
    <row r="154" ht="14.25" customHeight="1">
      <c r="B154" s="27">
        <v>45246.0</v>
      </c>
      <c r="C154" s="133" t="str">
        <f t="shared" si="1"/>
        <v>11-2023</v>
      </c>
      <c r="D154" s="19" t="s">
        <v>259</v>
      </c>
      <c r="E154" s="19" t="s">
        <v>606</v>
      </c>
      <c r="F154" s="19" t="str">
        <f t="shared" si="3"/>
        <v/>
      </c>
      <c r="G154" s="19"/>
      <c r="H154" s="19">
        <f t="shared" si="2"/>
        <v>0</v>
      </c>
      <c r="I154" s="134"/>
      <c r="J154" s="19" t="s">
        <v>684</v>
      </c>
    </row>
    <row r="155" ht="14.25" customHeight="1">
      <c r="B155" s="27">
        <v>45247.0</v>
      </c>
      <c r="C155" s="133" t="str">
        <f t="shared" si="1"/>
        <v>11-2023</v>
      </c>
      <c r="D155" s="19" t="s">
        <v>576</v>
      </c>
      <c r="E155" s="19" t="s">
        <v>606</v>
      </c>
      <c r="F155" s="19" t="str">
        <f t="shared" si="3"/>
        <v/>
      </c>
      <c r="G155" s="19"/>
      <c r="H155" s="19">
        <f t="shared" si="2"/>
        <v>0</v>
      </c>
      <c r="I155" s="134"/>
      <c r="J155" s="19" t="s">
        <v>685</v>
      </c>
    </row>
    <row r="156" ht="14.25" customHeight="1">
      <c r="B156" s="27">
        <v>45247.0</v>
      </c>
      <c r="C156" s="133" t="str">
        <f t="shared" si="1"/>
        <v>11-2023</v>
      </c>
      <c r="D156" s="19" t="s">
        <v>259</v>
      </c>
      <c r="E156" s="19" t="s">
        <v>606</v>
      </c>
      <c r="F156" s="19" t="str">
        <f t="shared" si="3"/>
        <v/>
      </c>
      <c r="G156" s="19"/>
      <c r="H156" s="19">
        <f t="shared" si="2"/>
        <v>0</v>
      </c>
      <c r="I156" s="134"/>
      <c r="J156" s="19" t="s">
        <v>686</v>
      </c>
    </row>
    <row r="157" ht="14.25" customHeight="1">
      <c r="B157" s="27">
        <v>45248.0</v>
      </c>
      <c r="C157" s="133" t="str">
        <f t="shared" si="1"/>
        <v>11-2023</v>
      </c>
      <c r="D157" s="19" t="s">
        <v>259</v>
      </c>
      <c r="E157" s="19" t="s">
        <v>606</v>
      </c>
      <c r="F157" s="19" t="str">
        <f t="shared" si="3"/>
        <v/>
      </c>
      <c r="G157" s="19"/>
      <c r="H157" s="19">
        <f t="shared" si="2"/>
        <v>0</v>
      </c>
      <c r="I157" s="134"/>
      <c r="J157" s="19" t="s">
        <v>687</v>
      </c>
    </row>
    <row r="158" ht="14.25" customHeight="1">
      <c r="B158" s="27">
        <v>45248.0</v>
      </c>
      <c r="C158" s="133" t="str">
        <f t="shared" si="1"/>
        <v>11-2023</v>
      </c>
      <c r="D158" s="19" t="s">
        <v>259</v>
      </c>
      <c r="E158" s="19" t="s">
        <v>606</v>
      </c>
      <c r="F158" s="19" t="str">
        <f t="shared" si="3"/>
        <v/>
      </c>
      <c r="G158" s="19"/>
      <c r="H158" s="19">
        <f t="shared" si="2"/>
        <v>0</v>
      </c>
      <c r="I158" s="134"/>
      <c r="J158" s="19" t="s">
        <v>347</v>
      </c>
    </row>
    <row r="159" ht="14.25" customHeight="1">
      <c r="B159" s="27">
        <v>45250.0</v>
      </c>
      <c r="C159" s="133" t="str">
        <f t="shared" si="1"/>
        <v>11-2023</v>
      </c>
      <c r="D159" s="19" t="s">
        <v>335</v>
      </c>
      <c r="E159" s="19" t="s">
        <v>688</v>
      </c>
      <c r="F159" s="19" t="str">
        <f t="shared" si="3"/>
        <v/>
      </c>
      <c r="G159" s="19"/>
      <c r="H159" s="19">
        <f t="shared" si="2"/>
        <v>0</v>
      </c>
      <c r="I159" s="134"/>
      <c r="J159" s="19" t="s">
        <v>689</v>
      </c>
    </row>
    <row r="160" ht="14.25" customHeight="1">
      <c r="B160" s="27">
        <v>45250.0</v>
      </c>
      <c r="C160" s="133" t="str">
        <f t="shared" si="1"/>
        <v>11-2023</v>
      </c>
      <c r="D160" s="19" t="s">
        <v>658</v>
      </c>
      <c r="E160" s="19" t="s">
        <v>688</v>
      </c>
      <c r="F160" s="19" t="str">
        <f t="shared" si="3"/>
        <v/>
      </c>
      <c r="G160" s="19"/>
      <c r="H160" s="19">
        <f t="shared" si="2"/>
        <v>0</v>
      </c>
      <c r="I160" s="134">
        <v>573.0</v>
      </c>
      <c r="J160" s="19" t="s">
        <v>690</v>
      </c>
    </row>
    <row r="161" ht="14.25" customHeight="1">
      <c r="B161" s="27">
        <v>45250.0</v>
      </c>
      <c r="C161" s="133" t="str">
        <f t="shared" si="1"/>
        <v>11-2023</v>
      </c>
      <c r="D161" s="19" t="s">
        <v>658</v>
      </c>
      <c r="E161" s="19" t="s">
        <v>691</v>
      </c>
      <c r="F161" s="19" t="str">
        <f t="shared" si="3"/>
        <v/>
      </c>
      <c r="G161" s="19"/>
      <c r="H161" s="19">
        <f t="shared" si="2"/>
        <v>0</v>
      </c>
      <c r="I161" s="134"/>
      <c r="J161" s="19" t="s">
        <v>692</v>
      </c>
    </row>
    <row r="162" ht="14.25" customHeight="1">
      <c r="B162" s="27">
        <v>45252.0</v>
      </c>
      <c r="C162" s="133" t="str">
        <f t="shared" si="1"/>
        <v>11-2023</v>
      </c>
      <c r="D162" s="19" t="s">
        <v>259</v>
      </c>
      <c r="E162" s="19" t="s">
        <v>688</v>
      </c>
      <c r="F162" s="19" t="str">
        <f t="shared" si="3"/>
        <v/>
      </c>
      <c r="G162" s="19"/>
      <c r="H162" s="19">
        <f t="shared" si="2"/>
        <v>0</v>
      </c>
      <c r="I162" s="134">
        <v>319.0</v>
      </c>
      <c r="J162" s="19" t="s">
        <v>693</v>
      </c>
    </row>
    <row r="163" ht="14.25" customHeight="1">
      <c r="B163" s="27">
        <v>45253.0</v>
      </c>
      <c r="C163" s="133" t="str">
        <f t="shared" si="1"/>
        <v>11-2023</v>
      </c>
      <c r="D163" s="19" t="s">
        <v>259</v>
      </c>
      <c r="E163" s="19" t="s">
        <v>688</v>
      </c>
      <c r="F163" s="19" t="str">
        <f t="shared" si="3"/>
        <v/>
      </c>
      <c r="G163" s="19"/>
      <c r="H163" s="19">
        <f t="shared" si="2"/>
        <v>0</v>
      </c>
      <c r="I163" s="134"/>
      <c r="J163" s="19" t="s">
        <v>694</v>
      </c>
    </row>
    <row r="164" ht="14.25" customHeight="1">
      <c r="B164" s="27">
        <v>45254.0</v>
      </c>
      <c r="C164" s="133" t="str">
        <f t="shared" si="1"/>
        <v>11-2023</v>
      </c>
      <c r="D164" s="19" t="s">
        <v>658</v>
      </c>
      <c r="E164" s="19" t="s">
        <v>695</v>
      </c>
      <c r="F164" s="19" t="str">
        <f t="shared" si="3"/>
        <v/>
      </c>
      <c r="G164" s="19"/>
      <c r="H164" s="19">
        <f t="shared" si="2"/>
        <v>0</v>
      </c>
      <c r="I164" s="134"/>
      <c r="J164" s="19" t="s">
        <v>696</v>
      </c>
    </row>
    <row r="165" ht="14.25" customHeight="1">
      <c r="B165" s="27">
        <v>45255.0</v>
      </c>
      <c r="C165" s="133" t="str">
        <f t="shared" si="1"/>
        <v>11-2023</v>
      </c>
      <c r="D165" s="19" t="s">
        <v>26</v>
      </c>
      <c r="E165" s="19" t="s">
        <v>695</v>
      </c>
      <c r="F165" s="19" t="str">
        <f t="shared" si="3"/>
        <v/>
      </c>
      <c r="G165" s="19"/>
      <c r="H165" s="19">
        <f t="shared" si="2"/>
        <v>0</v>
      </c>
      <c r="I165" s="134"/>
      <c r="J165" s="19" t="s">
        <v>697</v>
      </c>
    </row>
    <row r="166" ht="14.25" customHeight="1">
      <c r="B166" s="27">
        <v>45257.0</v>
      </c>
      <c r="C166" s="133" t="str">
        <f t="shared" si="1"/>
        <v>11-2023</v>
      </c>
      <c r="D166" s="19" t="s">
        <v>259</v>
      </c>
      <c r="E166" s="19" t="s">
        <v>543</v>
      </c>
      <c r="F166" s="19" t="str">
        <f t="shared" si="3"/>
        <v/>
      </c>
      <c r="G166" s="19"/>
      <c r="H166" s="19">
        <f t="shared" si="2"/>
        <v>0</v>
      </c>
      <c r="I166" s="134"/>
      <c r="J166" s="19" t="s">
        <v>698</v>
      </c>
    </row>
    <row r="167" ht="14.25" customHeight="1">
      <c r="B167" s="27">
        <v>45258.0</v>
      </c>
      <c r="C167" s="133" t="str">
        <f t="shared" si="1"/>
        <v>11-2023</v>
      </c>
      <c r="D167" s="19" t="s">
        <v>259</v>
      </c>
      <c r="E167" s="19" t="s">
        <v>543</v>
      </c>
      <c r="F167" s="19" t="str">
        <f t="shared" si="3"/>
        <v/>
      </c>
      <c r="G167" s="19"/>
      <c r="H167" s="19">
        <f t="shared" si="2"/>
        <v>0</v>
      </c>
      <c r="I167" s="134">
        <v>448.0</v>
      </c>
      <c r="J167" s="19" t="s">
        <v>699</v>
      </c>
    </row>
    <row r="168" ht="14.25" customHeight="1">
      <c r="B168" s="27">
        <v>45264.0</v>
      </c>
      <c r="C168" s="133" t="str">
        <f t="shared" si="1"/>
        <v>12-2023</v>
      </c>
      <c r="D168" s="19" t="s">
        <v>700</v>
      </c>
      <c r="E168" s="19" t="s">
        <v>540</v>
      </c>
      <c r="F168" s="19" t="str">
        <f t="shared" si="3"/>
        <v/>
      </c>
      <c r="G168" s="19"/>
      <c r="H168" s="19">
        <f t="shared" si="2"/>
        <v>0</v>
      </c>
      <c r="I168" s="134"/>
      <c r="J168" s="19" t="s">
        <v>701</v>
      </c>
    </row>
    <row r="169" ht="14.25" customHeight="1">
      <c r="B169" s="27">
        <v>45265.0</v>
      </c>
      <c r="C169" s="133" t="str">
        <f t="shared" si="1"/>
        <v>12-2023</v>
      </c>
      <c r="D169" s="19" t="s">
        <v>628</v>
      </c>
      <c r="E169" s="19" t="s">
        <v>540</v>
      </c>
      <c r="F169" s="19" t="str">
        <f t="shared" si="3"/>
        <v/>
      </c>
      <c r="G169" s="19"/>
      <c r="H169" s="19">
        <f t="shared" si="2"/>
        <v>0</v>
      </c>
      <c r="I169" s="134"/>
      <c r="J169" s="19" t="s">
        <v>702</v>
      </c>
    </row>
    <row r="170" ht="14.25" customHeight="1">
      <c r="B170" s="27">
        <v>45267.0</v>
      </c>
      <c r="C170" s="133" t="str">
        <f t="shared" si="1"/>
        <v>12-2023</v>
      </c>
      <c r="D170" s="19" t="s">
        <v>259</v>
      </c>
      <c r="E170" s="19" t="s">
        <v>540</v>
      </c>
      <c r="F170" s="19" t="str">
        <f t="shared" si="3"/>
        <v/>
      </c>
      <c r="G170" s="19"/>
      <c r="H170" s="19">
        <f t="shared" si="2"/>
        <v>0</v>
      </c>
      <c r="I170" s="134"/>
      <c r="J170" s="19" t="s">
        <v>703</v>
      </c>
    </row>
    <row r="171" ht="14.25" customHeight="1">
      <c r="B171" s="27">
        <v>45269.0</v>
      </c>
      <c r="C171" s="133" t="str">
        <f t="shared" si="1"/>
        <v>12-2023</v>
      </c>
      <c r="D171" s="19" t="s">
        <v>546</v>
      </c>
      <c r="E171" s="19" t="s">
        <v>540</v>
      </c>
      <c r="F171" s="19" t="str">
        <f t="shared" si="3"/>
        <v/>
      </c>
      <c r="G171" s="19"/>
      <c r="H171" s="19">
        <f t="shared" si="2"/>
        <v>0</v>
      </c>
      <c r="I171" s="134"/>
      <c r="J171" s="19" t="s">
        <v>704</v>
      </c>
    </row>
    <row r="172" ht="14.25" customHeight="1">
      <c r="B172" s="27">
        <v>45271.0</v>
      </c>
      <c r="C172" s="133" t="str">
        <f t="shared" si="1"/>
        <v>12-2023</v>
      </c>
      <c r="D172" s="19" t="s">
        <v>259</v>
      </c>
      <c r="E172" s="19" t="s">
        <v>540</v>
      </c>
      <c r="F172" s="19" t="str">
        <f t="shared" si="3"/>
        <v/>
      </c>
      <c r="G172" s="19"/>
      <c r="H172" s="19">
        <f t="shared" si="2"/>
        <v>0</v>
      </c>
      <c r="I172" s="134"/>
      <c r="J172" s="19" t="s">
        <v>705</v>
      </c>
    </row>
    <row r="173" ht="14.25" customHeight="1">
      <c r="B173" s="27">
        <v>45272.0</v>
      </c>
      <c r="C173" s="133" t="str">
        <f t="shared" si="1"/>
        <v>12-2023</v>
      </c>
      <c r="D173" s="19" t="s">
        <v>26</v>
      </c>
      <c r="E173" s="19" t="s">
        <v>540</v>
      </c>
      <c r="F173" s="19" t="str">
        <f t="shared" si="3"/>
        <v/>
      </c>
      <c r="G173" s="19"/>
      <c r="H173" s="19">
        <f t="shared" si="2"/>
        <v>0</v>
      </c>
      <c r="I173" s="134"/>
      <c r="J173" s="19" t="s">
        <v>706</v>
      </c>
    </row>
    <row r="174" ht="14.25" customHeight="1">
      <c r="B174" s="27">
        <v>45273.0</v>
      </c>
      <c r="C174" s="133" t="str">
        <f t="shared" si="1"/>
        <v>12-2023</v>
      </c>
      <c r="D174" s="19" t="s">
        <v>707</v>
      </c>
      <c r="E174" s="19" t="s">
        <v>540</v>
      </c>
      <c r="F174" s="19" t="str">
        <f t="shared" si="3"/>
        <v/>
      </c>
      <c r="G174" s="19"/>
      <c r="H174" s="19">
        <f t="shared" si="2"/>
        <v>0</v>
      </c>
      <c r="I174" s="134"/>
      <c r="J174" s="19" t="s">
        <v>708</v>
      </c>
    </row>
    <row r="175" ht="14.25" customHeight="1">
      <c r="B175" s="27">
        <v>45274.0</v>
      </c>
      <c r="C175" s="133" t="str">
        <f t="shared" si="1"/>
        <v>12-2023</v>
      </c>
      <c r="D175" s="19" t="s">
        <v>709</v>
      </c>
      <c r="E175" s="19" t="s">
        <v>540</v>
      </c>
      <c r="F175" s="19" t="str">
        <f t="shared" si="3"/>
        <v/>
      </c>
      <c r="G175" s="19"/>
      <c r="H175" s="19">
        <f t="shared" si="2"/>
        <v>0</v>
      </c>
      <c r="I175" s="134"/>
      <c r="J175" s="19" t="s">
        <v>710</v>
      </c>
    </row>
    <row r="176" ht="14.25" customHeight="1">
      <c r="B176" s="27">
        <v>45248.0</v>
      </c>
      <c r="C176" s="133" t="str">
        <f t="shared" si="1"/>
        <v>11-2023</v>
      </c>
      <c r="D176" s="19" t="s">
        <v>711</v>
      </c>
      <c r="E176" s="19" t="s">
        <v>540</v>
      </c>
      <c r="F176" s="19" t="str">
        <f t="shared" si="3"/>
        <v/>
      </c>
      <c r="G176" s="19"/>
      <c r="H176" s="19">
        <f t="shared" si="2"/>
        <v>0</v>
      </c>
      <c r="I176" s="134"/>
      <c r="J176" s="19" t="s">
        <v>712</v>
      </c>
    </row>
    <row r="177" ht="14.25" customHeight="1">
      <c r="B177" s="27">
        <v>45279.0</v>
      </c>
      <c r="C177" s="133" t="str">
        <f t="shared" si="1"/>
        <v>12-2023</v>
      </c>
      <c r="D177" s="19" t="s">
        <v>397</v>
      </c>
      <c r="E177" s="19" t="s">
        <v>543</v>
      </c>
      <c r="F177" s="19" t="str">
        <f t="shared" si="3"/>
        <v/>
      </c>
      <c r="G177" s="19"/>
      <c r="H177" s="19">
        <f t="shared" si="2"/>
        <v>0</v>
      </c>
      <c r="I177" s="134"/>
      <c r="J177" s="19" t="s">
        <v>713</v>
      </c>
    </row>
    <row r="178" ht="14.25" customHeight="1">
      <c r="B178" s="27">
        <v>45280.0</v>
      </c>
      <c r="C178" s="133" t="str">
        <f t="shared" si="1"/>
        <v>12-2023</v>
      </c>
      <c r="D178" s="19" t="s">
        <v>711</v>
      </c>
      <c r="E178" s="19" t="s">
        <v>540</v>
      </c>
      <c r="F178" s="19" t="str">
        <f t="shared" si="3"/>
        <v/>
      </c>
      <c r="G178" s="19"/>
      <c r="H178" s="19">
        <f t="shared" si="2"/>
        <v>0</v>
      </c>
      <c r="I178" s="134"/>
      <c r="J178" s="19" t="s">
        <v>714</v>
      </c>
    </row>
    <row r="179" ht="14.25" customHeight="1">
      <c r="B179" s="27">
        <v>45282.0</v>
      </c>
      <c r="C179" s="133" t="str">
        <f t="shared" si="1"/>
        <v>12-2023</v>
      </c>
      <c r="D179" s="19" t="s">
        <v>397</v>
      </c>
      <c r="E179" s="19" t="s">
        <v>540</v>
      </c>
      <c r="F179" s="19" t="str">
        <f t="shared" si="3"/>
        <v/>
      </c>
      <c r="G179" s="19"/>
      <c r="H179" s="19">
        <f t="shared" si="2"/>
        <v>0</v>
      </c>
      <c r="I179" s="134"/>
      <c r="J179" s="19" t="s">
        <v>713</v>
      </c>
    </row>
    <row r="180" ht="14.25" customHeight="1">
      <c r="B180" s="27">
        <v>45288.0</v>
      </c>
      <c r="C180" s="133" t="str">
        <f t="shared" si="1"/>
        <v>12-2023</v>
      </c>
      <c r="D180" s="19" t="s">
        <v>715</v>
      </c>
      <c r="E180" s="19" t="s">
        <v>540</v>
      </c>
      <c r="F180" s="19" t="str">
        <f t="shared" si="3"/>
        <v/>
      </c>
      <c r="G180" s="19"/>
      <c r="H180" s="19">
        <f t="shared" si="2"/>
        <v>0</v>
      </c>
      <c r="I180" s="134"/>
      <c r="J180" s="19" t="s">
        <v>716</v>
      </c>
    </row>
    <row r="181" ht="14.25" customHeight="1">
      <c r="B181" s="27">
        <v>45289.0</v>
      </c>
      <c r="C181" s="133" t="str">
        <f t="shared" si="1"/>
        <v>12-2023</v>
      </c>
      <c r="D181" s="19" t="s">
        <v>58</v>
      </c>
      <c r="E181" s="19" t="s">
        <v>540</v>
      </c>
      <c r="F181" s="19" t="str">
        <f t="shared" si="3"/>
        <v/>
      </c>
      <c r="G181" s="19"/>
      <c r="H181" s="19">
        <f t="shared" si="2"/>
        <v>0</v>
      </c>
      <c r="I181" s="134"/>
      <c r="J181" s="19" t="s">
        <v>717</v>
      </c>
    </row>
    <row r="182" ht="14.25" customHeight="1">
      <c r="B182" s="27">
        <v>45289.0</v>
      </c>
      <c r="C182" s="133" t="str">
        <f t="shared" si="1"/>
        <v>12-2023</v>
      </c>
      <c r="D182" s="19" t="s">
        <v>643</v>
      </c>
      <c r="E182" s="19" t="s">
        <v>543</v>
      </c>
      <c r="F182" s="19" t="str">
        <f t="shared" si="3"/>
        <v/>
      </c>
      <c r="G182" s="19"/>
      <c r="H182" s="19">
        <f t="shared" si="2"/>
        <v>0</v>
      </c>
      <c r="I182" s="134"/>
      <c r="J182" s="19" t="s">
        <v>718</v>
      </c>
    </row>
    <row r="183" ht="14.25" customHeight="1">
      <c r="B183" s="41">
        <v>45659.0</v>
      </c>
      <c r="C183" s="133" t="str">
        <f t="shared" si="1"/>
        <v>1-2025</v>
      </c>
      <c r="D183" s="29" t="s">
        <v>479</v>
      </c>
      <c r="E183" s="19" t="s">
        <v>695</v>
      </c>
      <c r="F183" s="29">
        <v>932186.7</v>
      </c>
      <c r="G183" s="29">
        <v>932282.0</v>
      </c>
      <c r="H183" s="19">
        <f t="shared" si="2"/>
        <v>95.3</v>
      </c>
      <c r="I183" s="134"/>
      <c r="J183" s="29" t="s">
        <v>719</v>
      </c>
    </row>
    <row r="184" ht="14.25" customHeight="1">
      <c r="B184" s="41">
        <v>45660.0</v>
      </c>
      <c r="C184" s="133" t="str">
        <f t="shared" si="1"/>
        <v>1-2025</v>
      </c>
      <c r="D184" s="29" t="s">
        <v>479</v>
      </c>
      <c r="E184" s="19" t="s">
        <v>695</v>
      </c>
      <c r="F184" s="19">
        <f t="shared" ref="F184:F195" si="4">G183</f>
        <v>932282</v>
      </c>
      <c r="G184" s="29">
        <v>932334.7</v>
      </c>
      <c r="H184" s="19">
        <f t="shared" si="2"/>
        <v>52.7</v>
      </c>
      <c r="I184" s="134"/>
      <c r="J184" s="29" t="s">
        <v>720</v>
      </c>
    </row>
    <row r="185" ht="14.25" customHeight="1">
      <c r="B185" s="41">
        <v>45662.0</v>
      </c>
      <c r="C185" s="133" t="str">
        <f t="shared" si="1"/>
        <v>1-2025</v>
      </c>
      <c r="D185" s="29" t="s">
        <v>479</v>
      </c>
      <c r="E185" s="19" t="s">
        <v>695</v>
      </c>
      <c r="F185" s="19">
        <f t="shared" si="4"/>
        <v>932334.7</v>
      </c>
      <c r="G185" s="29">
        <v>932446.7</v>
      </c>
      <c r="H185" s="19">
        <f t="shared" si="2"/>
        <v>112</v>
      </c>
      <c r="I185" s="134"/>
      <c r="J185" s="29" t="s">
        <v>721</v>
      </c>
    </row>
    <row r="186" ht="14.25" customHeight="1">
      <c r="B186" s="41">
        <v>45664.0</v>
      </c>
      <c r="C186" s="133" t="str">
        <f t="shared" si="1"/>
        <v>1-2025</v>
      </c>
      <c r="D186" s="29" t="s">
        <v>722</v>
      </c>
      <c r="E186" s="19" t="s">
        <v>695</v>
      </c>
      <c r="F186" s="19">
        <f t="shared" si="4"/>
        <v>932446.7</v>
      </c>
      <c r="G186" s="29">
        <v>932838.7</v>
      </c>
      <c r="H186" s="19">
        <f t="shared" si="2"/>
        <v>392</v>
      </c>
      <c r="I186" s="134"/>
      <c r="J186" s="29" t="s">
        <v>723</v>
      </c>
    </row>
    <row r="187" ht="14.25" customHeight="1">
      <c r="B187" s="41">
        <v>45667.0</v>
      </c>
      <c r="C187" s="133" t="str">
        <f t="shared" si="1"/>
        <v>1-2025</v>
      </c>
      <c r="D187" s="29" t="s">
        <v>479</v>
      </c>
      <c r="E187" s="19" t="s">
        <v>695</v>
      </c>
      <c r="F187" s="19">
        <f t="shared" si="4"/>
        <v>932838.7</v>
      </c>
      <c r="G187" s="29">
        <v>932941.7</v>
      </c>
      <c r="H187" s="19">
        <f t="shared" si="2"/>
        <v>103</v>
      </c>
      <c r="I187" s="134"/>
      <c r="J187" s="29" t="s">
        <v>724</v>
      </c>
    </row>
    <row r="188" ht="14.25" customHeight="1">
      <c r="B188" s="41">
        <v>45668.0</v>
      </c>
      <c r="C188" s="133" t="str">
        <f t="shared" si="1"/>
        <v>1-2025</v>
      </c>
      <c r="D188" s="29" t="s">
        <v>725</v>
      </c>
      <c r="E188" s="19" t="s">
        <v>695</v>
      </c>
      <c r="F188" s="19">
        <f t="shared" si="4"/>
        <v>932941.7</v>
      </c>
      <c r="G188" s="29">
        <v>933010.3</v>
      </c>
      <c r="H188" s="19">
        <f t="shared" si="2"/>
        <v>68.6</v>
      </c>
      <c r="I188" s="134"/>
      <c r="J188" s="29" t="s">
        <v>726</v>
      </c>
    </row>
    <row r="189" ht="14.25" customHeight="1">
      <c r="B189" s="41">
        <v>45670.0</v>
      </c>
      <c r="C189" s="133" t="str">
        <f t="shared" si="1"/>
        <v>1-2025</v>
      </c>
      <c r="D189" s="29" t="s">
        <v>479</v>
      </c>
      <c r="E189" s="19" t="s">
        <v>695</v>
      </c>
      <c r="F189" s="19">
        <f t="shared" si="4"/>
        <v>933010.3</v>
      </c>
      <c r="G189" s="29">
        <v>933148.8</v>
      </c>
      <c r="H189" s="19">
        <f t="shared" si="2"/>
        <v>138.5</v>
      </c>
      <c r="I189" s="134"/>
      <c r="J189" s="29" t="s">
        <v>727</v>
      </c>
    </row>
    <row r="190" ht="14.25" customHeight="1">
      <c r="B190" s="41">
        <v>45671.0</v>
      </c>
      <c r="C190" s="133" t="str">
        <f t="shared" si="1"/>
        <v>1-2025</v>
      </c>
      <c r="D190" s="29" t="s">
        <v>479</v>
      </c>
      <c r="E190" s="19" t="s">
        <v>695</v>
      </c>
      <c r="F190" s="19">
        <f t="shared" si="4"/>
        <v>933148.8</v>
      </c>
      <c r="G190" s="29">
        <v>933193.7</v>
      </c>
      <c r="H190" s="19">
        <f t="shared" si="2"/>
        <v>44.9</v>
      </c>
      <c r="I190" s="134"/>
      <c r="J190" s="29" t="s">
        <v>728</v>
      </c>
    </row>
    <row r="191" ht="14.25" customHeight="1">
      <c r="B191" s="41">
        <v>45672.0</v>
      </c>
      <c r="C191" s="133" t="str">
        <f t="shared" si="1"/>
        <v>1-2025</v>
      </c>
      <c r="D191" s="29" t="s">
        <v>479</v>
      </c>
      <c r="E191" s="19" t="s">
        <v>695</v>
      </c>
      <c r="F191" s="19">
        <f t="shared" si="4"/>
        <v>933193.7</v>
      </c>
      <c r="G191" s="29">
        <v>933294.0</v>
      </c>
      <c r="H191" s="19">
        <f t="shared" si="2"/>
        <v>100.3</v>
      </c>
      <c r="I191" s="134"/>
      <c r="J191" s="29" t="s">
        <v>729</v>
      </c>
    </row>
    <row r="192" ht="14.25" customHeight="1">
      <c r="B192" s="41">
        <v>45674.0</v>
      </c>
      <c r="C192" s="133" t="str">
        <f t="shared" si="1"/>
        <v>1-2025</v>
      </c>
      <c r="D192" s="29" t="s">
        <v>479</v>
      </c>
      <c r="E192" s="19" t="s">
        <v>695</v>
      </c>
      <c r="F192" s="19">
        <f t="shared" si="4"/>
        <v>933294</v>
      </c>
      <c r="G192" s="29">
        <v>933401.1</v>
      </c>
      <c r="H192" s="19">
        <f t="shared" si="2"/>
        <v>107.1</v>
      </c>
      <c r="I192" s="134"/>
      <c r="J192" s="29" t="s">
        <v>730</v>
      </c>
    </row>
    <row r="193" ht="14.25" customHeight="1">
      <c r="B193" s="41">
        <v>45675.0</v>
      </c>
      <c r="C193" s="133" t="str">
        <f t="shared" si="1"/>
        <v>1-2025</v>
      </c>
      <c r="D193" s="29" t="s">
        <v>479</v>
      </c>
      <c r="E193" s="19" t="s">
        <v>695</v>
      </c>
      <c r="F193" s="19">
        <f t="shared" si="4"/>
        <v>933401.1</v>
      </c>
      <c r="G193" s="29">
        <v>933592.0</v>
      </c>
      <c r="H193" s="19">
        <f t="shared" si="2"/>
        <v>190.9</v>
      </c>
      <c r="I193" s="134"/>
      <c r="J193" s="29" t="s">
        <v>731</v>
      </c>
    </row>
    <row r="194" ht="14.25" customHeight="1">
      <c r="B194" s="41">
        <v>45687.0</v>
      </c>
      <c r="C194" s="133" t="str">
        <f t="shared" si="1"/>
        <v>1-2025</v>
      </c>
      <c r="D194" s="29" t="s">
        <v>479</v>
      </c>
      <c r="E194" s="19" t="s">
        <v>695</v>
      </c>
      <c r="F194" s="19">
        <f t="shared" si="4"/>
        <v>933592</v>
      </c>
      <c r="G194" s="29">
        <v>933693.0</v>
      </c>
      <c r="H194" s="19">
        <f t="shared" si="2"/>
        <v>101</v>
      </c>
      <c r="I194" s="134"/>
      <c r="J194" s="29" t="s">
        <v>732</v>
      </c>
    </row>
    <row r="195" ht="14.25" customHeight="1">
      <c r="B195" s="41">
        <v>45688.0</v>
      </c>
      <c r="C195" s="133" t="str">
        <f t="shared" si="1"/>
        <v>1-2025</v>
      </c>
      <c r="D195" s="29" t="s">
        <v>479</v>
      </c>
      <c r="E195" s="19" t="s">
        <v>695</v>
      </c>
      <c r="F195" s="19">
        <f t="shared" si="4"/>
        <v>933693</v>
      </c>
      <c r="G195" s="29">
        <v>933735.4</v>
      </c>
      <c r="H195" s="19">
        <f t="shared" si="2"/>
        <v>42.4</v>
      </c>
      <c r="I195" s="134"/>
      <c r="J195" s="29" t="s">
        <v>733</v>
      </c>
    </row>
    <row r="196" ht="14.25" customHeight="1">
      <c r="B196" s="27"/>
      <c r="C196" s="133" t="str">
        <f t="shared" si="1"/>
        <v>12-1899</v>
      </c>
      <c r="D196" s="19"/>
      <c r="E196" s="19" t="s">
        <v>695</v>
      </c>
      <c r="F196" s="19"/>
      <c r="G196" s="19"/>
      <c r="H196" s="19">
        <f t="shared" si="2"/>
        <v>0</v>
      </c>
      <c r="I196" s="134"/>
      <c r="J196" s="19"/>
    </row>
    <row r="197" ht="14.25" customHeight="1">
      <c r="B197" s="41">
        <v>45692.0</v>
      </c>
      <c r="C197" s="133" t="str">
        <f t="shared" si="1"/>
        <v>2-2025</v>
      </c>
      <c r="D197" s="29" t="s">
        <v>479</v>
      </c>
      <c r="E197" s="19" t="s">
        <v>695</v>
      </c>
      <c r="F197" s="19">
        <f>G195</f>
        <v>933735.4</v>
      </c>
      <c r="G197" s="29">
        <v>933782.5</v>
      </c>
      <c r="H197" s="19">
        <f t="shared" si="2"/>
        <v>47.1</v>
      </c>
      <c r="I197" s="134"/>
      <c r="J197" s="29" t="s">
        <v>734</v>
      </c>
    </row>
    <row r="198" ht="14.25" customHeight="1">
      <c r="B198" s="41">
        <v>45694.0</v>
      </c>
      <c r="C198" s="133" t="str">
        <f t="shared" si="1"/>
        <v>2-2025</v>
      </c>
      <c r="D198" s="29" t="s">
        <v>479</v>
      </c>
      <c r="E198" s="19" t="s">
        <v>695</v>
      </c>
      <c r="F198" s="19">
        <f t="shared" ref="F198:F210" si="5">G197</f>
        <v>933782.5</v>
      </c>
      <c r="G198" s="29">
        <v>933860.2</v>
      </c>
      <c r="H198" s="19">
        <f t="shared" si="2"/>
        <v>77.7</v>
      </c>
      <c r="I198" s="134"/>
      <c r="J198" s="29" t="s">
        <v>735</v>
      </c>
    </row>
    <row r="199" ht="14.25" customHeight="1">
      <c r="B199" s="41">
        <v>45700.0</v>
      </c>
      <c r="C199" s="133" t="str">
        <f t="shared" si="1"/>
        <v>2-2025</v>
      </c>
      <c r="D199" s="29" t="s">
        <v>736</v>
      </c>
      <c r="E199" s="19" t="s">
        <v>695</v>
      </c>
      <c r="F199" s="19">
        <f t="shared" si="5"/>
        <v>933860.2</v>
      </c>
      <c r="G199" s="29">
        <v>933951.4</v>
      </c>
      <c r="H199" s="19">
        <f t="shared" si="2"/>
        <v>91.2</v>
      </c>
      <c r="I199" s="134"/>
      <c r="J199" s="29" t="s">
        <v>737</v>
      </c>
    </row>
    <row r="200" ht="14.25" customHeight="1">
      <c r="B200" s="41">
        <v>45702.0</v>
      </c>
      <c r="C200" s="133" t="str">
        <f t="shared" si="1"/>
        <v>2-2025</v>
      </c>
      <c r="D200" s="29" t="s">
        <v>479</v>
      </c>
      <c r="E200" s="19" t="s">
        <v>695</v>
      </c>
      <c r="F200" s="19">
        <f t="shared" si="5"/>
        <v>933951.4</v>
      </c>
      <c r="G200" s="29">
        <v>934062.8</v>
      </c>
      <c r="H200" s="19">
        <f t="shared" si="2"/>
        <v>111.4</v>
      </c>
      <c r="I200" s="134"/>
      <c r="J200" s="29" t="s">
        <v>738</v>
      </c>
    </row>
    <row r="201" ht="14.25" customHeight="1">
      <c r="B201" s="41">
        <v>45706.0</v>
      </c>
      <c r="C201" s="133" t="str">
        <f t="shared" si="1"/>
        <v>2-2025</v>
      </c>
      <c r="D201" s="29" t="s">
        <v>479</v>
      </c>
      <c r="E201" s="19" t="s">
        <v>695</v>
      </c>
      <c r="F201" s="19">
        <f t="shared" si="5"/>
        <v>934062.8</v>
      </c>
      <c r="G201" s="29">
        <v>934098.6</v>
      </c>
      <c r="H201" s="19">
        <f t="shared" si="2"/>
        <v>35.8</v>
      </c>
      <c r="I201" s="134"/>
      <c r="J201" s="29" t="s">
        <v>739</v>
      </c>
    </row>
    <row r="202" ht="14.25" customHeight="1">
      <c r="B202" s="41">
        <v>45706.0</v>
      </c>
      <c r="C202" s="133" t="str">
        <f t="shared" si="1"/>
        <v>2-2025</v>
      </c>
      <c r="D202" s="29" t="s">
        <v>736</v>
      </c>
      <c r="E202" s="19" t="s">
        <v>695</v>
      </c>
      <c r="F202" s="19">
        <f t="shared" si="5"/>
        <v>934098.6</v>
      </c>
      <c r="G202" s="29">
        <v>934302.1</v>
      </c>
      <c r="H202" s="19">
        <f t="shared" si="2"/>
        <v>203.5</v>
      </c>
      <c r="I202" s="134"/>
      <c r="J202" s="145" t="s">
        <v>740</v>
      </c>
    </row>
    <row r="203" ht="14.25" customHeight="1">
      <c r="B203" s="41">
        <v>45708.0</v>
      </c>
      <c r="C203" s="133" t="str">
        <f t="shared" si="1"/>
        <v>2-2025</v>
      </c>
      <c r="D203" s="29" t="s">
        <v>479</v>
      </c>
      <c r="E203" s="19" t="s">
        <v>695</v>
      </c>
      <c r="F203" s="19">
        <f t="shared" si="5"/>
        <v>934302.1</v>
      </c>
      <c r="G203" s="29">
        <v>934337.5</v>
      </c>
      <c r="H203" s="19">
        <f t="shared" si="2"/>
        <v>35.4</v>
      </c>
      <c r="I203" s="134"/>
      <c r="J203" s="29" t="s">
        <v>739</v>
      </c>
    </row>
    <row r="204" ht="14.25" customHeight="1">
      <c r="B204" s="41">
        <v>45708.0</v>
      </c>
      <c r="C204" s="133" t="str">
        <f t="shared" si="1"/>
        <v>2-2025</v>
      </c>
      <c r="D204" s="29" t="s">
        <v>741</v>
      </c>
      <c r="E204" s="19" t="s">
        <v>695</v>
      </c>
      <c r="F204" s="19">
        <f t="shared" si="5"/>
        <v>934337.5</v>
      </c>
      <c r="G204" s="29">
        <v>934471.4</v>
      </c>
      <c r="H204" s="19">
        <f t="shared" si="2"/>
        <v>133.9</v>
      </c>
      <c r="I204" s="134"/>
      <c r="J204" s="29" t="s">
        <v>742</v>
      </c>
    </row>
    <row r="205" ht="14.25" customHeight="1">
      <c r="B205" s="41">
        <v>45708.0</v>
      </c>
      <c r="C205" s="133" t="str">
        <f t="shared" si="1"/>
        <v>2-2025</v>
      </c>
      <c r="D205" s="29" t="s">
        <v>736</v>
      </c>
      <c r="E205" s="19" t="s">
        <v>695</v>
      </c>
      <c r="F205" s="19">
        <f t="shared" si="5"/>
        <v>934471.4</v>
      </c>
      <c r="G205" s="29">
        <v>934545.8</v>
      </c>
      <c r="H205" s="19">
        <f t="shared" si="2"/>
        <v>74.4</v>
      </c>
      <c r="I205" s="134"/>
      <c r="J205" s="29" t="s">
        <v>743</v>
      </c>
    </row>
    <row r="206" ht="14.25" customHeight="1">
      <c r="B206" s="146">
        <v>45709.0</v>
      </c>
      <c r="C206" s="133" t="str">
        <f t="shared" si="1"/>
        <v>2-2025</v>
      </c>
      <c r="D206" s="29" t="s">
        <v>741</v>
      </c>
      <c r="E206" s="19" t="s">
        <v>695</v>
      </c>
      <c r="F206" s="19">
        <f t="shared" si="5"/>
        <v>934545.8</v>
      </c>
      <c r="G206" s="29">
        <v>934566.7</v>
      </c>
      <c r="H206" s="19">
        <f t="shared" si="2"/>
        <v>20.9</v>
      </c>
      <c r="I206" s="134"/>
      <c r="J206" s="29" t="s">
        <v>744</v>
      </c>
    </row>
    <row r="207" ht="14.25" customHeight="1">
      <c r="B207" s="41">
        <v>45712.0</v>
      </c>
      <c r="C207" s="133" t="str">
        <f t="shared" si="1"/>
        <v>2-2025</v>
      </c>
      <c r="D207" s="29" t="s">
        <v>479</v>
      </c>
      <c r="E207" s="19" t="s">
        <v>695</v>
      </c>
      <c r="F207" s="19">
        <f t="shared" si="5"/>
        <v>934566.7</v>
      </c>
      <c r="G207" s="29">
        <v>934631.0</v>
      </c>
      <c r="H207" s="19">
        <f t="shared" si="2"/>
        <v>64.3</v>
      </c>
      <c r="I207" s="134"/>
      <c r="J207" s="29" t="s">
        <v>745</v>
      </c>
    </row>
    <row r="208" ht="14.25" customHeight="1">
      <c r="B208" s="41">
        <v>45714.0</v>
      </c>
      <c r="C208" s="133" t="str">
        <f t="shared" si="1"/>
        <v>2-2025</v>
      </c>
      <c r="D208" s="29" t="s">
        <v>479</v>
      </c>
      <c r="E208" s="19" t="s">
        <v>695</v>
      </c>
      <c r="F208" s="19">
        <f t="shared" si="5"/>
        <v>934631</v>
      </c>
      <c r="G208" s="29">
        <v>934672.0</v>
      </c>
      <c r="H208" s="19">
        <f t="shared" si="2"/>
        <v>41</v>
      </c>
      <c r="I208" s="134"/>
      <c r="J208" s="29" t="s">
        <v>746</v>
      </c>
    </row>
    <row r="209" ht="14.25" customHeight="1">
      <c r="B209" s="41">
        <v>45715.0</v>
      </c>
      <c r="C209" s="133" t="str">
        <f t="shared" si="1"/>
        <v>2-2025</v>
      </c>
      <c r="D209" s="29" t="s">
        <v>479</v>
      </c>
      <c r="E209" s="19" t="s">
        <v>695</v>
      </c>
      <c r="F209" s="19">
        <f t="shared" si="5"/>
        <v>934672</v>
      </c>
      <c r="G209" s="29">
        <v>934765.2</v>
      </c>
      <c r="H209" s="19">
        <f t="shared" si="2"/>
        <v>93.2</v>
      </c>
      <c r="I209" s="134"/>
      <c r="J209" s="29" t="s">
        <v>747</v>
      </c>
    </row>
    <row r="210" ht="14.25" customHeight="1">
      <c r="B210" s="41">
        <v>45715.0</v>
      </c>
      <c r="C210" s="133" t="str">
        <f t="shared" si="1"/>
        <v>2-2025</v>
      </c>
      <c r="D210" s="29" t="s">
        <v>511</v>
      </c>
      <c r="E210" s="19" t="s">
        <v>695</v>
      </c>
      <c r="F210" s="19">
        <f t="shared" si="5"/>
        <v>934765.2</v>
      </c>
      <c r="G210" s="29">
        <v>934765.2</v>
      </c>
      <c r="H210" s="19">
        <f t="shared" si="2"/>
        <v>0</v>
      </c>
      <c r="I210" s="134"/>
      <c r="J210" s="29" t="s">
        <v>748</v>
      </c>
    </row>
    <row r="211" ht="14.25" customHeight="1">
      <c r="B211" s="41">
        <v>45726.0</v>
      </c>
      <c r="C211" s="133" t="str">
        <f t="shared" si="1"/>
        <v>3-2025</v>
      </c>
      <c r="D211" s="29" t="s">
        <v>511</v>
      </c>
      <c r="E211" s="19" t="s">
        <v>695</v>
      </c>
      <c r="F211" s="29">
        <v>934765.2</v>
      </c>
      <c r="G211" s="29">
        <v>934872.7</v>
      </c>
      <c r="H211" s="19">
        <f t="shared" si="2"/>
        <v>107.5</v>
      </c>
      <c r="I211" s="134"/>
      <c r="J211" s="29" t="s">
        <v>749</v>
      </c>
    </row>
    <row r="212" ht="14.25" customHeight="1">
      <c r="B212" s="41">
        <v>45726.0</v>
      </c>
      <c r="C212" s="133" t="str">
        <f t="shared" si="1"/>
        <v>3-2025</v>
      </c>
      <c r="D212" s="29" t="s">
        <v>750</v>
      </c>
      <c r="E212" s="19" t="s">
        <v>695</v>
      </c>
      <c r="F212" s="19">
        <f t="shared" ref="F212:F256" si="6">G211</f>
        <v>934872.7</v>
      </c>
      <c r="G212" s="29">
        <v>934961.2</v>
      </c>
      <c r="H212" s="19">
        <f t="shared" si="2"/>
        <v>88.5</v>
      </c>
      <c r="I212" s="134"/>
      <c r="J212" s="29" t="s">
        <v>751</v>
      </c>
    </row>
    <row r="213" ht="14.25" customHeight="1">
      <c r="B213" s="41">
        <v>45728.0</v>
      </c>
      <c r="C213" s="133" t="str">
        <f t="shared" si="1"/>
        <v>3-2025</v>
      </c>
      <c r="D213" s="29" t="s">
        <v>752</v>
      </c>
      <c r="E213" s="19" t="s">
        <v>695</v>
      </c>
      <c r="F213" s="19">
        <f t="shared" si="6"/>
        <v>934961.2</v>
      </c>
      <c r="G213" s="29">
        <v>935119.2</v>
      </c>
      <c r="H213" s="19">
        <f t="shared" si="2"/>
        <v>158</v>
      </c>
      <c r="I213" s="134"/>
      <c r="J213" s="29" t="s">
        <v>753</v>
      </c>
    </row>
    <row r="214" ht="14.25" customHeight="1">
      <c r="B214" s="41">
        <v>45730.0</v>
      </c>
      <c r="C214" s="133" t="str">
        <f t="shared" si="1"/>
        <v>3-2025</v>
      </c>
      <c r="D214" s="29" t="s">
        <v>511</v>
      </c>
      <c r="E214" s="19" t="s">
        <v>695</v>
      </c>
      <c r="F214" s="19">
        <f t="shared" si="6"/>
        <v>935119.2</v>
      </c>
      <c r="G214" s="29">
        <v>935121.0</v>
      </c>
      <c r="H214" s="19">
        <f t="shared" si="2"/>
        <v>1.8</v>
      </c>
      <c r="I214" s="134"/>
      <c r="J214" s="29" t="s">
        <v>754</v>
      </c>
    </row>
    <row r="215" ht="14.25" customHeight="1">
      <c r="B215" s="41">
        <v>45733.0</v>
      </c>
      <c r="C215" s="133" t="str">
        <f t="shared" si="1"/>
        <v>3-2025</v>
      </c>
      <c r="D215" s="29" t="s">
        <v>511</v>
      </c>
      <c r="E215" s="19" t="s">
        <v>695</v>
      </c>
      <c r="F215" s="19">
        <f t="shared" si="6"/>
        <v>935121</v>
      </c>
      <c r="G215" s="29">
        <v>935155.5</v>
      </c>
      <c r="H215" s="19">
        <f t="shared" si="2"/>
        <v>34.5</v>
      </c>
      <c r="I215" s="134"/>
      <c r="J215" s="29" t="s">
        <v>755</v>
      </c>
    </row>
    <row r="216" ht="14.25" customHeight="1">
      <c r="B216" s="41">
        <v>45735.0</v>
      </c>
      <c r="C216" s="133" t="str">
        <f t="shared" si="1"/>
        <v>3-2025</v>
      </c>
      <c r="D216" s="29" t="s">
        <v>756</v>
      </c>
      <c r="E216" s="19" t="s">
        <v>695</v>
      </c>
      <c r="F216" s="19">
        <f t="shared" si="6"/>
        <v>935155.5</v>
      </c>
      <c r="G216" s="29">
        <v>935169.3</v>
      </c>
      <c r="H216" s="19">
        <f t="shared" si="2"/>
        <v>13.8</v>
      </c>
      <c r="I216" s="134"/>
      <c r="J216" s="29" t="s">
        <v>757</v>
      </c>
    </row>
    <row r="217" ht="14.25" customHeight="1">
      <c r="B217" s="41">
        <v>45736.0</v>
      </c>
      <c r="C217" s="133" t="str">
        <f t="shared" si="1"/>
        <v>3-2025</v>
      </c>
      <c r="D217" s="29" t="s">
        <v>511</v>
      </c>
      <c r="E217" s="19" t="s">
        <v>695</v>
      </c>
      <c r="F217" s="19">
        <f t="shared" si="6"/>
        <v>935169.3</v>
      </c>
      <c r="G217" s="29">
        <v>935293.4</v>
      </c>
      <c r="H217" s="19">
        <f t="shared" si="2"/>
        <v>124.1</v>
      </c>
      <c r="I217" s="134"/>
      <c r="J217" s="29" t="s">
        <v>758</v>
      </c>
    </row>
    <row r="218" ht="14.25" customHeight="1">
      <c r="B218" s="41">
        <v>45738.0</v>
      </c>
      <c r="C218" s="133" t="str">
        <f t="shared" si="1"/>
        <v>3-2025</v>
      </c>
      <c r="D218" s="29" t="s">
        <v>511</v>
      </c>
      <c r="E218" s="19" t="s">
        <v>695</v>
      </c>
      <c r="F218" s="19">
        <f t="shared" si="6"/>
        <v>935293.4</v>
      </c>
      <c r="G218" s="29">
        <v>935267.1</v>
      </c>
      <c r="H218" s="19">
        <f t="shared" si="2"/>
        <v>-26.3</v>
      </c>
      <c r="I218" s="134"/>
      <c r="J218" s="29" t="s">
        <v>759</v>
      </c>
    </row>
    <row r="219" ht="14.25" customHeight="1">
      <c r="B219" s="41">
        <v>45742.0</v>
      </c>
      <c r="C219" s="133" t="str">
        <f t="shared" si="1"/>
        <v>3-2025</v>
      </c>
      <c r="D219" s="29" t="s">
        <v>511</v>
      </c>
      <c r="E219" s="19" t="s">
        <v>695</v>
      </c>
      <c r="F219" s="19">
        <f t="shared" si="6"/>
        <v>935267.1</v>
      </c>
      <c r="G219" s="29">
        <v>935400.0</v>
      </c>
      <c r="H219" s="19">
        <f t="shared" si="2"/>
        <v>132.9</v>
      </c>
      <c r="I219" s="134"/>
      <c r="J219" s="29" t="s">
        <v>760</v>
      </c>
    </row>
    <row r="220" ht="14.25" customHeight="1">
      <c r="B220" s="41">
        <v>45744.0</v>
      </c>
      <c r="C220" s="133" t="str">
        <f t="shared" si="1"/>
        <v>3-2025</v>
      </c>
      <c r="D220" s="29" t="s">
        <v>511</v>
      </c>
      <c r="E220" s="19" t="s">
        <v>695</v>
      </c>
      <c r="F220" s="19">
        <f t="shared" si="6"/>
        <v>935400</v>
      </c>
      <c r="G220" s="29">
        <v>935463.5</v>
      </c>
      <c r="H220" s="19">
        <f t="shared" si="2"/>
        <v>63.5</v>
      </c>
      <c r="I220" s="134"/>
      <c r="J220" s="29" t="s">
        <v>761</v>
      </c>
    </row>
    <row r="221" ht="14.25" customHeight="1">
      <c r="B221" s="41">
        <v>45744.0</v>
      </c>
      <c r="C221" s="133" t="str">
        <f t="shared" si="1"/>
        <v>3-2025</v>
      </c>
      <c r="D221" s="29" t="s">
        <v>511</v>
      </c>
      <c r="E221" s="19" t="s">
        <v>695</v>
      </c>
      <c r="F221" s="19">
        <f t="shared" si="6"/>
        <v>935463.5</v>
      </c>
      <c r="G221" s="29">
        <v>935551.9</v>
      </c>
      <c r="H221" s="19">
        <f t="shared" si="2"/>
        <v>88.4</v>
      </c>
      <c r="I221" s="134"/>
      <c r="J221" s="29" t="s">
        <v>762</v>
      </c>
    </row>
    <row r="222" ht="14.25" customHeight="1">
      <c r="B222" s="27">
        <v>45748.0</v>
      </c>
      <c r="C222" s="133" t="str">
        <f t="shared" si="1"/>
        <v>4-2025</v>
      </c>
      <c r="D222" s="29" t="s">
        <v>259</v>
      </c>
      <c r="E222" s="19" t="s">
        <v>695</v>
      </c>
      <c r="F222" s="19">
        <f t="shared" si="6"/>
        <v>935551.9</v>
      </c>
      <c r="G222" s="29">
        <v>936336.0</v>
      </c>
      <c r="H222" s="19">
        <f t="shared" si="2"/>
        <v>784.1</v>
      </c>
      <c r="I222" s="134">
        <v>930.0</v>
      </c>
      <c r="J222" s="29" t="s">
        <v>763</v>
      </c>
    </row>
    <row r="223" ht="14.25" customHeight="1">
      <c r="B223" s="41">
        <v>45749.0</v>
      </c>
      <c r="C223" s="133" t="str">
        <f t="shared" si="1"/>
        <v>4-2025</v>
      </c>
      <c r="D223" s="29" t="s">
        <v>259</v>
      </c>
      <c r="E223" s="19" t="s">
        <v>695</v>
      </c>
      <c r="F223" s="19">
        <f t="shared" si="6"/>
        <v>936336</v>
      </c>
      <c r="G223" s="29">
        <v>936336.0</v>
      </c>
      <c r="H223" s="19">
        <f t="shared" si="2"/>
        <v>0</v>
      </c>
      <c r="I223" s="134"/>
      <c r="J223" s="29" t="s">
        <v>763</v>
      </c>
    </row>
    <row r="224" ht="14.25" customHeight="1">
      <c r="B224" s="41">
        <v>45752.0</v>
      </c>
      <c r="C224" s="133" t="str">
        <f t="shared" si="1"/>
        <v>4-2025</v>
      </c>
      <c r="D224" s="29" t="s">
        <v>259</v>
      </c>
      <c r="E224" s="19" t="s">
        <v>695</v>
      </c>
      <c r="F224" s="19">
        <f t="shared" si="6"/>
        <v>936336</v>
      </c>
      <c r="G224" s="29">
        <v>936366.9</v>
      </c>
      <c r="H224" s="19">
        <f t="shared" si="2"/>
        <v>30.9</v>
      </c>
      <c r="I224" s="134"/>
      <c r="J224" s="29" t="s">
        <v>764</v>
      </c>
    </row>
    <row r="225" ht="14.25" customHeight="1">
      <c r="B225" s="41">
        <v>45754.0</v>
      </c>
      <c r="C225" s="133" t="str">
        <f t="shared" si="1"/>
        <v>4-2025</v>
      </c>
      <c r="D225" s="29" t="s">
        <v>259</v>
      </c>
      <c r="E225" s="19" t="s">
        <v>695</v>
      </c>
      <c r="F225" s="19">
        <f t="shared" si="6"/>
        <v>936366.9</v>
      </c>
      <c r="G225" s="29">
        <v>936942.1</v>
      </c>
      <c r="H225" s="19">
        <f t="shared" si="2"/>
        <v>575.2</v>
      </c>
      <c r="I225" s="134"/>
      <c r="J225" s="29" t="s">
        <v>765</v>
      </c>
    </row>
    <row r="226" ht="14.25" customHeight="1">
      <c r="B226" s="41">
        <v>45756.0</v>
      </c>
      <c r="C226" s="133" t="str">
        <f t="shared" si="1"/>
        <v>4-2025</v>
      </c>
      <c r="D226" s="29" t="s">
        <v>259</v>
      </c>
      <c r="E226" s="19" t="s">
        <v>695</v>
      </c>
      <c r="F226" s="19">
        <f t="shared" si="6"/>
        <v>936942.1</v>
      </c>
      <c r="G226" s="29">
        <v>937016.0</v>
      </c>
      <c r="H226" s="19">
        <f t="shared" si="2"/>
        <v>73.9</v>
      </c>
      <c r="I226" s="134"/>
      <c r="J226" s="29" t="s">
        <v>766</v>
      </c>
    </row>
    <row r="227" ht="14.25" customHeight="1">
      <c r="B227" s="41">
        <v>45756.0</v>
      </c>
      <c r="C227" s="133" t="str">
        <f t="shared" si="1"/>
        <v>4-2025</v>
      </c>
      <c r="D227" s="29" t="s">
        <v>259</v>
      </c>
      <c r="E227" s="19" t="s">
        <v>695</v>
      </c>
      <c r="F227" s="19">
        <f t="shared" si="6"/>
        <v>937016</v>
      </c>
      <c r="G227" s="29">
        <v>937016.0</v>
      </c>
      <c r="H227" s="19">
        <f t="shared" si="2"/>
        <v>0</v>
      </c>
      <c r="I227" s="134"/>
      <c r="J227" s="29" t="s">
        <v>767</v>
      </c>
    </row>
    <row r="228" ht="14.25" customHeight="1">
      <c r="B228" s="41">
        <v>45759.0</v>
      </c>
      <c r="C228" s="133" t="str">
        <f t="shared" si="1"/>
        <v>4-2025</v>
      </c>
      <c r="D228" s="29" t="s">
        <v>259</v>
      </c>
      <c r="E228" s="19" t="s">
        <v>695</v>
      </c>
      <c r="F228" s="19">
        <f t="shared" si="6"/>
        <v>937016</v>
      </c>
      <c r="G228" s="29">
        <v>937044.9</v>
      </c>
      <c r="H228" s="19">
        <f t="shared" si="2"/>
        <v>28.9</v>
      </c>
      <c r="I228" s="134"/>
      <c r="J228" s="29" t="s">
        <v>768</v>
      </c>
    </row>
    <row r="229" ht="14.25" customHeight="1">
      <c r="B229" s="146">
        <v>45762.0</v>
      </c>
      <c r="C229" s="133" t="str">
        <f t="shared" si="1"/>
        <v>4-2025</v>
      </c>
      <c r="D229" s="29" t="s">
        <v>259</v>
      </c>
      <c r="E229" s="19" t="s">
        <v>695</v>
      </c>
      <c r="F229" s="19">
        <f t="shared" si="6"/>
        <v>937044.9</v>
      </c>
      <c r="G229" s="29">
        <v>937087.0</v>
      </c>
      <c r="H229" s="19">
        <f t="shared" si="2"/>
        <v>42.1</v>
      </c>
      <c r="I229" s="134"/>
      <c r="J229" s="29" t="s">
        <v>769</v>
      </c>
    </row>
    <row r="230" ht="14.25" customHeight="1">
      <c r="B230" s="41">
        <v>45764.0</v>
      </c>
      <c r="C230" s="133" t="str">
        <f t="shared" si="1"/>
        <v>4-2025</v>
      </c>
      <c r="D230" s="29" t="s">
        <v>259</v>
      </c>
      <c r="E230" s="19" t="s">
        <v>695</v>
      </c>
      <c r="F230" s="19">
        <f t="shared" si="6"/>
        <v>937087</v>
      </c>
      <c r="G230" s="29">
        <v>937091.6</v>
      </c>
      <c r="H230" s="19">
        <f t="shared" si="2"/>
        <v>4.6</v>
      </c>
      <c r="I230" s="134"/>
      <c r="J230" s="29" t="s">
        <v>770</v>
      </c>
    </row>
    <row r="231" ht="14.25" customHeight="1">
      <c r="B231" s="41">
        <v>45772.0</v>
      </c>
      <c r="C231" s="133" t="str">
        <f t="shared" si="1"/>
        <v>4-2025</v>
      </c>
      <c r="D231" s="29" t="s">
        <v>259</v>
      </c>
      <c r="E231" s="19" t="s">
        <v>695</v>
      </c>
      <c r="F231" s="19">
        <f t="shared" si="6"/>
        <v>937091.6</v>
      </c>
      <c r="G231" s="29">
        <v>934739.4</v>
      </c>
      <c r="H231" s="19">
        <f t="shared" si="2"/>
        <v>-2352.2</v>
      </c>
      <c r="I231" s="134"/>
      <c r="J231" s="29" t="s">
        <v>771</v>
      </c>
    </row>
    <row r="232" ht="14.25" customHeight="1">
      <c r="B232" s="41">
        <v>45775.0</v>
      </c>
      <c r="C232" s="133" t="str">
        <f t="shared" si="1"/>
        <v>4-2025</v>
      </c>
      <c r="D232" s="29" t="s">
        <v>259</v>
      </c>
      <c r="E232" s="19" t="s">
        <v>695</v>
      </c>
      <c r="F232" s="19">
        <f t="shared" si="6"/>
        <v>934739.4</v>
      </c>
      <c r="G232" s="29">
        <v>931472.6</v>
      </c>
      <c r="H232" s="19">
        <f t="shared" si="2"/>
        <v>-3266.8</v>
      </c>
      <c r="I232" s="134"/>
      <c r="J232" s="29" t="s">
        <v>772</v>
      </c>
    </row>
    <row r="233" ht="14.25" customHeight="1">
      <c r="B233" s="41">
        <v>45779.0</v>
      </c>
      <c r="C233" s="133" t="str">
        <f t="shared" si="1"/>
        <v>5-2025</v>
      </c>
      <c r="D233" s="29" t="s">
        <v>259</v>
      </c>
      <c r="E233" s="29" t="s">
        <v>695</v>
      </c>
      <c r="F233" s="19">
        <f t="shared" si="6"/>
        <v>931472.6</v>
      </c>
      <c r="G233" s="29">
        <v>938168.2</v>
      </c>
      <c r="H233" s="19">
        <f t="shared" si="2"/>
        <v>6695.6</v>
      </c>
      <c r="I233" s="134"/>
      <c r="J233" s="29" t="s">
        <v>773</v>
      </c>
    </row>
    <row r="234" ht="14.25" customHeight="1">
      <c r="B234" s="41">
        <v>45782.0</v>
      </c>
      <c r="C234" s="133" t="str">
        <f t="shared" si="1"/>
        <v>5-2025</v>
      </c>
      <c r="D234" s="29" t="s">
        <v>774</v>
      </c>
      <c r="E234" s="29" t="s">
        <v>695</v>
      </c>
      <c r="F234" s="19">
        <f t="shared" si="6"/>
        <v>938168.2</v>
      </c>
      <c r="G234" s="29">
        <v>937828.7</v>
      </c>
      <c r="H234" s="19">
        <f t="shared" si="2"/>
        <v>-339.5</v>
      </c>
      <c r="I234" s="134"/>
      <c r="J234" s="29" t="s">
        <v>775</v>
      </c>
    </row>
    <row r="235" ht="14.25" customHeight="1">
      <c r="B235" s="41">
        <v>45783.0</v>
      </c>
      <c r="C235" s="133" t="str">
        <f t="shared" si="1"/>
        <v>5-2025</v>
      </c>
      <c r="D235" s="29" t="s">
        <v>362</v>
      </c>
      <c r="E235" s="29" t="s">
        <v>695</v>
      </c>
      <c r="F235" s="19">
        <f t="shared" si="6"/>
        <v>937828.7</v>
      </c>
      <c r="G235" s="29">
        <v>937906.7</v>
      </c>
      <c r="H235" s="19">
        <f t="shared" si="2"/>
        <v>78</v>
      </c>
      <c r="I235" s="134"/>
      <c r="J235" s="29" t="s">
        <v>776</v>
      </c>
    </row>
    <row r="236" ht="14.25" customHeight="1">
      <c r="B236" s="41">
        <v>45787.0</v>
      </c>
      <c r="C236" s="133" t="str">
        <f t="shared" si="1"/>
        <v>5-2025</v>
      </c>
      <c r="D236" s="29" t="s">
        <v>259</v>
      </c>
      <c r="E236" s="29" t="s">
        <v>695</v>
      </c>
      <c r="F236" s="19">
        <f t="shared" si="6"/>
        <v>937906.7</v>
      </c>
      <c r="G236" s="29">
        <v>937924.9</v>
      </c>
      <c r="H236" s="19">
        <f t="shared" si="2"/>
        <v>18.2</v>
      </c>
      <c r="I236" s="134"/>
      <c r="J236" s="29" t="s">
        <v>777</v>
      </c>
    </row>
    <row r="237" ht="14.25" customHeight="1">
      <c r="B237" s="41">
        <v>45787.0</v>
      </c>
      <c r="C237" s="133" t="str">
        <f t="shared" si="1"/>
        <v>5-2025</v>
      </c>
      <c r="D237" s="29" t="s">
        <v>259</v>
      </c>
      <c r="E237" s="29" t="s">
        <v>695</v>
      </c>
      <c r="F237" s="19">
        <f t="shared" si="6"/>
        <v>937924.9</v>
      </c>
      <c r="G237" s="29">
        <v>937960.5</v>
      </c>
      <c r="H237" s="19">
        <f t="shared" si="2"/>
        <v>35.6</v>
      </c>
      <c r="I237" s="134"/>
      <c r="J237" s="29" t="s">
        <v>778</v>
      </c>
    </row>
    <row r="238" ht="14.25" customHeight="1">
      <c r="B238" s="41">
        <v>45789.0</v>
      </c>
      <c r="C238" s="133" t="str">
        <f t="shared" si="1"/>
        <v>5-2025</v>
      </c>
      <c r="D238" s="29" t="s">
        <v>259</v>
      </c>
      <c r="E238" s="29" t="s">
        <v>695</v>
      </c>
      <c r="F238" s="19">
        <f t="shared" si="6"/>
        <v>937960.5</v>
      </c>
      <c r="G238" s="29">
        <v>938083.7</v>
      </c>
      <c r="H238" s="19">
        <f t="shared" si="2"/>
        <v>123.2</v>
      </c>
      <c r="I238" s="134"/>
      <c r="J238" s="29" t="s">
        <v>779</v>
      </c>
    </row>
    <row r="239" ht="14.25" customHeight="1">
      <c r="B239" s="41">
        <v>45790.0</v>
      </c>
      <c r="C239" s="133" t="str">
        <f t="shared" si="1"/>
        <v>5-2025</v>
      </c>
      <c r="D239" s="29" t="s">
        <v>259</v>
      </c>
      <c r="E239" s="29" t="s">
        <v>695</v>
      </c>
      <c r="F239" s="19">
        <f t="shared" si="6"/>
        <v>938083.7</v>
      </c>
      <c r="G239" s="29">
        <v>938153.6</v>
      </c>
      <c r="H239" s="19">
        <f t="shared" si="2"/>
        <v>69.9</v>
      </c>
      <c r="I239" s="134"/>
      <c r="J239" s="29" t="s">
        <v>780</v>
      </c>
    </row>
    <row r="240" ht="14.25" customHeight="1">
      <c r="B240" s="41">
        <v>45790.0</v>
      </c>
      <c r="C240" s="133" t="str">
        <f t="shared" si="1"/>
        <v>5-2025</v>
      </c>
      <c r="D240" s="29" t="s">
        <v>774</v>
      </c>
      <c r="E240" s="29" t="s">
        <v>695</v>
      </c>
      <c r="F240" s="19">
        <f t="shared" si="6"/>
        <v>938153.6</v>
      </c>
      <c r="G240" s="29">
        <v>938168.2</v>
      </c>
      <c r="H240" s="19">
        <f t="shared" si="2"/>
        <v>14.6</v>
      </c>
      <c r="I240" s="134"/>
      <c r="J240" s="29" t="s">
        <v>781</v>
      </c>
    </row>
    <row r="241" ht="14.25" customHeight="1">
      <c r="B241" s="41">
        <v>45790.0</v>
      </c>
      <c r="C241" s="133" t="str">
        <f t="shared" si="1"/>
        <v>5-2025</v>
      </c>
      <c r="D241" s="29" t="s">
        <v>259</v>
      </c>
      <c r="E241" s="29" t="s">
        <v>695</v>
      </c>
      <c r="F241" s="19">
        <f t="shared" si="6"/>
        <v>938168.2</v>
      </c>
      <c r="G241" s="29">
        <v>938270.0</v>
      </c>
      <c r="H241" s="19">
        <f t="shared" si="2"/>
        <v>101.8</v>
      </c>
      <c r="I241" s="134"/>
      <c r="J241" s="29" t="s">
        <v>782</v>
      </c>
    </row>
    <row r="242" ht="14.25" customHeight="1">
      <c r="B242" s="41">
        <v>45818.0</v>
      </c>
      <c r="C242" s="133" t="str">
        <f t="shared" si="1"/>
        <v>6-2025</v>
      </c>
      <c r="D242" s="29" t="s">
        <v>259</v>
      </c>
      <c r="E242" s="29" t="s">
        <v>695</v>
      </c>
      <c r="F242" s="19">
        <f t="shared" si="6"/>
        <v>938270</v>
      </c>
      <c r="G242" s="29">
        <v>938288.6</v>
      </c>
      <c r="H242" s="19">
        <f t="shared" si="2"/>
        <v>18.6</v>
      </c>
      <c r="I242" s="147">
        <v>136.0</v>
      </c>
      <c r="J242" s="29" t="s">
        <v>783</v>
      </c>
    </row>
    <row r="243" ht="14.25" customHeight="1">
      <c r="B243" s="41">
        <v>45819.0</v>
      </c>
      <c r="C243" s="133" t="str">
        <f t="shared" si="1"/>
        <v>6-2025</v>
      </c>
      <c r="D243" s="29" t="s">
        <v>259</v>
      </c>
      <c r="E243" s="29" t="s">
        <v>695</v>
      </c>
      <c r="F243" s="19">
        <f t="shared" si="6"/>
        <v>938288.6</v>
      </c>
      <c r="G243" s="29">
        <v>938332.1</v>
      </c>
      <c r="H243" s="19">
        <f t="shared" si="2"/>
        <v>43.5</v>
      </c>
      <c r="I243" s="134"/>
      <c r="J243" s="29" t="s">
        <v>784</v>
      </c>
    </row>
    <row r="244" ht="14.25" customHeight="1">
      <c r="B244" s="41">
        <v>45820.0</v>
      </c>
      <c r="C244" s="133" t="str">
        <f t="shared" si="1"/>
        <v>6-2025</v>
      </c>
      <c r="D244" s="29" t="s">
        <v>259</v>
      </c>
      <c r="E244" s="29" t="s">
        <v>695</v>
      </c>
      <c r="F244" s="19">
        <f t="shared" si="6"/>
        <v>938332.1</v>
      </c>
      <c r="G244" s="29">
        <v>938367.3</v>
      </c>
      <c r="H244" s="19">
        <f t="shared" si="2"/>
        <v>35.2</v>
      </c>
      <c r="I244" s="134"/>
      <c r="J244" s="29" t="s">
        <v>785</v>
      </c>
    </row>
    <row r="245" ht="14.25" customHeight="1">
      <c r="B245" s="41">
        <v>45823.0</v>
      </c>
      <c r="C245" s="133" t="str">
        <f t="shared" si="1"/>
        <v>6-2025</v>
      </c>
      <c r="D245" s="29" t="s">
        <v>187</v>
      </c>
      <c r="E245" s="29" t="s">
        <v>695</v>
      </c>
      <c r="F245" s="19">
        <f t="shared" si="6"/>
        <v>938367.3</v>
      </c>
      <c r="G245" s="29">
        <v>938414.4</v>
      </c>
      <c r="H245" s="19">
        <f t="shared" si="2"/>
        <v>47.1</v>
      </c>
      <c r="I245" s="134"/>
      <c r="J245" s="29" t="s">
        <v>786</v>
      </c>
    </row>
    <row r="246" ht="14.25" customHeight="1">
      <c r="B246" s="41">
        <v>45824.0</v>
      </c>
      <c r="C246" s="133" t="str">
        <f t="shared" si="1"/>
        <v>6-2025</v>
      </c>
      <c r="D246" s="29" t="s">
        <v>787</v>
      </c>
      <c r="E246" s="29" t="s">
        <v>695</v>
      </c>
      <c r="F246" s="19">
        <f t="shared" si="6"/>
        <v>938414.4</v>
      </c>
      <c r="G246" s="29">
        <v>938476.4</v>
      </c>
      <c r="H246" s="19">
        <f t="shared" si="2"/>
        <v>62</v>
      </c>
      <c r="I246" s="134"/>
      <c r="J246" s="29" t="s">
        <v>788</v>
      </c>
    </row>
    <row r="247" ht="14.25" customHeight="1">
      <c r="B247" s="41">
        <v>45826.0</v>
      </c>
      <c r="C247" s="133" t="str">
        <f t="shared" si="1"/>
        <v>6-2025</v>
      </c>
      <c r="D247" s="29" t="s">
        <v>774</v>
      </c>
      <c r="E247" s="29" t="s">
        <v>695</v>
      </c>
      <c r="F247" s="19">
        <f t="shared" si="6"/>
        <v>938476.4</v>
      </c>
      <c r="G247" s="29">
        <v>938505.4</v>
      </c>
      <c r="H247" s="19">
        <f t="shared" si="2"/>
        <v>29</v>
      </c>
      <c r="I247" s="147">
        <v>200.0</v>
      </c>
      <c r="J247" s="29" t="s">
        <v>789</v>
      </c>
    </row>
    <row r="248" ht="14.25" customHeight="1">
      <c r="B248" s="41">
        <v>45827.0</v>
      </c>
      <c r="C248" s="133" t="str">
        <f t="shared" si="1"/>
        <v>6-2025</v>
      </c>
      <c r="D248" s="29" t="s">
        <v>259</v>
      </c>
      <c r="E248" s="29" t="s">
        <v>695</v>
      </c>
      <c r="F248" s="19">
        <f t="shared" si="6"/>
        <v>938505.4</v>
      </c>
      <c r="G248" s="29">
        <v>938543.9</v>
      </c>
      <c r="H248" s="19">
        <f t="shared" si="2"/>
        <v>38.5</v>
      </c>
      <c r="I248" s="134"/>
      <c r="J248" s="29" t="s">
        <v>790</v>
      </c>
    </row>
    <row r="249" ht="14.25" customHeight="1">
      <c r="B249" s="41">
        <v>45827.0</v>
      </c>
      <c r="C249" s="133" t="str">
        <f t="shared" si="1"/>
        <v>6-2025</v>
      </c>
      <c r="D249" s="29" t="s">
        <v>259</v>
      </c>
      <c r="E249" s="29" t="s">
        <v>695</v>
      </c>
      <c r="F249" s="19">
        <f t="shared" si="6"/>
        <v>938543.9</v>
      </c>
      <c r="G249" s="29">
        <v>938666.0</v>
      </c>
      <c r="H249" s="19">
        <f t="shared" si="2"/>
        <v>122.1</v>
      </c>
      <c r="I249" s="134"/>
      <c r="J249" s="29" t="s">
        <v>791</v>
      </c>
    </row>
    <row r="250" ht="14.25" customHeight="1">
      <c r="B250" s="41">
        <v>45828.0</v>
      </c>
      <c r="C250" s="133" t="str">
        <f t="shared" si="1"/>
        <v>6-2025</v>
      </c>
      <c r="D250" s="29" t="s">
        <v>774</v>
      </c>
      <c r="E250" s="29" t="s">
        <v>695</v>
      </c>
      <c r="F250" s="19">
        <f t="shared" si="6"/>
        <v>938666</v>
      </c>
      <c r="G250" s="29">
        <v>938776.3</v>
      </c>
      <c r="H250" s="19">
        <f t="shared" si="2"/>
        <v>110.3</v>
      </c>
      <c r="I250" s="147">
        <v>580.0</v>
      </c>
      <c r="J250" s="29" t="s">
        <v>792</v>
      </c>
    </row>
    <row r="251" ht="14.25" customHeight="1">
      <c r="B251" s="41">
        <v>45829.0</v>
      </c>
      <c r="C251" s="133" t="str">
        <f t="shared" si="1"/>
        <v>6-2025</v>
      </c>
      <c r="D251" s="29" t="s">
        <v>259</v>
      </c>
      <c r="E251" s="29" t="s">
        <v>695</v>
      </c>
      <c r="F251" s="19">
        <f t="shared" si="6"/>
        <v>938776.3</v>
      </c>
      <c r="G251" s="29">
        <v>939094.3</v>
      </c>
      <c r="H251" s="19">
        <f t="shared" si="2"/>
        <v>318</v>
      </c>
      <c r="I251" s="134"/>
      <c r="J251" s="29" t="s">
        <v>793</v>
      </c>
    </row>
    <row r="252" ht="14.25" customHeight="1">
      <c r="B252" s="41">
        <v>45831.0</v>
      </c>
      <c r="C252" s="133" t="str">
        <f t="shared" si="1"/>
        <v>6-2025</v>
      </c>
      <c r="D252" s="29" t="s">
        <v>187</v>
      </c>
      <c r="E252" s="29" t="s">
        <v>695</v>
      </c>
      <c r="F252" s="19">
        <f t="shared" si="6"/>
        <v>939094.3</v>
      </c>
      <c r="G252" s="29">
        <v>939206.5</v>
      </c>
      <c r="H252" s="19">
        <f t="shared" si="2"/>
        <v>112.2</v>
      </c>
      <c r="I252" s="134"/>
      <c r="J252" s="29" t="s">
        <v>794</v>
      </c>
    </row>
    <row r="253" ht="14.25" customHeight="1">
      <c r="B253" s="41">
        <v>45833.0</v>
      </c>
      <c r="C253" s="133" t="str">
        <f t="shared" si="1"/>
        <v>6-2025</v>
      </c>
      <c r="D253" s="29" t="s">
        <v>795</v>
      </c>
      <c r="E253" s="29" t="s">
        <v>695</v>
      </c>
      <c r="F253" s="19">
        <f t="shared" si="6"/>
        <v>939206.5</v>
      </c>
      <c r="G253" s="29">
        <v>939362.6</v>
      </c>
      <c r="H253" s="19">
        <f t="shared" si="2"/>
        <v>156.1</v>
      </c>
      <c r="I253" s="134"/>
      <c r="J253" s="29" t="s">
        <v>794</v>
      </c>
    </row>
    <row r="254" ht="14.25" customHeight="1">
      <c r="B254" s="41">
        <v>45834.0</v>
      </c>
      <c r="C254" s="133" t="str">
        <f t="shared" si="1"/>
        <v>6-2025</v>
      </c>
      <c r="D254" s="29" t="s">
        <v>187</v>
      </c>
      <c r="E254" s="29" t="s">
        <v>695</v>
      </c>
      <c r="F254" s="19">
        <f t="shared" si="6"/>
        <v>939362.6</v>
      </c>
      <c r="G254" s="29">
        <v>939564.7</v>
      </c>
      <c r="H254" s="19">
        <f t="shared" si="2"/>
        <v>202.1</v>
      </c>
      <c r="I254" s="134"/>
      <c r="J254" s="29" t="s">
        <v>794</v>
      </c>
    </row>
    <row r="255" ht="14.25" customHeight="1">
      <c r="B255" s="41">
        <v>45836.0</v>
      </c>
      <c r="C255" s="133" t="str">
        <f t="shared" si="1"/>
        <v>6-2025</v>
      </c>
      <c r="D255" s="29" t="s">
        <v>187</v>
      </c>
      <c r="E255" s="29" t="s">
        <v>695</v>
      </c>
      <c r="F255" s="19">
        <f t="shared" si="6"/>
        <v>939564.7</v>
      </c>
      <c r="G255" s="29">
        <v>939763.7</v>
      </c>
      <c r="H255" s="19">
        <f t="shared" si="2"/>
        <v>199</v>
      </c>
      <c r="I255" s="134"/>
      <c r="J255" s="29" t="s">
        <v>796</v>
      </c>
    </row>
    <row r="256" ht="14.25" customHeight="1">
      <c r="B256" s="41">
        <v>45838.0</v>
      </c>
      <c r="C256" s="133" t="str">
        <f t="shared" si="1"/>
        <v>6-2025</v>
      </c>
      <c r="D256" s="29" t="s">
        <v>362</v>
      </c>
      <c r="E256" s="29" t="s">
        <v>695</v>
      </c>
      <c r="F256" s="19">
        <f t="shared" si="6"/>
        <v>939763.7</v>
      </c>
      <c r="G256" s="29">
        <v>939931.6</v>
      </c>
      <c r="H256" s="19">
        <f t="shared" si="2"/>
        <v>167.9</v>
      </c>
      <c r="I256" s="147">
        <v>270.0</v>
      </c>
      <c r="J256" s="29" t="s">
        <v>797</v>
      </c>
    </row>
    <row r="257" ht="14.25" customHeight="1">
      <c r="B257" s="27">
        <v>45839.0</v>
      </c>
      <c r="C257" s="133" t="str">
        <f t="shared" si="1"/>
        <v>7-2025</v>
      </c>
      <c r="D257" s="29" t="s">
        <v>259</v>
      </c>
      <c r="E257" s="19" t="s">
        <v>695</v>
      </c>
      <c r="F257" s="19">
        <v>939931.6</v>
      </c>
      <c r="G257" s="29">
        <v>939964.6</v>
      </c>
      <c r="H257" s="19">
        <f t="shared" si="2"/>
        <v>33</v>
      </c>
      <c r="I257" s="134"/>
      <c r="J257" s="29" t="s">
        <v>798</v>
      </c>
    </row>
    <row r="258" ht="14.25" customHeight="1">
      <c r="B258" s="41">
        <v>45840.0</v>
      </c>
      <c r="C258" s="133" t="str">
        <f t="shared" si="1"/>
        <v>7-2025</v>
      </c>
      <c r="D258" s="29" t="s">
        <v>725</v>
      </c>
      <c r="E258" s="19" t="s">
        <v>695</v>
      </c>
      <c r="F258" s="19">
        <f t="shared" ref="F258:F281" si="7">G257</f>
        <v>939964.6</v>
      </c>
      <c r="G258" s="29">
        <v>940087.7</v>
      </c>
      <c r="H258" s="19">
        <f t="shared" si="2"/>
        <v>123.1</v>
      </c>
      <c r="I258" s="134"/>
      <c r="J258" s="29" t="s">
        <v>799</v>
      </c>
    </row>
    <row r="259">
      <c r="B259" s="41">
        <v>45841.0</v>
      </c>
      <c r="C259" s="133" t="str">
        <f t="shared" si="1"/>
        <v>7-2025</v>
      </c>
      <c r="D259" s="29" t="s">
        <v>752</v>
      </c>
      <c r="E259" s="19" t="s">
        <v>695</v>
      </c>
      <c r="F259" s="19">
        <f t="shared" si="7"/>
        <v>940087.7</v>
      </c>
      <c r="G259" s="29">
        <v>940181.3</v>
      </c>
      <c r="H259" s="19">
        <f t="shared" si="2"/>
        <v>93.6</v>
      </c>
      <c r="I259" s="147">
        <v>200.0</v>
      </c>
      <c r="J259" s="29" t="s">
        <v>800</v>
      </c>
    </row>
    <row r="260">
      <c r="B260" s="41">
        <v>45849.0</v>
      </c>
      <c r="C260" s="133" t="str">
        <f t="shared" si="1"/>
        <v>7-2025</v>
      </c>
      <c r="D260" s="29" t="s">
        <v>752</v>
      </c>
      <c r="E260" s="19" t="s">
        <v>695</v>
      </c>
      <c r="F260" s="19">
        <f t="shared" si="7"/>
        <v>940181.3</v>
      </c>
      <c r="G260" s="29">
        <v>940522.1</v>
      </c>
      <c r="H260" s="19">
        <f t="shared" si="2"/>
        <v>340.8</v>
      </c>
      <c r="I260" s="147">
        <v>412.3</v>
      </c>
      <c r="J260" s="29" t="s">
        <v>801</v>
      </c>
    </row>
    <row r="261">
      <c r="B261" s="41">
        <v>45852.0</v>
      </c>
      <c r="C261" s="133" t="str">
        <f t="shared" si="1"/>
        <v>7-2025</v>
      </c>
      <c r="D261" s="29" t="s">
        <v>511</v>
      </c>
      <c r="E261" s="19" t="s">
        <v>695</v>
      </c>
      <c r="F261" s="19">
        <f t="shared" si="7"/>
        <v>940522.1</v>
      </c>
      <c r="G261" s="29">
        <v>940578.0</v>
      </c>
      <c r="H261" s="19">
        <f t="shared" si="2"/>
        <v>55.9</v>
      </c>
      <c r="I261" s="134"/>
      <c r="J261" s="29" t="s">
        <v>802</v>
      </c>
    </row>
    <row r="262">
      <c r="B262" s="41">
        <v>45853.0</v>
      </c>
      <c r="C262" s="133" t="str">
        <f t="shared" si="1"/>
        <v>7-2025</v>
      </c>
      <c r="D262" s="29" t="s">
        <v>479</v>
      </c>
      <c r="E262" s="19" t="s">
        <v>695</v>
      </c>
      <c r="F262" s="19">
        <f t="shared" si="7"/>
        <v>940578</v>
      </c>
      <c r="G262" s="29">
        <v>940653.2</v>
      </c>
      <c r="H262" s="19">
        <f t="shared" si="2"/>
        <v>75.2</v>
      </c>
      <c r="I262" s="134"/>
      <c r="J262" s="29" t="s">
        <v>803</v>
      </c>
    </row>
    <row r="263">
      <c r="B263" s="41">
        <v>45854.0</v>
      </c>
      <c r="C263" s="133" t="str">
        <f t="shared" si="1"/>
        <v>7-2025</v>
      </c>
      <c r="D263" s="29" t="s">
        <v>804</v>
      </c>
      <c r="E263" s="19" t="s">
        <v>695</v>
      </c>
      <c r="F263" s="19">
        <f t="shared" si="7"/>
        <v>940653.2</v>
      </c>
      <c r="G263" s="29">
        <v>941484.7</v>
      </c>
      <c r="H263" s="19">
        <f t="shared" si="2"/>
        <v>831.5</v>
      </c>
      <c r="I263" s="147">
        <v>540.0</v>
      </c>
      <c r="J263" s="29" t="s">
        <v>805</v>
      </c>
    </row>
    <row r="264">
      <c r="B264" s="41">
        <v>45856.0</v>
      </c>
      <c r="C264" s="133" t="str">
        <f t="shared" si="1"/>
        <v>7-2025</v>
      </c>
      <c r="D264" s="29" t="s">
        <v>804</v>
      </c>
      <c r="E264" s="19" t="s">
        <v>695</v>
      </c>
      <c r="F264" s="19">
        <f t="shared" si="7"/>
        <v>941484.7</v>
      </c>
      <c r="G264" s="29">
        <v>941586.8</v>
      </c>
      <c r="H264" s="19">
        <f t="shared" si="2"/>
        <v>102.1</v>
      </c>
      <c r="I264" s="134"/>
      <c r="J264" s="29" t="s">
        <v>806</v>
      </c>
    </row>
    <row r="265">
      <c r="B265" s="146">
        <v>45857.0</v>
      </c>
      <c r="C265" s="133" t="str">
        <f t="shared" si="1"/>
        <v>7-2025</v>
      </c>
      <c r="D265" s="29" t="s">
        <v>752</v>
      </c>
      <c r="E265" s="19" t="s">
        <v>695</v>
      </c>
      <c r="F265" s="19">
        <f t="shared" si="7"/>
        <v>941586.8</v>
      </c>
      <c r="G265" s="29">
        <v>941690.2</v>
      </c>
      <c r="H265" s="19">
        <f t="shared" si="2"/>
        <v>103.4</v>
      </c>
      <c r="I265" s="134"/>
      <c r="J265" s="29" t="s">
        <v>807</v>
      </c>
    </row>
    <row r="266">
      <c r="B266" s="41">
        <v>45860.0</v>
      </c>
      <c r="C266" s="133" t="str">
        <f t="shared" si="1"/>
        <v>7-2025</v>
      </c>
      <c r="D266" s="29" t="s">
        <v>752</v>
      </c>
      <c r="E266" s="19" t="s">
        <v>695</v>
      </c>
      <c r="F266" s="19">
        <f t="shared" si="7"/>
        <v>941690.2</v>
      </c>
      <c r="G266" s="29">
        <v>941960.3</v>
      </c>
      <c r="H266" s="19">
        <f t="shared" si="2"/>
        <v>270.1</v>
      </c>
      <c r="I266" s="134"/>
      <c r="J266" s="29" t="s">
        <v>808</v>
      </c>
    </row>
    <row r="267">
      <c r="B267" s="146">
        <v>45860.0</v>
      </c>
      <c r="C267" s="133" t="str">
        <f t="shared" si="1"/>
        <v>7-2025</v>
      </c>
      <c r="D267" s="29" t="s">
        <v>511</v>
      </c>
      <c r="E267" s="19" t="s">
        <v>695</v>
      </c>
      <c r="F267" s="19">
        <f t="shared" si="7"/>
        <v>941960.3</v>
      </c>
      <c r="G267" s="29">
        <v>942061.3</v>
      </c>
      <c r="H267" s="19">
        <f t="shared" si="2"/>
        <v>101</v>
      </c>
      <c r="I267" s="134"/>
      <c r="J267" s="29" t="s">
        <v>809</v>
      </c>
    </row>
    <row r="268">
      <c r="B268" s="41">
        <v>45862.0</v>
      </c>
      <c r="C268" s="133" t="str">
        <f t="shared" si="1"/>
        <v>7-2025</v>
      </c>
      <c r="D268" s="29" t="s">
        <v>511</v>
      </c>
      <c r="E268" s="19" t="s">
        <v>695</v>
      </c>
      <c r="F268" s="19">
        <f t="shared" si="7"/>
        <v>942061.3</v>
      </c>
      <c r="G268" s="29">
        <v>942154.7</v>
      </c>
      <c r="H268" s="19">
        <f t="shared" si="2"/>
        <v>93.4</v>
      </c>
      <c r="I268" s="134"/>
      <c r="J268" s="29" t="s">
        <v>810</v>
      </c>
    </row>
    <row r="269">
      <c r="B269" s="41">
        <v>45864.0</v>
      </c>
      <c r="C269" s="133" t="str">
        <f t="shared" si="1"/>
        <v>7-2025</v>
      </c>
      <c r="D269" s="29" t="s">
        <v>511</v>
      </c>
      <c r="E269" s="19" t="s">
        <v>695</v>
      </c>
      <c r="F269" s="19">
        <f t="shared" si="7"/>
        <v>942154.7</v>
      </c>
      <c r="G269" s="29">
        <v>942232.0</v>
      </c>
      <c r="H269" s="19">
        <f t="shared" si="2"/>
        <v>77.3</v>
      </c>
      <c r="I269" s="134"/>
      <c r="J269" s="29" t="s">
        <v>811</v>
      </c>
    </row>
    <row r="270">
      <c r="B270" s="41">
        <v>45866.0</v>
      </c>
      <c r="C270" s="133" t="str">
        <f t="shared" si="1"/>
        <v>7-2025</v>
      </c>
      <c r="D270" s="29" t="s">
        <v>511</v>
      </c>
      <c r="E270" s="19" t="s">
        <v>695</v>
      </c>
      <c r="F270" s="19">
        <f t="shared" si="7"/>
        <v>942232</v>
      </c>
      <c r="G270" s="29">
        <v>942725.2</v>
      </c>
      <c r="H270" s="19">
        <f t="shared" si="2"/>
        <v>493.2</v>
      </c>
      <c r="I270" s="147">
        <v>345.4</v>
      </c>
      <c r="J270" s="29" t="s">
        <v>812</v>
      </c>
    </row>
    <row r="271">
      <c r="B271" s="41">
        <v>45868.0</v>
      </c>
      <c r="C271" s="133" t="str">
        <f t="shared" si="1"/>
        <v>7-2025</v>
      </c>
      <c r="D271" s="29" t="s">
        <v>511</v>
      </c>
      <c r="E271" s="19" t="s">
        <v>695</v>
      </c>
      <c r="F271" s="19">
        <f t="shared" si="7"/>
        <v>942725.2</v>
      </c>
      <c r="G271" s="29">
        <v>942823.0</v>
      </c>
      <c r="H271" s="19">
        <f t="shared" si="2"/>
        <v>97.8</v>
      </c>
      <c r="I271" s="134"/>
      <c r="J271" s="29" t="s">
        <v>813</v>
      </c>
    </row>
    <row r="272">
      <c r="B272" s="41">
        <v>45868.0</v>
      </c>
      <c r="C272" s="133" t="str">
        <f t="shared" si="1"/>
        <v>7-2025</v>
      </c>
      <c r="D272" s="29" t="s">
        <v>511</v>
      </c>
      <c r="E272" s="19" t="s">
        <v>695</v>
      </c>
      <c r="F272" s="19">
        <f t="shared" si="7"/>
        <v>942823</v>
      </c>
      <c r="G272" s="29">
        <v>942918.4</v>
      </c>
      <c r="H272" s="19">
        <f t="shared" si="2"/>
        <v>95.4</v>
      </c>
      <c r="I272" s="134"/>
      <c r="J272" s="29" t="s">
        <v>814</v>
      </c>
    </row>
    <row r="273">
      <c r="B273" s="41">
        <v>45869.0</v>
      </c>
      <c r="C273" s="133" t="str">
        <f t="shared" si="1"/>
        <v>7-2025</v>
      </c>
      <c r="D273" s="29" t="s">
        <v>511</v>
      </c>
      <c r="E273" s="19" t="s">
        <v>695</v>
      </c>
      <c r="F273" s="19">
        <f t="shared" si="7"/>
        <v>942918.4</v>
      </c>
      <c r="G273" s="29">
        <v>942993.8</v>
      </c>
      <c r="H273" s="19">
        <f t="shared" si="2"/>
        <v>75.4</v>
      </c>
      <c r="I273" s="134"/>
      <c r="J273" s="29" t="s">
        <v>815</v>
      </c>
    </row>
    <row r="274" ht="14.25" customHeight="1">
      <c r="B274" s="41">
        <v>45871.0</v>
      </c>
      <c r="C274" s="133" t="str">
        <f t="shared" si="1"/>
        <v>8-2025</v>
      </c>
      <c r="D274" s="29" t="s">
        <v>511</v>
      </c>
      <c r="E274" s="19" t="s">
        <v>695</v>
      </c>
      <c r="F274" s="19">
        <f t="shared" si="7"/>
        <v>942993.8</v>
      </c>
      <c r="G274" s="29">
        <v>943222.4</v>
      </c>
      <c r="H274" s="19">
        <f t="shared" si="2"/>
        <v>228.6</v>
      </c>
      <c r="I274" s="134"/>
      <c r="J274" s="29" t="s">
        <v>816</v>
      </c>
    </row>
    <row r="275" ht="14.25" customHeight="1">
      <c r="B275" s="41">
        <v>45875.0</v>
      </c>
      <c r="C275" s="133" t="str">
        <f t="shared" si="1"/>
        <v>8-2025</v>
      </c>
      <c r="D275" s="29" t="s">
        <v>511</v>
      </c>
      <c r="E275" s="19" t="s">
        <v>695</v>
      </c>
      <c r="F275" s="19">
        <f t="shared" si="7"/>
        <v>943222.4</v>
      </c>
      <c r="G275" s="29">
        <v>943222.4</v>
      </c>
      <c r="H275" s="19">
        <f t="shared" si="2"/>
        <v>0</v>
      </c>
      <c r="I275" s="134"/>
      <c r="J275" s="29" t="s">
        <v>817</v>
      </c>
    </row>
    <row r="276" ht="14.25" customHeight="1">
      <c r="B276" s="41">
        <v>45876.0</v>
      </c>
      <c r="C276" s="133" t="str">
        <f t="shared" si="1"/>
        <v>8-2025</v>
      </c>
      <c r="D276" s="29" t="s">
        <v>511</v>
      </c>
      <c r="E276" s="19" t="s">
        <v>695</v>
      </c>
      <c r="F276" s="19">
        <f t="shared" si="7"/>
        <v>943222.4</v>
      </c>
      <c r="G276" s="29">
        <v>943278.2</v>
      </c>
      <c r="H276" s="19">
        <f t="shared" si="2"/>
        <v>55.8</v>
      </c>
      <c r="I276" s="134"/>
      <c r="J276" s="29" t="s">
        <v>753</v>
      </c>
    </row>
    <row r="277" ht="14.25" customHeight="1">
      <c r="B277" s="41">
        <v>45876.0</v>
      </c>
      <c r="C277" s="133" t="str">
        <f t="shared" si="1"/>
        <v>8-2025</v>
      </c>
      <c r="D277" s="29" t="s">
        <v>818</v>
      </c>
      <c r="E277" s="19" t="s">
        <v>695</v>
      </c>
      <c r="F277" s="19">
        <f t="shared" si="7"/>
        <v>943278.2</v>
      </c>
      <c r="G277" s="29">
        <v>943422.1</v>
      </c>
      <c r="H277" s="19">
        <f t="shared" si="2"/>
        <v>143.9</v>
      </c>
      <c r="I277" s="134"/>
      <c r="J277" s="29" t="s">
        <v>819</v>
      </c>
    </row>
    <row r="278" ht="14.25" customHeight="1">
      <c r="B278" s="146">
        <v>45877.0</v>
      </c>
      <c r="C278" s="133" t="str">
        <f t="shared" si="1"/>
        <v>8-2025</v>
      </c>
      <c r="D278" s="29" t="s">
        <v>725</v>
      </c>
      <c r="E278" s="19" t="s">
        <v>695</v>
      </c>
      <c r="F278" s="19">
        <f t="shared" si="7"/>
        <v>943422.1</v>
      </c>
      <c r="G278" s="29">
        <v>943532.6</v>
      </c>
      <c r="H278" s="19">
        <f t="shared" si="2"/>
        <v>110.5</v>
      </c>
      <c r="I278" s="134"/>
      <c r="J278" s="29" t="s">
        <v>820</v>
      </c>
    </row>
    <row r="279" ht="14.25" customHeight="1">
      <c r="B279" s="41">
        <v>45882.0</v>
      </c>
      <c r="C279" s="133" t="str">
        <f t="shared" si="1"/>
        <v>8-2025</v>
      </c>
      <c r="D279" s="29" t="s">
        <v>821</v>
      </c>
      <c r="E279" s="19" t="s">
        <v>695</v>
      </c>
      <c r="F279" s="19">
        <f t="shared" si="7"/>
        <v>943532.6</v>
      </c>
      <c r="G279" s="29">
        <v>943608.6</v>
      </c>
      <c r="H279" s="19">
        <f t="shared" si="2"/>
        <v>76</v>
      </c>
      <c r="I279" s="134"/>
      <c r="J279" s="29" t="s">
        <v>822</v>
      </c>
    </row>
    <row r="280" ht="14.25" customHeight="1">
      <c r="B280" s="41">
        <v>45895.0</v>
      </c>
      <c r="C280" s="133" t="str">
        <f t="shared" si="1"/>
        <v>8-2025</v>
      </c>
      <c r="D280" s="29" t="s">
        <v>823</v>
      </c>
      <c r="E280" s="19" t="s">
        <v>695</v>
      </c>
      <c r="F280" s="19">
        <f t="shared" si="7"/>
        <v>943608.6</v>
      </c>
      <c r="G280" s="29">
        <v>944556.8</v>
      </c>
      <c r="H280" s="19">
        <f t="shared" si="2"/>
        <v>948.2</v>
      </c>
      <c r="I280" s="134"/>
      <c r="J280" s="29" t="s">
        <v>824</v>
      </c>
    </row>
    <row r="281" ht="14.25" customHeight="1">
      <c r="B281" s="41">
        <v>45901.0</v>
      </c>
      <c r="C281" s="133" t="str">
        <f t="shared" si="1"/>
        <v>9-2025</v>
      </c>
      <c r="D281" s="29" t="s">
        <v>511</v>
      </c>
      <c r="E281" s="19" t="s">
        <v>695</v>
      </c>
      <c r="F281" s="19">
        <f t="shared" si="7"/>
        <v>944556.8</v>
      </c>
      <c r="G281" s="19"/>
      <c r="H281" s="19">
        <f t="shared" si="2"/>
        <v>-944556.8</v>
      </c>
      <c r="I281" s="134"/>
      <c r="J281" s="19"/>
    </row>
    <row r="282" ht="14.25" customHeight="1">
      <c r="B282" s="41">
        <v>45931.0</v>
      </c>
      <c r="C282" s="133" t="str">
        <f t="shared" si="1"/>
        <v>10-2025</v>
      </c>
      <c r="D282" s="29" t="s">
        <v>259</v>
      </c>
      <c r="E282" s="29" t="s">
        <v>825</v>
      </c>
      <c r="F282" s="29">
        <v>947987.8</v>
      </c>
      <c r="G282" s="29">
        <v>948123.5</v>
      </c>
      <c r="H282" s="19">
        <f t="shared" si="2"/>
        <v>135.7</v>
      </c>
      <c r="I282" s="134"/>
      <c r="J282" s="29" t="s">
        <v>826</v>
      </c>
    </row>
    <row r="283" ht="14.25" customHeight="1">
      <c r="B283" s="41">
        <v>45932.0</v>
      </c>
      <c r="C283" s="133" t="str">
        <f t="shared" si="1"/>
        <v>10-2025</v>
      </c>
      <c r="D283" s="29" t="s">
        <v>259</v>
      </c>
      <c r="E283" s="29" t="s">
        <v>827</v>
      </c>
      <c r="F283" s="19">
        <f>G282</f>
        <v>948123.5</v>
      </c>
      <c r="G283" s="29">
        <v>948585.6</v>
      </c>
      <c r="H283" s="19">
        <f t="shared" si="2"/>
        <v>462.1</v>
      </c>
      <c r="I283" s="134"/>
      <c r="J283" s="29" t="s">
        <v>828</v>
      </c>
    </row>
    <row r="284" ht="14.25" customHeight="1">
      <c r="B284" s="41">
        <v>45934.0</v>
      </c>
      <c r="C284" s="133" t="str">
        <f t="shared" si="1"/>
        <v>10-2025</v>
      </c>
      <c r="D284" s="29" t="s">
        <v>259</v>
      </c>
      <c r="E284" s="29" t="s">
        <v>827</v>
      </c>
      <c r="F284" s="29">
        <v>948642.4</v>
      </c>
      <c r="G284" s="29">
        <v>948756.2</v>
      </c>
      <c r="H284" s="19">
        <f t="shared" si="2"/>
        <v>113.8</v>
      </c>
      <c r="I284" s="134"/>
      <c r="J284" s="29" t="s">
        <v>829</v>
      </c>
    </row>
    <row r="285" ht="14.25" customHeight="1">
      <c r="B285" s="41">
        <v>45943.0</v>
      </c>
      <c r="C285" s="133" t="str">
        <f t="shared" si="1"/>
        <v>10-2025</v>
      </c>
      <c r="D285" s="29" t="s">
        <v>830</v>
      </c>
      <c r="E285" s="29" t="s">
        <v>827</v>
      </c>
      <c r="F285" s="29">
        <v>948770.7</v>
      </c>
      <c r="G285" s="29">
        <v>949068.0</v>
      </c>
      <c r="H285" s="19">
        <f t="shared" si="2"/>
        <v>297.3</v>
      </c>
      <c r="I285" s="134"/>
      <c r="J285" s="29" t="s">
        <v>829</v>
      </c>
    </row>
    <row r="286" ht="14.25" customHeight="1">
      <c r="B286" s="41">
        <v>45944.0</v>
      </c>
      <c r="C286" s="133" t="str">
        <f t="shared" si="1"/>
        <v>10-2025</v>
      </c>
      <c r="D286" s="29" t="s">
        <v>259</v>
      </c>
      <c r="E286" s="29" t="s">
        <v>827</v>
      </c>
      <c r="F286" s="29">
        <v>949071.3</v>
      </c>
      <c r="G286" s="29">
        <v>949107.4</v>
      </c>
      <c r="H286" s="19">
        <f t="shared" si="2"/>
        <v>36.1</v>
      </c>
      <c r="I286" s="134"/>
      <c r="J286" s="29" t="s">
        <v>831</v>
      </c>
    </row>
    <row r="287" ht="14.25" customHeight="1">
      <c r="B287" s="41">
        <v>45947.0</v>
      </c>
      <c r="C287" s="133" t="str">
        <f t="shared" si="1"/>
        <v>10-2025</v>
      </c>
      <c r="D287" s="29" t="s">
        <v>259</v>
      </c>
      <c r="E287" s="29" t="s">
        <v>827</v>
      </c>
      <c r="F287" s="29">
        <v>949107.4</v>
      </c>
      <c r="G287" s="29">
        <v>949154.2</v>
      </c>
      <c r="H287" s="19">
        <f t="shared" si="2"/>
        <v>46.8</v>
      </c>
      <c r="I287" s="134"/>
      <c r="J287" s="29" t="s">
        <v>832</v>
      </c>
    </row>
    <row r="288" ht="14.25" customHeight="1">
      <c r="B288" s="148">
        <v>45947.0</v>
      </c>
      <c r="C288" s="133" t="str">
        <f t="shared" si="1"/>
        <v>10-2025</v>
      </c>
      <c r="D288" s="29" t="s">
        <v>28</v>
      </c>
      <c r="E288" s="29" t="s">
        <v>827</v>
      </c>
      <c r="F288" s="19">
        <f>G287</f>
        <v>949154.2</v>
      </c>
      <c r="G288" s="29">
        <v>949224.4</v>
      </c>
      <c r="H288" s="19">
        <f t="shared" si="2"/>
        <v>70.2</v>
      </c>
      <c r="I288" s="134"/>
      <c r="J288" s="29" t="s">
        <v>833</v>
      </c>
    </row>
    <row r="289" ht="14.25" customHeight="1">
      <c r="B289" s="41">
        <v>45950.0</v>
      </c>
      <c r="C289" s="133" t="str">
        <f t="shared" si="1"/>
        <v>10-2025</v>
      </c>
      <c r="D289" s="29" t="s">
        <v>28</v>
      </c>
      <c r="E289" s="29" t="s">
        <v>827</v>
      </c>
      <c r="F289" s="29">
        <v>949400.0</v>
      </c>
      <c r="G289" s="29">
        <v>949512.0</v>
      </c>
      <c r="H289" s="19">
        <f t="shared" si="2"/>
        <v>112</v>
      </c>
      <c r="I289" s="147">
        <v>340.0</v>
      </c>
      <c r="J289" s="29" t="s">
        <v>834</v>
      </c>
    </row>
    <row r="290" ht="14.25" customHeight="1">
      <c r="B290" s="41">
        <v>45952.0</v>
      </c>
      <c r="C290" s="133" t="str">
        <f t="shared" si="1"/>
        <v>10-2025</v>
      </c>
      <c r="D290" s="29" t="s">
        <v>835</v>
      </c>
      <c r="E290" s="29" t="s">
        <v>827</v>
      </c>
      <c r="F290" s="29">
        <v>949555.0</v>
      </c>
      <c r="G290" s="29">
        <v>949824.4</v>
      </c>
      <c r="H290" s="19">
        <f t="shared" si="2"/>
        <v>269.4</v>
      </c>
      <c r="I290" s="134"/>
      <c r="J290" s="29" t="s">
        <v>836</v>
      </c>
    </row>
    <row r="291" ht="14.25" customHeight="1">
      <c r="B291" s="41">
        <v>45957.0</v>
      </c>
      <c r="C291" s="133" t="str">
        <f t="shared" si="1"/>
        <v>10-2025</v>
      </c>
      <c r="D291" s="29" t="s">
        <v>104</v>
      </c>
      <c r="E291" s="29" t="s">
        <v>827</v>
      </c>
      <c r="F291" s="29">
        <v>949844.0</v>
      </c>
      <c r="G291" s="29">
        <v>949927.6</v>
      </c>
      <c r="H291" s="19">
        <f t="shared" si="2"/>
        <v>83.6</v>
      </c>
      <c r="I291" s="134"/>
      <c r="J291" s="29" t="s">
        <v>837</v>
      </c>
    </row>
    <row r="292" ht="14.25" customHeight="1">
      <c r="B292" s="41">
        <v>45958.0</v>
      </c>
      <c r="C292" s="133" t="str">
        <f t="shared" si="1"/>
        <v>10-2025</v>
      </c>
      <c r="D292" s="29" t="s">
        <v>259</v>
      </c>
      <c r="E292" s="29" t="s">
        <v>827</v>
      </c>
      <c r="F292" s="29">
        <v>949927.6</v>
      </c>
      <c r="G292" s="29">
        <v>949965.8</v>
      </c>
      <c r="H292" s="19">
        <f t="shared" si="2"/>
        <v>38.2</v>
      </c>
      <c r="I292" s="134"/>
      <c r="J292" s="29" t="s">
        <v>838</v>
      </c>
    </row>
    <row r="293" ht="14.25" customHeight="1">
      <c r="B293" s="41">
        <v>45959.0</v>
      </c>
      <c r="C293" s="133" t="str">
        <f t="shared" si="1"/>
        <v>10-2025</v>
      </c>
      <c r="D293" s="29" t="s">
        <v>187</v>
      </c>
      <c r="E293" s="29" t="s">
        <v>827</v>
      </c>
      <c r="F293" s="29">
        <v>949965.8</v>
      </c>
      <c r="G293" s="29">
        <v>950028.9</v>
      </c>
      <c r="H293" s="19">
        <f t="shared" si="2"/>
        <v>63.1</v>
      </c>
      <c r="I293" s="147">
        <v>392.0</v>
      </c>
      <c r="J293" s="29" t="s">
        <v>839</v>
      </c>
    </row>
    <row r="294" ht="14.25" customHeight="1">
      <c r="B294" s="41">
        <v>45959.0</v>
      </c>
      <c r="C294" s="133" t="str">
        <f t="shared" si="1"/>
        <v>10-2025</v>
      </c>
      <c r="D294" s="29" t="s">
        <v>259</v>
      </c>
      <c r="E294" s="29" t="s">
        <v>827</v>
      </c>
      <c r="F294" s="29">
        <v>950028.9</v>
      </c>
      <c r="G294" s="29">
        <v>950067.8</v>
      </c>
      <c r="H294" s="19">
        <f t="shared" si="2"/>
        <v>38.9</v>
      </c>
      <c r="I294" s="134"/>
      <c r="J294" s="29" t="s">
        <v>832</v>
      </c>
    </row>
    <row r="295" ht="14.25" customHeight="1">
      <c r="B295" s="41">
        <v>45959.0</v>
      </c>
      <c r="C295" s="133" t="str">
        <f t="shared" si="1"/>
        <v>10-2025</v>
      </c>
      <c r="D295" s="29" t="s">
        <v>259</v>
      </c>
      <c r="E295" s="29" t="s">
        <v>827</v>
      </c>
      <c r="F295" s="29">
        <v>950067.8</v>
      </c>
      <c r="G295" s="29">
        <v>950143.5</v>
      </c>
      <c r="H295" s="19">
        <f t="shared" si="2"/>
        <v>75.7</v>
      </c>
      <c r="I295" s="134"/>
      <c r="J295" s="29" t="s">
        <v>840</v>
      </c>
    </row>
    <row r="296" ht="14.25" customHeight="1">
      <c r="B296" s="41">
        <v>45961.0</v>
      </c>
      <c r="C296" s="133" t="str">
        <f t="shared" si="1"/>
        <v>10-2025</v>
      </c>
      <c r="D296" s="29" t="s">
        <v>104</v>
      </c>
      <c r="E296" s="29" t="s">
        <v>827</v>
      </c>
      <c r="F296" s="19">
        <f>G295</f>
        <v>950143.5</v>
      </c>
      <c r="G296" s="29">
        <v>950155.1</v>
      </c>
      <c r="H296" s="19">
        <f t="shared" si="2"/>
        <v>11.6</v>
      </c>
      <c r="I296" s="134"/>
      <c r="J296" s="29" t="s">
        <v>841</v>
      </c>
    </row>
    <row r="297" ht="14.25" customHeight="1">
      <c r="B297" s="41">
        <v>45962.0</v>
      </c>
      <c r="C297" s="133" t="str">
        <f t="shared" si="1"/>
        <v>11-2025</v>
      </c>
      <c r="D297" s="29" t="s">
        <v>259</v>
      </c>
      <c r="E297" s="29" t="s">
        <v>827</v>
      </c>
      <c r="F297" s="29">
        <v>950254.4</v>
      </c>
      <c r="G297" s="29">
        <v>950335.2</v>
      </c>
      <c r="H297" s="19">
        <f t="shared" si="2"/>
        <v>80.8</v>
      </c>
      <c r="I297" s="134"/>
      <c r="J297" s="29" t="s">
        <v>842</v>
      </c>
    </row>
    <row r="298" ht="14.25" customHeight="1">
      <c r="B298" s="41">
        <v>45967.0</v>
      </c>
      <c r="C298" s="133" t="str">
        <f t="shared" si="1"/>
        <v>11-2025</v>
      </c>
      <c r="D298" s="29" t="s">
        <v>259</v>
      </c>
      <c r="E298" s="29" t="s">
        <v>827</v>
      </c>
      <c r="F298" s="19">
        <f t="shared" ref="F298:F300" si="8">G297</f>
        <v>950335.2</v>
      </c>
      <c r="G298" s="29">
        <v>950373.0</v>
      </c>
      <c r="H298" s="19">
        <f t="shared" si="2"/>
        <v>37.8</v>
      </c>
      <c r="I298" s="134"/>
      <c r="J298" s="29" t="s">
        <v>843</v>
      </c>
    </row>
    <row r="299" ht="14.25" customHeight="1">
      <c r="B299" s="41">
        <v>45968.0</v>
      </c>
      <c r="C299" s="133" t="str">
        <f t="shared" si="1"/>
        <v>11-2025</v>
      </c>
      <c r="D299" s="29" t="s">
        <v>259</v>
      </c>
      <c r="E299" s="29" t="s">
        <v>827</v>
      </c>
      <c r="F299" s="19">
        <f t="shared" si="8"/>
        <v>950373</v>
      </c>
      <c r="G299" s="29">
        <v>950519.0</v>
      </c>
      <c r="H299" s="19">
        <f t="shared" si="2"/>
        <v>146</v>
      </c>
      <c r="I299" s="134"/>
      <c r="J299" s="29" t="s">
        <v>844</v>
      </c>
    </row>
    <row r="300" ht="14.25" customHeight="1">
      <c r="B300" s="41">
        <v>45968.0</v>
      </c>
      <c r="C300" s="133" t="str">
        <f t="shared" si="1"/>
        <v>11-2025</v>
      </c>
      <c r="D300" s="29" t="s">
        <v>259</v>
      </c>
      <c r="E300" s="29" t="s">
        <v>827</v>
      </c>
      <c r="F300" s="19">
        <f t="shared" si="8"/>
        <v>950519</v>
      </c>
      <c r="G300" s="29">
        <v>950559.5</v>
      </c>
      <c r="H300" s="19">
        <f t="shared" si="2"/>
        <v>40.5</v>
      </c>
      <c r="I300" s="134"/>
      <c r="J300" s="29" t="s">
        <v>845</v>
      </c>
    </row>
    <row r="301" ht="14.25" customHeight="1">
      <c r="B301" s="41">
        <v>45968.0</v>
      </c>
      <c r="C301" s="133" t="str">
        <f t="shared" si="1"/>
        <v>11-2025</v>
      </c>
      <c r="D301" s="29" t="s">
        <v>259</v>
      </c>
      <c r="E301" s="29" t="s">
        <v>827</v>
      </c>
      <c r="F301" s="29">
        <v>950559.5</v>
      </c>
      <c r="G301" s="29">
        <v>950575.8</v>
      </c>
      <c r="H301" s="19">
        <f t="shared" si="2"/>
        <v>16.3</v>
      </c>
      <c r="I301" s="134"/>
      <c r="J301" s="29" t="s">
        <v>845</v>
      </c>
    </row>
    <row r="302" ht="14.25" customHeight="1">
      <c r="B302" s="41">
        <v>45971.0</v>
      </c>
      <c r="C302" s="133" t="str">
        <f t="shared" si="1"/>
        <v>11-2025</v>
      </c>
      <c r="D302" s="29" t="s">
        <v>259</v>
      </c>
      <c r="E302" s="29" t="s">
        <v>827</v>
      </c>
      <c r="F302" s="19">
        <f t="shared" ref="F302:F315" si="9">G301</f>
        <v>950575.8</v>
      </c>
      <c r="G302" s="29">
        <v>950616.5</v>
      </c>
      <c r="H302" s="19">
        <f t="shared" si="2"/>
        <v>40.7</v>
      </c>
      <c r="I302" s="134"/>
      <c r="J302" s="29" t="s">
        <v>846</v>
      </c>
    </row>
    <row r="303" ht="14.25" customHeight="1">
      <c r="B303" s="41">
        <v>45971.0</v>
      </c>
      <c r="C303" s="133" t="str">
        <f t="shared" si="1"/>
        <v>11-2025</v>
      </c>
      <c r="D303" s="29" t="s">
        <v>259</v>
      </c>
      <c r="E303" s="29" t="s">
        <v>827</v>
      </c>
      <c r="F303" s="19">
        <f t="shared" si="9"/>
        <v>950616.5</v>
      </c>
      <c r="G303" s="29">
        <v>950668.1</v>
      </c>
      <c r="H303" s="19">
        <f t="shared" si="2"/>
        <v>51.6</v>
      </c>
      <c r="I303" s="134"/>
      <c r="J303" s="29" t="s">
        <v>847</v>
      </c>
    </row>
    <row r="304" ht="14.25" customHeight="1">
      <c r="B304" s="41">
        <v>45972.0</v>
      </c>
      <c r="C304" s="133" t="str">
        <f t="shared" si="1"/>
        <v>11-2025</v>
      </c>
      <c r="D304" s="29" t="s">
        <v>378</v>
      </c>
      <c r="E304" s="29" t="s">
        <v>827</v>
      </c>
      <c r="F304" s="19">
        <f t="shared" si="9"/>
        <v>950668.1</v>
      </c>
      <c r="G304" s="29">
        <v>950762.5</v>
      </c>
      <c r="H304" s="19">
        <f t="shared" si="2"/>
        <v>94.4</v>
      </c>
      <c r="I304" s="134"/>
      <c r="J304" s="29" t="s">
        <v>848</v>
      </c>
    </row>
    <row r="305" ht="14.25" customHeight="1">
      <c r="B305" s="41">
        <v>45972.0</v>
      </c>
      <c r="C305" s="133" t="str">
        <f t="shared" si="1"/>
        <v>11-2025</v>
      </c>
      <c r="D305" s="29" t="s">
        <v>187</v>
      </c>
      <c r="E305" s="29" t="s">
        <v>827</v>
      </c>
      <c r="F305" s="19">
        <f t="shared" si="9"/>
        <v>950762.5</v>
      </c>
      <c r="G305" s="29">
        <v>950910.8</v>
      </c>
      <c r="H305" s="19">
        <f t="shared" si="2"/>
        <v>148.3</v>
      </c>
      <c r="I305" s="134"/>
      <c r="J305" s="29" t="s">
        <v>849</v>
      </c>
    </row>
    <row r="306" ht="14.25" customHeight="1">
      <c r="B306" s="41">
        <v>45978.0</v>
      </c>
      <c r="C306" s="133" t="str">
        <f t="shared" si="1"/>
        <v>11-2025</v>
      </c>
      <c r="D306" s="29" t="s">
        <v>362</v>
      </c>
      <c r="E306" s="29" t="s">
        <v>827</v>
      </c>
      <c r="F306" s="19">
        <f t="shared" si="9"/>
        <v>950910.8</v>
      </c>
      <c r="G306" s="29">
        <v>950965.3</v>
      </c>
      <c r="H306" s="19">
        <f t="shared" si="2"/>
        <v>54.5</v>
      </c>
      <c r="I306" s="134"/>
      <c r="J306" s="29" t="s">
        <v>850</v>
      </c>
    </row>
    <row r="307" ht="14.25" customHeight="1">
      <c r="B307" s="148">
        <v>45980.0</v>
      </c>
      <c r="C307" s="133" t="str">
        <f t="shared" si="1"/>
        <v>11-2025</v>
      </c>
      <c r="D307" s="29" t="s">
        <v>259</v>
      </c>
      <c r="E307" s="29" t="s">
        <v>827</v>
      </c>
      <c r="F307" s="19">
        <f t="shared" si="9"/>
        <v>950965.3</v>
      </c>
      <c r="G307" s="29">
        <v>951037.9</v>
      </c>
      <c r="H307" s="19">
        <f t="shared" si="2"/>
        <v>72.6</v>
      </c>
      <c r="I307" s="134"/>
      <c r="J307" s="29" t="s">
        <v>851</v>
      </c>
    </row>
    <row r="308" ht="13.5" customHeight="1">
      <c r="B308" s="41">
        <v>45980.0</v>
      </c>
      <c r="C308" s="133" t="str">
        <f t="shared" si="1"/>
        <v>11-2025</v>
      </c>
      <c r="D308" s="29" t="s">
        <v>187</v>
      </c>
      <c r="E308" s="29" t="s">
        <v>827</v>
      </c>
      <c r="F308" s="19">
        <f t="shared" si="9"/>
        <v>951037.9</v>
      </c>
      <c r="G308" s="29">
        <v>951577.0</v>
      </c>
      <c r="H308" s="19">
        <f t="shared" si="2"/>
        <v>539.1</v>
      </c>
      <c r="I308" s="147">
        <v>363.0</v>
      </c>
      <c r="J308" s="29" t="s">
        <v>852</v>
      </c>
    </row>
    <row r="309" ht="14.25" customHeight="1">
      <c r="B309" s="41">
        <v>45981.0</v>
      </c>
      <c r="C309" s="133" t="str">
        <f t="shared" si="1"/>
        <v>11-2025</v>
      </c>
      <c r="D309" s="29" t="s">
        <v>259</v>
      </c>
      <c r="E309" s="29" t="s">
        <v>827</v>
      </c>
      <c r="F309" s="19">
        <f t="shared" si="9"/>
        <v>951577</v>
      </c>
      <c r="G309" s="29">
        <v>951622.0</v>
      </c>
      <c r="H309" s="19">
        <f t="shared" si="2"/>
        <v>45</v>
      </c>
      <c r="I309" s="134"/>
      <c r="J309" s="145" t="s">
        <v>853</v>
      </c>
    </row>
    <row r="310" ht="14.25" customHeight="1">
      <c r="B310" s="41">
        <v>45983.0</v>
      </c>
      <c r="C310" s="133" t="str">
        <f t="shared" si="1"/>
        <v>11-2025</v>
      </c>
      <c r="D310" s="29" t="s">
        <v>28</v>
      </c>
      <c r="E310" s="29" t="s">
        <v>827</v>
      </c>
      <c r="F310" s="19">
        <f t="shared" si="9"/>
        <v>951622</v>
      </c>
      <c r="G310" s="29">
        <v>952076.8</v>
      </c>
      <c r="H310" s="19">
        <f t="shared" si="2"/>
        <v>454.8</v>
      </c>
      <c r="I310" s="147">
        <v>256.0</v>
      </c>
      <c r="J310" s="29" t="s">
        <v>854</v>
      </c>
    </row>
    <row r="311" ht="14.25" customHeight="1">
      <c r="B311" s="41">
        <v>45987.0</v>
      </c>
      <c r="C311" s="133" t="str">
        <f t="shared" si="1"/>
        <v>11-2025</v>
      </c>
      <c r="D311" s="29" t="s">
        <v>28</v>
      </c>
      <c r="E311" s="29" t="s">
        <v>827</v>
      </c>
      <c r="F311" s="19">
        <f t="shared" si="9"/>
        <v>952076.8</v>
      </c>
      <c r="G311" s="29">
        <v>952142.4</v>
      </c>
      <c r="H311" s="19">
        <f t="shared" si="2"/>
        <v>65.6</v>
      </c>
      <c r="I311" s="134"/>
      <c r="J311" s="29" t="s">
        <v>855</v>
      </c>
    </row>
    <row r="312" ht="14.25" customHeight="1">
      <c r="B312" s="41">
        <v>45987.0</v>
      </c>
      <c r="C312" s="133" t="str">
        <f t="shared" si="1"/>
        <v>11-2025</v>
      </c>
      <c r="D312" s="29" t="s">
        <v>28</v>
      </c>
      <c r="E312" s="29" t="s">
        <v>827</v>
      </c>
      <c r="F312" s="19">
        <f t="shared" si="9"/>
        <v>952142.4</v>
      </c>
      <c r="G312" s="29">
        <v>952201.8</v>
      </c>
      <c r="H312" s="19">
        <f t="shared" si="2"/>
        <v>59.4</v>
      </c>
      <c r="I312" s="134"/>
      <c r="J312" s="29" t="s">
        <v>856</v>
      </c>
    </row>
    <row r="313" ht="14.25" customHeight="1">
      <c r="B313" s="41">
        <v>45987.0</v>
      </c>
      <c r="C313" s="133" t="str">
        <f t="shared" si="1"/>
        <v>11-2025</v>
      </c>
      <c r="D313" s="145" t="s">
        <v>28</v>
      </c>
      <c r="E313" s="29" t="s">
        <v>827</v>
      </c>
      <c r="F313" s="19">
        <f t="shared" si="9"/>
        <v>952201.8</v>
      </c>
      <c r="G313" s="29">
        <v>952295.2</v>
      </c>
      <c r="H313" s="19">
        <f t="shared" si="2"/>
        <v>93.4</v>
      </c>
      <c r="I313" s="134"/>
      <c r="J313" s="29" t="s">
        <v>857</v>
      </c>
    </row>
    <row r="314" ht="14.25" customHeight="1">
      <c r="B314" s="41">
        <v>45988.0</v>
      </c>
      <c r="C314" s="133" t="str">
        <f t="shared" si="1"/>
        <v>11-2025</v>
      </c>
      <c r="D314" s="29" t="s">
        <v>259</v>
      </c>
      <c r="E314" s="29" t="s">
        <v>827</v>
      </c>
      <c r="F314" s="19">
        <f t="shared" si="9"/>
        <v>952295.2</v>
      </c>
      <c r="G314" s="29">
        <v>952442.0</v>
      </c>
      <c r="H314" s="19">
        <f t="shared" si="2"/>
        <v>146.8</v>
      </c>
      <c r="I314" s="134"/>
      <c r="J314" s="29" t="s">
        <v>858</v>
      </c>
    </row>
    <row r="315" ht="14.25" customHeight="1">
      <c r="B315" s="27"/>
      <c r="C315" s="133" t="str">
        <f t="shared" si="1"/>
        <v>12-1899</v>
      </c>
      <c r="D315" s="29" t="s">
        <v>859</v>
      </c>
      <c r="E315" s="29" t="s">
        <v>827</v>
      </c>
      <c r="F315" s="19">
        <f t="shared" si="9"/>
        <v>952442</v>
      </c>
      <c r="G315" s="29">
        <v>952610.3</v>
      </c>
      <c r="H315" s="19">
        <f t="shared" si="2"/>
        <v>168.3</v>
      </c>
      <c r="I315" s="134"/>
      <c r="J315" s="29" t="s">
        <v>860</v>
      </c>
    </row>
    <row r="316" ht="14.25" customHeight="1">
      <c r="B316" s="41">
        <v>45992.0</v>
      </c>
      <c r="C316" s="133" t="str">
        <f t="shared" si="1"/>
        <v>12-2025</v>
      </c>
      <c r="D316" s="29" t="s">
        <v>187</v>
      </c>
      <c r="E316" s="29" t="s">
        <v>861</v>
      </c>
      <c r="F316" s="29">
        <v>952692.6</v>
      </c>
      <c r="G316" s="29">
        <v>952860.5</v>
      </c>
      <c r="H316" s="19">
        <f t="shared" si="2"/>
        <v>167.9</v>
      </c>
      <c r="I316" s="134"/>
      <c r="J316" s="29" t="s">
        <v>862</v>
      </c>
    </row>
    <row r="317" ht="14.25" customHeight="1">
      <c r="B317" s="41">
        <v>45993.0</v>
      </c>
      <c r="C317" s="133" t="str">
        <f t="shared" si="1"/>
        <v>12-2025</v>
      </c>
      <c r="D317" s="29" t="s">
        <v>28</v>
      </c>
      <c r="E317" s="29" t="s">
        <v>861</v>
      </c>
      <c r="F317" s="19">
        <f t="shared" ref="F317:F325" si="10">G316</f>
        <v>952860.5</v>
      </c>
      <c r="G317" s="29">
        <v>952955.6</v>
      </c>
      <c r="H317" s="19">
        <f t="shared" si="2"/>
        <v>95.1</v>
      </c>
      <c r="I317" s="134"/>
      <c r="J317" s="29" t="s">
        <v>863</v>
      </c>
    </row>
    <row r="318" ht="14.25" customHeight="1">
      <c r="B318" s="41">
        <v>45993.0</v>
      </c>
      <c r="C318" s="133" t="str">
        <f t="shared" si="1"/>
        <v>12-2025</v>
      </c>
      <c r="D318" s="29" t="s">
        <v>187</v>
      </c>
      <c r="E318" s="29" t="s">
        <v>861</v>
      </c>
      <c r="F318" s="19">
        <f t="shared" si="10"/>
        <v>952955.6</v>
      </c>
      <c r="G318" s="29">
        <v>953085.8</v>
      </c>
      <c r="H318" s="19">
        <f t="shared" si="2"/>
        <v>130.2</v>
      </c>
      <c r="I318" s="134"/>
      <c r="J318" s="29" t="s">
        <v>864</v>
      </c>
    </row>
    <row r="319" ht="14.25" customHeight="1">
      <c r="B319" s="41">
        <v>45994.0</v>
      </c>
      <c r="C319" s="133" t="str">
        <f t="shared" si="1"/>
        <v>12-2025</v>
      </c>
      <c r="D319" s="29" t="s">
        <v>187</v>
      </c>
      <c r="E319" s="29" t="s">
        <v>861</v>
      </c>
      <c r="F319" s="19">
        <f t="shared" si="10"/>
        <v>953085.8</v>
      </c>
      <c r="G319" s="29">
        <v>953139.3</v>
      </c>
      <c r="H319" s="19">
        <f t="shared" si="2"/>
        <v>53.5</v>
      </c>
      <c r="I319" s="134"/>
      <c r="J319" s="29" t="s">
        <v>865</v>
      </c>
    </row>
    <row r="320" ht="14.25" customHeight="1">
      <c r="B320" s="41">
        <v>45995.0</v>
      </c>
      <c r="C320" s="133" t="str">
        <f t="shared" si="1"/>
        <v>12-2025</v>
      </c>
      <c r="D320" s="29" t="s">
        <v>259</v>
      </c>
      <c r="E320" s="29" t="s">
        <v>861</v>
      </c>
      <c r="F320" s="19">
        <f t="shared" si="10"/>
        <v>953139.3</v>
      </c>
      <c r="G320" s="29">
        <v>953181.4</v>
      </c>
      <c r="H320" s="19">
        <f t="shared" si="2"/>
        <v>42.1</v>
      </c>
      <c r="I320" s="134"/>
      <c r="J320" s="29" t="s">
        <v>866</v>
      </c>
    </row>
    <row r="321" ht="14.25" customHeight="1">
      <c r="B321" s="41">
        <v>45996.0</v>
      </c>
      <c r="C321" s="133" t="str">
        <f t="shared" si="1"/>
        <v>12-2025</v>
      </c>
      <c r="D321" s="29" t="s">
        <v>259</v>
      </c>
      <c r="E321" s="29" t="s">
        <v>861</v>
      </c>
      <c r="F321" s="19">
        <f t="shared" si="10"/>
        <v>953181.4</v>
      </c>
      <c r="G321" s="29">
        <v>953252.6</v>
      </c>
      <c r="H321" s="19">
        <f t="shared" si="2"/>
        <v>71.2</v>
      </c>
      <c r="I321" s="134"/>
      <c r="J321" s="29" t="s">
        <v>867</v>
      </c>
    </row>
    <row r="322" ht="14.25" customHeight="1">
      <c r="B322" s="41">
        <v>45999.0</v>
      </c>
      <c r="C322" s="133" t="str">
        <f t="shared" si="1"/>
        <v>12-2025</v>
      </c>
      <c r="D322" s="29" t="s">
        <v>441</v>
      </c>
      <c r="E322" s="29" t="s">
        <v>861</v>
      </c>
      <c r="F322" s="19">
        <f t="shared" si="10"/>
        <v>953252.6</v>
      </c>
      <c r="G322" s="29">
        <v>953292.5</v>
      </c>
      <c r="H322" s="19">
        <f t="shared" si="2"/>
        <v>39.9</v>
      </c>
      <c r="I322" s="134"/>
      <c r="J322" s="29" t="s">
        <v>868</v>
      </c>
    </row>
    <row r="323" ht="14.25" customHeight="1">
      <c r="B323" s="41">
        <v>45999.0</v>
      </c>
      <c r="C323" s="133" t="str">
        <f t="shared" si="1"/>
        <v>12-2025</v>
      </c>
      <c r="D323" s="29" t="s">
        <v>28</v>
      </c>
      <c r="E323" s="29" t="s">
        <v>861</v>
      </c>
      <c r="F323" s="19">
        <f t="shared" si="10"/>
        <v>953292.5</v>
      </c>
      <c r="G323" s="29">
        <v>953348.7</v>
      </c>
      <c r="H323" s="19">
        <f t="shared" si="2"/>
        <v>56.2</v>
      </c>
      <c r="I323" s="134"/>
      <c r="J323" s="29" t="s">
        <v>869</v>
      </c>
    </row>
    <row r="324" ht="14.25" customHeight="1">
      <c r="B324" s="41">
        <v>45999.0</v>
      </c>
      <c r="C324" s="133" t="str">
        <f t="shared" si="1"/>
        <v>12-2025</v>
      </c>
      <c r="D324" s="19"/>
      <c r="E324" s="29" t="s">
        <v>861</v>
      </c>
      <c r="F324" s="19">
        <f t="shared" si="10"/>
        <v>953348.7</v>
      </c>
      <c r="G324" s="29">
        <v>953418.4</v>
      </c>
      <c r="H324" s="19">
        <f t="shared" si="2"/>
        <v>69.7</v>
      </c>
      <c r="I324" s="134"/>
      <c r="J324" s="19"/>
    </row>
    <row r="325" ht="14.25" customHeight="1">
      <c r="B325" s="41">
        <v>46000.0</v>
      </c>
      <c r="C325" s="133" t="str">
        <f t="shared" si="1"/>
        <v>12-2025</v>
      </c>
      <c r="D325" s="29" t="s">
        <v>259</v>
      </c>
      <c r="E325" s="29" t="s">
        <v>861</v>
      </c>
      <c r="F325" s="19">
        <f t="shared" si="10"/>
        <v>953418.4</v>
      </c>
      <c r="G325" s="19"/>
      <c r="H325" s="19">
        <f t="shared" si="2"/>
        <v>-953418.4</v>
      </c>
      <c r="I325" s="134"/>
      <c r="J325" s="29" t="s">
        <v>870</v>
      </c>
    </row>
    <row r="326" ht="14.25" customHeight="1">
      <c r="C326" s="133" t="str">
        <f t="shared" ref="C326:C329" si="11">MONTH(B327)&amp; "-" &amp;YEAR(B327)</f>
        <v>12-2025</v>
      </c>
      <c r="D326" s="19"/>
      <c r="E326" s="29" t="s">
        <v>861</v>
      </c>
      <c r="F326" s="29">
        <v>953292.6</v>
      </c>
      <c r="G326" s="29">
        <v>956463.8</v>
      </c>
      <c r="H326" s="19">
        <f t="shared" si="2"/>
        <v>3171.2</v>
      </c>
      <c r="I326" s="134"/>
      <c r="J326" s="19"/>
    </row>
    <row r="327" ht="14.25" customHeight="1">
      <c r="B327" s="41">
        <v>46018.0</v>
      </c>
      <c r="C327" s="133" t="str">
        <f t="shared" si="11"/>
        <v>12-2025</v>
      </c>
      <c r="D327" s="29" t="s">
        <v>145</v>
      </c>
      <c r="E327" s="29" t="s">
        <v>861</v>
      </c>
      <c r="F327" s="19">
        <f>G326</f>
        <v>956463.8</v>
      </c>
      <c r="G327" s="29">
        <v>957164.8</v>
      </c>
      <c r="H327" s="19">
        <f t="shared" si="2"/>
        <v>701</v>
      </c>
      <c r="I327" s="134"/>
      <c r="J327" s="29" t="s">
        <v>871</v>
      </c>
    </row>
    <row r="328" ht="14.25" customHeight="1">
      <c r="B328" s="41">
        <v>46020.0</v>
      </c>
      <c r="C328" s="133" t="str">
        <f t="shared" si="11"/>
        <v>1-2026</v>
      </c>
      <c r="D328" s="29" t="s">
        <v>28</v>
      </c>
      <c r="E328" s="29" t="s">
        <v>861</v>
      </c>
      <c r="F328" s="19"/>
      <c r="G328" s="19"/>
      <c r="H328" s="19">
        <f t="shared" si="2"/>
        <v>0</v>
      </c>
      <c r="I328" s="134"/>
      <c r="J328" s="29" t="s">
        <v>872</v>
      </c>
    </row>
    <row r="329" ht="14.25" customHeight="1">
      <c r="B329" s="41">
        <v>46024.0</v>
      </c>
      <c r="C329" s="133" t="str">
        <f t="shared" si="11"/>
        <v>12-1899</v>
      </c>
      <c r="D329" s="29" t="s">
        <v>873</v>
      </c>
      <c r="E329" s="29" t="s">
        <v>874</v>
      </c>
      <c r="F329" s="29">
        <v>957165.9</v>
      </c>
      <c r="G329" s="29">
        <v>957335.8</v>
      </c>
      <c r="H329" s="19">
        <f t="shared" si="2"/>
        <v>169.9</v>
      </c>
      <c r="I329" s="134"/>
      <c r="J329" s="19"/>
    </row>
    <row r="330" ht="14.25" customHeight="1">
      <c r="B330" s="27"/>
      <c r="C330" s="133" t="str">
        <f t="shared" ref="C330:C502" si="12">MONTH(B330)&amp; "-" &amp;YEAR(B330)</f>
        <v>12-1899</v>
      </c>
      <c r="D330" s="19"/>
      <c r="E330" s="19"/>
      <c r="F330" s="19">
        <f t="shared" ref="F330:F352" si="13">G329</f>
        <v>957335.8</v>
      </c>
      <c r="G330" s="19"/>
      <c r="H330" s="19">
        <f t="shared" si="2"/>
        <v>-957335.8</v>
      </c>
      <c r="I330" s="134"/>
      <c r="J330" s="19"/>
    </row>
    <row r="331" ht="14.25" customHeight="1">
      <c r="B331" s="27"/>
      <c r="C331" s="133" t="str">
        <f t="shared" si="12"/>
        <v>12-1899</v>
      </c>
      <c r="D331" s="19"/>
      <c r="E331" s="19"/>
      <c r="F331" s="19" t="str">
        <f t="shared" si="13"/>
        <v/>
      </c>
      <c r="G331" s="19"/>
      <c r="H331" s="19">
        <f t="shared" si="2"/>
        <v>0</v>
      </c>
      <c r="I331" s="134"/>
      <c r="J331" s="19"/>
    </row>
    <row r="332" ht="14.25" customHeight="1">
      <c r="B332" s="27"/>
      <c r="C332" s="133" t="str">
        <f t="shared" si="12"/>
        <v>12-1899</v>
      </c>
      <c r="D332" s="19"/>
      <c r="E332" s="19"/>
      <c r="F332" s="19" t="str">
        <f t="shared" si="13"/>
        <v/>
      </c>
      <c r="G332" s="19"/>
      <c r="H332" s="19">
        <f t="shared" si="2"/>
        <v>0</v>
      </c>
      <c r="I332" s="134"/>
      <c r="J332" s="19"/>
    </row>
    <row r="333" ht="14.25" customHeight="1">
      <c r="B333" s="27"/>
      <c r="C333" s="133" t="str">
        <f t="shared" si="12"/>
        <v>12-1899</v>
      </c>
      <c r="D333" s="19"/>
      <c r="E333" s="19"/>
      <c r="F333" s="19" t="str">
        <f t="shared" si="13"/>
        <v/>
      </c>
      <c r="G333" s="19"/>
      <c r="H333" s="19">
        <f t="shared" si="2"/>
        <v>0</v>
      </c>
      <c r="I333" s="134"/>
      <c r="J333" s="19"/>
    </row>
    <row r="334" ht="14.25" customHeight="1">
      <c r="B334" s="27"/>
      <c r="C334" s="133" t="str">
        <f t="shared" si="12"/>
        <v>12-1899</v>
      </c>
      <c r="D334" s="19"/>
      <c r="E334" s="19"/>
      <c r="F334" s="19" t="str">
        <f t="shared" si="13"/>
        <v/>
      </c>
      <c r="G334" s="19"/>
      <c r="H334" s="19">
        <f t="shared" si="2"/>
        <v>0</v>
      </c>
      <c r="I334" s="134"/>
      <c r="J334" s="19"/>
    </row>
    <row r="335" ht="14.25" customHeight="1">
      <c r="B335" s="27"/>
      <c r="C335" s="133" t="str">
        <f t="shared" si="12"/>
        <v>12-1899</v>
      </c>
      <c r="D335" s="19"/>
      <c r="E335" s="19"/>
      <c r="F335" s="19" t="str">
        <f t="shared" si="13"/>
        <v/>
      </c>
      <c r="G335" s="19"/>
      <c r="H335" s="19">
        <f t="shared" si="2"/>
        <v>0</v>
      </c>
      <c r="I335" s="134"/>
      <c r="J335" s="19"/>
    </row>
    <row r="336" ht="14.25" customHeight="1">
      <c r="B336" s="27"/>
      <c r="C336" s="133" t="str">
        <f t="shared" si="12"/>
        <v>12-1899</v>
      </c>
      <c r="D336" s="19"/>
      <c r="E336" s="19"/>
      <c r="F336" s="19" t="str">
        <f t="shared" si="13"/>
        <v/>
      </c>
      <c r="G336" s="19"/>
      <c r="H336" s="19">
        <f t="shared" si="2"/>
        <v>0</v>
      </c>
      <c r="I336" s="134"/>
      <c r="J336" s="19"/>
    </row>
    <row r="337" ht="14.25" customHeight="1">
      <c r="B337" s="27"/>
      <c r="C337" s="133" t="str">
        <f t="shared" si="12"/>
        <v>12-1899</v>
      </c>
      <c r="D337" s="19"/>
      <c r="E337" s="19"/>
      <c r="F337" s="19" t="str">
        <f t="shared" si="13"/>
        <v/>
      </c>
      <c r="G337" s="19"/>
      <c r="H337" s="19">
        <f t="shared" si="2"/>
        <v>0</v>
      </c>
      <c r="I337" s="134"/>
      <c r="J337" s="19"/>
    </row>
    <row r="338" ht="14.25" customHeight="1">
      <c r="B338" s="27"/>
      <c r="C338" s="133" t="str">
        <f t="shared" si="12"/>
        <v>12-1899</v>
      </c>
      <c r="D338" s="19"/>
      <c r="E338" s="19"/>
      <c r="F338" s="19" t="str">
        <f t="shared" si="13"/>
        <v/>
      </c>
      <c r="G338" s="19"/>
      <c r="H338" s="19">
        <f t="shared" si="2"/>
        <v>0</v>
      </c>
      <c r="I338" s="134"/>
      <c r="J338" s="19"/>
    </row>
    <row r="339" ht="14.25" customHeight="1">
      <c r="B339" s="27"/>
      <c r="C339" s="133" t="str">
        <f t="shared" si="12"/>
        <v>12-1899</v>
      </c>
      <c r="D339" s="19"/>
      <c r="E339" s="19"/>
      <c r="F339" s="19" t="str">
        <f t="shared" si="13"/>
        <v/>
      </c>
      <c r="G339" s="19"/>
      <c r="H339" s="19">
        <f t="shared" si="2"/>
        <v>0</v>
      </c>
      <c r="I339" s="134"/>
      <c r="J339" s="19"/>
    </row>
    <row r="340" ht="14.25" customHeight="1">
      <c r="B340" s="27"/>
      <c r="C340" s="133" t="str">
        <f t="shared" si="12"/>
        <v>12-1899</v>
      </c>
      <c r="D340" s="19"/>
      <c r="E340" s="19"/>
      <c r="F340" s="19" t="str">
        <f t="shared" si="13"/>
        <v/>
      </c>
      <c r="G340" s="19"/>
      <c r="H340" s="19">
        <f t="shared" si="2"/>
        <v>0</v>
      </c>
      <c r="I340" s="134"/>
      <c r="J340" s="19"/>
    </row>
    <row r="341" ht="14.25" customHeight="1">
      <c r="B341" s="27"/>
      <c r="C341" s="133" t="str">
        <f t="shared" si="12"/>
        <v>12-1899</v>
      </c>
      <c r="D341" s="19"/>
      <c r="E341" s="19"/>
      <c r="F341" s="19" t="str">
        <f t="shared" si="13"/>
        <v/>
      </c>
      <c r="G341" s="19"/>
      <c r="H341" s="19">
        <f t="shared" si="2"/>
        <v>0</v>
      </c>
      <c r="I341" s="134"/>
      <c r="J341" s="19"/>
    </row>
    <row r="342" ht="14.25" customHeight="1">
      <c r="B342" s="27"/>
      <c r="C342" s="133" t="str">
        <f t="shared" si="12"/>
        <v>12-1899</v>
      </c>
      <c r="D342" s="19"/>
      <c r="E342" s="19"/>
      <c r="F342" s="19" t="str">
        <f t="shared" si="13"/>
        <v/>
      </c>
      <c r="G342" s="19"/>
      <c r="H342" s="19">
        <f t="shared" si="2"/>
        <v>0</v>
      </c>
      <c r="I342" s="134"/>
      <c r="J342" s="19"/>
    </row>
    <row r="343" ht="14.25" customHeight="1">
      <c r="B343" s="27"/>
      <c r="C343" s="133" t="str">
        <f t="shared" si="12"/>
        <v>12-1899</v>
      </c>
      <c r="D343" s="19"/>
      <c r="E343" s="19"/>
      <c r="F343" s="19" t="str">
        <f t="shared" si="13"/>
        <v/>
      </c>
      <c r="G343" s="19"/>
      <c r="H343" s="19">
        <f t="shared" si="2"/>
        <v>0</v>
      </c>
      <c r="I343" s="134"/>
      <c r="J343" s="19"/>
    </row>
    <row r="344" ht="14.25" customHeight="1">
      <c r="B344" s="27"/>
      <c r="C344" s="133" t="str">
        <f t="shared" si="12"/>
        <v>12-1899</v>
      </c>
      <c r="D344" s="19"/>
      <c r="E344" s="19"/>
      <c r="F344" s="19" t="str">
        <f t="shared" si="13"/>
        <v/>
      </c>
      <c r="G344" s="19"/>
      <c r="H344" s="19">
        <f t="shared" si="2"/>
        <v>0</v>
      </c>
      <c r="I344" s="134"/>
      <c r="J344" s="19"/>
    </row>
    <row r="345" ht="14.25" customHeight="1">
      <c r="B345" s="27"/>
      <c r="C345" s="133" t="str">
        <f t="shared" si="12"/>
        <v>12-1899</v>
      </c>
      <c r="D345" s="19"/>
      <c r="E345" s="19"/>
      <c r="F345" s="19" t="str">
        <f t="shared" si="13"/>
        <v/>
      </c>
      <c r="G345" s="19"/>
      <c r="H345" s="19">
        <f t="shared" si="2"/>
        <v>0</v>
      </c>
      <c r="I345" s="134"/>
      <c r="J345" s="19"/>
    </row>
    <row r="346" ht="14.25" customHeight="1">
      <c r="B346" s="27"/>
      <c r="C346" s="133" t="str">
        <f t="shared" si="12"/>
        <v>12-1899</v>
      </c>
      <c r="D346" s="19"/>
      <c r="E346" s="19"/>
      <c r="F346" s="19" t="str">
        <f t="shared" si="13"/>
        <v/>
      </c>
      <c r="G346" s="19"/>
      <c r="H346" s="19">
        <f t="shared" si="2"/>
        <v>0</v>
      </c>
      <c r="I346" s="134"/>
      <c r="J346" s="19"/>
    </row>
    <row r="347" ht="14.25" customHeight="1">
      <c r="B347" s="27"/>
      <c r="C347" s="133" t="str">
        <f t="shared" si="12"/>
        <v>12-1899</v>
      </c>
      <c r="D347" s="19"/>
      <c r="E347" s="19"/>
      <c r="F347" s="19" t="str">
        <f t="shared" si="13"/>
        <v/>
      </c>
      <c r="G347" s="19"/>
      <c r="H347" s="19">
        <f t="shared" si="2"/>
        <v>0</v>
      </c>
      <c r="I347" s="134"/>
      <c r="J347" s="19"/>
    </row>
    <row r="348" ht="14.25" customHeight="1">
      <c r="B348" s="27"/>
      <c r="C348" s="133" t="str">
        <f t="shared" si="12"/>
        <v>12-1899</v>
      </c>
      <c r="D348" s="19"/>
      <c r="E348" s="19"/>
      <c r="F348" s="19" t="str">
        <f t="shared" si="13"/>
        <v/>
      </c>
      <c r="G348" s="19"/>
      <c r="H348" s="19">
        <f t="shared" si="2"/>
        <v>0</v>
      </c>
      <c r="I348" s="134"/>
      <c r="J348" s="19"/>
    </row>
    <row r="349" ht="14.25" customHeight="1">
      <c r="B349" s="27"/>
      <c r="C349" s="133" t="str">
        <f t="shared" si="12"/>
        <v>12-1899</v>
      </c>
      <c r="D349" s="19"/>
      <c r="E349" s="19"/>
      <c r="F349" s="19" t="str">
        <f t="shared" si="13"/>
        <v/>
      </c>
      <c r="G349" s="19"/>
      <c r="H349" s="19">
        <f t="shared" si="2"/>
        <v>0</v>
      </c>
      <c r="I349" s="134"/>
      <c r="J349" s="19"/>
    </row>
    <row r="350" ht="14.25" customHeight="1">
      <c r="B350" s="27"/>
      <c r="C350" s="133" t="str">
        <f t="shared" si="12"/>
        <v>12-1899</v>
      </c>
      <c r="D350" s="19"/>
      <c r="E350" s="19"/>
      <c r="F350" s="19" t="str">
        <f t="shared" si="13"/>
        <v/>
      </c>
      <c r="G350" s="19"/>
      <c r="H350" s="19">
        <f t="shared" si="2"/>
        <v>0</v>
      </c>
      <c r="I350" s="134"/>
      <c r="J350" s="19"/>
    </row>
    <row r="351" ht="14.25" customHeight="1">
      <c r="B351" s="27"/>
      <c r="C351" s="133" t="str">
        <f t="shared" si="12"/>
        <v>12-1899</v>
      </c>
      <c r="D351" s="19"/>
      <c r="E351" s="19"/>
      <c r="F351" s="19" t="str">
        <f t="shared" si="13"/>
        <v/>
      </c>
      <c r="G351" s="19"/>
      <c r="H351" s="19">
        <f t="shared" si="2"/>
        <v>0</v>
      </c>
      <c r="I351" s="134"/>
      <c r="J351" s="19"/>
    </row>
    <row r="352" ht="14.25" customHeight="1">
      <c r="B352" s="27"/>
      <c r="C352" s="133" t="str">
        <f t="shared" si="12"/>
        <v>12-1899</v>
      </c>
      <c r="D352" s="19"/>
      <c r="E352" s="19"/>
      <c r="F352" s="19" t="str">
        <f t="shared" si="13"/>
        <v/>
      </c>
      <c r="G352" s="19"/>
      <c r="H352" s="19">
        <f t="shared" si="2"/>
        <v>0</v>
      </c>
      <c r="I352" s="134"/>
      <c r="J352" s="19"/>
    </row>
    <row r="353" ht="14.25" customHeight="1">
      <c r="B353" s="41">
        <v>46043.0</v>
      </c>
      <c r="C353" s="133" t="str">
        <f t="shared" si="12"/>
        <v>1-2026</v>
      </c>
      <c r="D353" s="29" t="s">
        <v>187</v>
      </c>
      <c r="E353" s="29" t="s">
        <v>874</v>
      </c>
      <c r="F353" s="29">
        <v>957165.9</v>
      </c>
      <c r="G353" s="29">
        <v>960270.6</v>
      </c>
      <c r="H353" s="19">
        <f t="shared" si="2"/>
        <v>3104.7</v>
      </c>
      <c r="I353" s="134"/>
      <c r="J353" s="19"/>
    </row>
    <row r="354" ht="14.25" customHeight="1">
      <c r="B354" s="27"/>
      <c r="C354" s="133" t="str">
        <f t="shared" si="12"/>
        <v>12-1899</v>
      </c>
      <c r="D354" s="19"/>
      <c r="E354" s="19"/>
      <c r="F354" s="19">
        <f t="shared" ref="F354:F502" si="14">G353</f>
        <v>960270.6</v>
      </c>
      <c r="G354" s="19"/>
      <c r="H354" s="19">
        <f t="shared" si="2"/>
        <v>-960270.6</v>
      </c>
      <c r="I354" s="134"/>
      <c r="J354" s="19"/>
    </row>
    <row r="355" ht="14.25" customHeight="1">
      <c r="B355" s="27"/>
      <c r="C355" s="133" t="str">
        <f t="shared" si="12"/>
        <v>12-1899</v>
      </c>
      <c r="D355" s="19"/>
      <c r="E355" s="19"/>
      <c r="F355" s="19" t="str">
        <f t="shared" si="14"/>
        <v/>
      </c>
      <c r="G355" s="19"/>
      <c r="H355" s="19">
        <f t="shared" si="2"/>
        <v>0</v>
      </c>
      <c r="I355" s="134"/>
      <c r="J355" s="19"/>
    </row>
    <row r="356" ht="14.25" customHeight="1">
      <c r="B356" s="27"/>
      <c r="C356" s="133" t="str">
        <f t="shared" si="12"/>
        <v>12-1899</v>
      </c>
      <c r="D356" s="19"/>
      <c r="E356" s="19"/>
      <c r="F356" s="19" t="str">
        <f t="shared" si="14"/>
        <v/>
      </c>
      <c r="G356" s="19"/>
      <c r="H356" s="19">
        <f t="shared" si="2"/>
        <v>0</v>
      </c>
      <c r="I356" s="134"/>
      <c r="J356" s="19"/>
    </row>
    <row r="357" ht="14.25" customHeight="1">
      <c r="B357" s="27"/>
      <c r="C357" s="133" t="str">
        <f t="shared" si="12"/>
        <v>12-1899</v>
      </c>
      <c r="D357" s="19"/>
      <c r="E357" s="19"/>
      <c r="F357" s="19" t="str">
        <f t="shared" si="14"/>
        <v/>
      </c>
      <c r="G357" s="19"/>
      <c r="H357" s="19">
        <f t="shared" si="2"/>
        <v>0</v>
      </c>
      <c r="I357" s="134"/>
      <c r="J357" s="19"/>
    </row>
    <row r="358" ht="14.25" customHeight="1">
      <c r="B358" s="27"/>
      <c r="C358" s="133" t="str">
        <f t="shared" si="12"/>
        <v>12-1899</v>
      </c>
      <c r="D358" s="19"/>
      <c r="E358" s="19"/>
      <c r="F358" s="19" t="str">
        <f t="shared" si="14"/>
        <v/>
      </c>
      <c r="G358" s="19"/>
      <c r="H358" s="19">
        <f t="shared" si="2"/>
        <v>0</v>
      </c>
      <c r="I358" s="134"/>
      <c r="J358" s="19"/>
    </row>
    <row r="359" ht="14.25" customHeight="1">
      <c r="B359" s="27"/>
      <c r="C359" s="133" t="str">
        <f t="shared" si="12"/>
        <v>12-1899</v>
      </c>
      <c r="D359" s="19"/>
      <c r="E359" s="19"/>
      <c r="F359" s="19" t="str">
        <f t="shared" si="14"/>
        <v/>
      </c>
      <c r="G359" s="19"/>
      <c r="H359" s="19">
        <f t="shared" si="2"/>
        <v>0</v>
      </c>
      <c r="I359" s="134"/>
      <c r="J359" s="19"/>
    </row>
    <row r="360" ht="14.25" customHeight="1">
      <c r="B360" s="27"/>
      <c r="C360" s="133" t="str">
        <f t="shared" si="12"/>
        <v>12-1899</v>
      </c>
      <c r="D360" s="19"/>
      <c r="E360" s="19"/>
      <c r="F360" s="19" t="str">
        <f t="shared" si="14"/>
        <v/>
      </c>
      <c r="G360" s="19"/>
      <c r="H360" s="19">
        <f t="shared" si="2"/>
        <v>0</v>
      </c>
      <c r="I360" s="134"/>
      <c r="J360" s="19"/>
    </row>
    <row r="361" ht="14.25" customHeight="1">
      <c r="B361" s="27"/>
      <c r="C361" s="133" t="str">
        <f t="shared" si="12"/>
        <v>12-1899</v>
      </c>
      <c r="D361" s="19"/>
      <c r="E361" s="19"/>
      <c r="F361" s="19" t="str">
        <f t="shared" si="14"/>
        <v/>
      </c>
      <c r="G361" s="19"/>
      <c r="H361" s="19">
        <f t="shared" si="2"/>
        <v>0</v>
      </c>
      <c r="I361" s="134"/>
      <c r="J361" s="19"/>
    </row>
    <row r="362" ht="14.25" customHeight="1">
      <c r="B362" s="27"/>
      <c r="C362" s="133" t="str">
        <f t="shared" si="12"/>
        <v>12-1899</v>
      </c>
      <c r="D362" s="19"/>
      <c r="E362" s="19"/>
      <c r="F362" s="19" t="str">
        <f t="shared" si="14"/>
        <v/>
      </c>
      <c r="G362" s="19"/>
      <c r="H362" s="19">
        <f t="shared" si="2"/>
        <v>0</v>
      </c>
      <c r="I362" s="134"/>
      <c r="J362" s="19"/>
    </row>
    <row r="363" ht="14.25" customHeight="1">
      <c r="B363" s="27"/>
      <c r="C363" s="133" t="str">
        <f t="shared" si="12"/>
        <v>12-1899</v>
      </c>
      <c r="D363" s="19"/>
      <c r="E363" s="19"/>
      <c r="F363" s="19" t="str">
        <f t="shared" si="14"/>
        <v/>
      </c>
      <c r="G363" s="19"/>
      <c r="H363" s="19">
        <f t="shared" si="2"/>
        <v>0</v>
      </c>
      <c r="I363" s="134"/>
      <c r="J363" s="19"/>
    </row>
    <row r="364" ht="14.25" customHeight="1">
      <c r="B364" s="27"/>
      <c r="C364" s="133" t="str">
        <f t="shared" si="12"/>
        <v>12-1899</v>
      </c>
      <c r="D364" s="19"/>
      <c r="E364" s="19"/>
      <c r="F364" s="19" t="str">
        <f t="shared" si="14"/>
        <v/>
      </c>
      <c r="G364" s="19"/>
      <c r="H364" s="19">
        <f t="shared" si="2"/>
        <v>0</v>
      </c>
      <c r="I364" s="134"/>
      <c r="J364" s="19"/>
    </row>
    <row r="365" ht="14.25" customHeight="1">
      <c r="B365" s="27"/>
      <c r="C365" s="133" t="str">
        <f t="shared" si="12"/>
        <v>12-1899</v>
      </c>
      <c r="D365" s="19"/>
      <c r="E365" s="19"/>
      <c r="F365" s="19" t="str">
        <f t="shared" si="14"/>
        <v/>
      </c>
      <c r="G365" s="19"/>
      <c r="H365" s="19">
        <f t="shared" si="2"/>
        <v>0</v>
      </c>
      <c r="I365" s="134"/>
      <c r="J365" s="19"/>
    </row>
    <row r="366" ht="14.25" customHeight="1">
      <c r="B366" s="27"/>
      <c r="C366" s="133" t="str">
        <f t="shared" si="12"/>
        <v>12-1899</v>
      </c>
      <c r="D366" s="19"/>
      <c r="E366" s="19"/>
      <c r="F366" s="19" t="str">
        <f t="shared" si="14"/>
        <v/>
      </c>
      <c r="G366" s="19"/>
      <c r="H366" s="19">
        <f t="shared" si="2"/>
        <v>0</v>
      </c>
      <c r="I366" s="134"/>
      <c r="J366" s="19"/>
    </row>
    <row r="367" ht="14.25" customHeight="1">
      <c r="B367" s="27"/>
      <c r="C367" s="133" t="str">
        <f t="shared" si="12"/>
        <v>12-1899</v>
      </c>
      <c r="D367" s="19"/>
      <c r="E367" s="19"/>
      <c r="F367" s="19" t="str">
        <f t="shared" si="14"/>
        <v/>
      </c>
      <c r="G367" s="19"/>
      <c r="H367" s="19">
        <f t="shared" si="2"/>
        <v>0</v>
      </c>
      <c r="I367" s="134"/>
      <c r="J367" s="19"/>
    </row>
    <row r="368" ht="14.25" customHeight="1">
      <c r="B368" s="27"/>
      <c r="C368" s="133" t="str">
        <f t="shared" si="12"/>
        <v>12-1899</v>
      </c>
      <c r="D368" s="19"/>
      <c r="E368" s="19"/>
      <c r="F368" s="19" t="str">
        <f t="shared" si="14"/>
        <v/>
      </c>
      <c r="G368" s="19"/>
      <c r="H368" s="19">
        <f t="shared" si="2"/>
        <v>0</v>
      </c>
      <c r="I368" s="134"/>
      <c r="J368" s="19"/>
    </row>
    <row r="369" ht="14.25" customHeight="1">
      <c r="B369" s="27"/>
      <c r="C369" s="133" t="str">
        <f t="shared" si="12"/>
        <v>12-1899</v>
      </c>
      <c r="D369" s="19"/>
      <c r="E369" s="19"/>
      <c r="F369" s="19" t="str">
        <f t="shared" si="14"/>
        <v/>
      </c>
      <c r="G369" s="19"/>
      <c r="H369" s="19">
        <f t="shared" si="2"/>
        <v>0</v>
      </c>
      <c r="I369" s="134"/>
      <c r="J369" s="19"/>
    </row>
    <row r="370" ht="14.25" customHeight="1">
      <c r="B370" s="27"/>
      <c r="C370" s="133" t="str">
        <f t="shared" si="12"/>
        <v>12-1899</v>
      </c>
      <c r="D370" s="19"/>
      <c r="E370" s="19"/>
      <c r="F370" s="19" t="str">
        <f t="shared" si="14"/>
        <v/>
      </c>
      <c r="G370" s="19"/>
      <c r="H370" s="19">
        <f t="shared" si="2"/>
        <v>0</v>
      </c>
      <c r="I370" s="134"/>
      <c r="J370" s="19"/>
    </row>
    <row r="371" ht="14.25" customHeight="1">
      <c r="B371" s="27"/>
      <c r="C371" s="133" t="str">
        <f t="shared" si="12"/>
        <v>12-1899</v>
      </c>
      <c r="D371" s="19"/>
      <c r="E371" s="19"/>
      <c r="F371" s="19" t="str">
        <f t="shared" si="14"/>
        <v/>
      </c>
      <c r="G371" s="19"/>
      <c r="H371" s="19">
        <f t="shared" si="2"/>
        <v>0</v>
      </c>
      <c r="I371" s="134"/>
      <c r="J371" s="19"/>
    </row>
    <row r="372" ht="14.25" customHeight="1">
      <c r="B372" s="27"/>
      <c r="C372" s="133" t="str">
        <f t="shared" si="12"/>
        <v>12-1899</v>
      </c>
      <c r="D372" s="19"/>
      <c r="E372" s="19"/>
      <c r="F372" s="19" t="str">
        <f t="shared" si="14"/>
        <v/>
      </c>
      <c r="G372" s="19"/>
      <c r="H372" s="19">
        <f t="shared" si="2"/>
        <v>0</v>
      </c>
      <c r="I372" s="134"/>
      <c r="J372" s="19"/>
    </row>
    <row r="373" ht="14.25" customHeight="1">
      <c r="B373" s="27"/>
      <c r="C373" s="133" t="str">
        <f t="shared" si="12"/>
        <v>12-1899</v>
      </c>
      <c r="D373" s="19"/>
      <c r="E373" s="19"/>
      <c r="F373" s="19" t="str">
        <f t="shared" si="14"/>
        <v/>
      </c>
      <c r="G373" s="19"/>
      <c r="H373" s="19">
        <f t="shared" si="2"/>
        <v>0</v>
      </c>
      <c r="I373" s="134"/>
      <c r="J373" s="19"/>
    </row>
    <row r="374" ht="14.25" customHeight="1">
      <c r="B374" s="27"/>
      <c r="C374" s="133" t="str">
        <f t="shared" si="12"/>
        <v>12-1899</v>
      </c>
      <c r="D374" s="19"/>
      <c r="E374" s="19"/>
      <c r="F374" s="19" t="str">
        <f t="shared" si="14"/>
        <v/>
      </c>
      <c r="G374" s="19"/>
      <c r="H374" s="19">
        <f t="shared" si="2"/>
        <v>0</v>
      </c>
      <c r="I374" s="134"/>
      <c r="J374" s="19"/>
    </row>
    <row r="375" ht="14.25" customHeight="1">
      <c r="B375" s="27"/>
      <c r="C375" s="133" t="str">
        <f t="shared" si="12"/>
        <v>12-1899</v>
      </c>
      <c r="D375" s="19"/>
      <c r="E375" s="19"/>
      <c r="F375" s="19" t="str">
        <f t="shared" si="14"/>
        <v/>
      </c>
      <c r="G375" s="19"/>
      <c r="H375" s="19">
        <f t="shared" si="2"/>
        <v>0</v>
      </c>
      <c r="I375" s="134"/>
      <c r="J375" s="19"/>
    </row>
    <row r="376" ht="14.25" customHeight="1">
      <c r="B376" s="27"/>
      <c r="C376" s="133" t="str">
        <f t="shared" si="12"/>
        <v>12-1899</v>
      </c>
      <c r="D376" s="19"/>
      <c r="E376" s="19"/>
      <c r="F376" s="19" t="str">
        <f t="shared" si="14"/>
        <v/>
      </c>
      <c r="G376" s="19"/>
      <c r="H376" s="19">
        <f t="shared" si="2"/>
        <v>0</v>
      </c>
      <c r="I376" s="134"/>
      <c r="J376" s="19"/>
    </row>
    <row r="377" ht="14.25" customHeight="1">
      <c r="B377" s="27"/>
      <c r="C377" s="133" t="str">
        <f t="shared" si="12"/>
        <v>12-1899</v>
      </c>
      <c r="D377" s="19"/>
      <c r="E377" s="19"/>
      <c r="F377" s="19" t="str">
        <f t="shared" si="14"/>
        <v/>
      </c>
      <c r="G377" s="19"/>
      <c r="H377" s="19">
        <f t="shared" si="2"/>
        <v>0</v>
      </c>
      <c r="I377" s="134"/>
      <c r="J377" s="19"/>
    </row>
    <row r="378" ht="14.25" customHeight="1">
      <c r="B378" s="27"/>
      <c r="C378" s="133" t="str">
        <f t="shared" si="12"/>
        <v>12-1899</v>
      </c>
      <c r="D378" s="19"/>
      <c r="E378" s="19"/>
      <c r="F378" s="19" t="str">
        <f t="shared" si="14"/>
        <v/>
      </c>
      <c r="G378" s="19"/>
      <c r="H378" s="19">
        <f t="shared" si="2"/>
        <v>0</v>
      </c>
      <c r="I378" s="134"/>
      <c r="J378" s="19"/>
    </row>
    <row r="379" ht="14.25" customHeight="1">
      <c r="B379" s="27"/>
      <c r="C379" s="133" t="str">
        <f t="shared" si="12"/>
        <v>12-1899</v>
      </c>
      <c r="D379" s="19"/>
      <c r="E379" s="19"/>
      <c r="F379" s="19" t="str">
        <f t="shared" si="14"/>
        <v/>
      </c>
      <c r="G379" s="19"/>
      <c r="H379" s="19">
        <f t="shared" si="2"/>
        <v>0</v>
      </c>
      <c r="I379" s="134"/>
      <c r="J379" s="19"/>
    </row>
    <row r="380" ht="14.25" customHeight="1">
      <c r="B380" s="27"/>
      <c r="C380" s="133" t="str">
        <f t="shared" si="12"/>
        <v>12-1899</v>
      </c>
      <c r="D380" s="19"/>
      <c r="E380" s="19"/>
      <c r="F380" s="19" t="str">
        <f t="shared" si="14"/>
        <v/>
      </c>
      <c r="G380" s="19"/>
      <c r="H380" s="19">
        <f t="shared" si="2"/>
        <v>0</v>
      </c>
      <c r="I380" s="134"/>
      <c r="J380" s="19"/>
    </row>
    <row r="381" ht="14.25" customHeight="1">
      <c r="B381" s="27"/>
      <c r="C381" s="133" t="str">
        <f t="shared" si="12"/>
        <v>12-1899</v>
      </c>
      <c r="D381" s="19"/>
      <c r="E381" s="19"/>
      <c r="F381" s="19" t="str">
        <f t="shared" si="14"/>
        <v/>
      </c>
      <c r="G381" s="19"/>
      <c r="H381" s="19">
        <f t="shared" si="2"/>
        <v>0</v>
      </c>
      <c r="I381" s="134"/>
      <c r="J381" s="19"/>
    </row>
    <row r="382" ht="14.25" customHeight="1">
      <c r="B382" s="27"/>
      <c r="C382" s="133" t="str">
        <f t="shared" si="12"/>
        <v>12-1899</v>
      </c>
      <c r="D382" s="19"/>
      <c r="E382" s="19"/>
      <c r="F382" s="19" t="str">
        <f t="shared" si="14"/>
        <v/>
      </c>
      <c r="G382" s="19"/>
      <c r="H382" s="19">
        <f t="shared" si="2"/>
        <v>0</v>
      </c>
      <c r="I382" s="134"/>
      <c r="J382" s="19"/>
    </row>
    <row r="383" ht="14.25" customHeight="1">
      <c r="B383" s="27"/>
      <c r="C383" s="133" t="str">
        <f t="shared" si="12"/>
        <v>12-1899</v>
      </c>
      <c r="D383" s="19"/>
      <c r="E383" s="19"/>
      <c r="F383" s="19" t="str">
        <f t="shared" si="14"/>
        <v/>
      </c>
      <c r="G383" s="19"/>
      <c r="H383" s="19">
        <f t="shared" si="2"/>
        <v>0</v>
      </c>
      <c r="I383" s="134"/>
      <c r="J383" s="19"/>
    </row>
    <row r="384" ht="14.25" customHeight="1">
      <c r="B384" s="27"/>
      <c r="C384" s="133" t="str">
        <f t="shared" si="12"/>
        <v>12-1899</v>
      </c>
      <c r="D384" s="19"/>
      <c r="E384" s="19"/>
      <c r="F384" s="19" t="str">
        <f t="shared" si="14"/>
        <v/>
      </c>
      <c r="G384" s="19"/>
      <c r="H384" s="19">
        <f t="shared" si="2"/>
        <v>0</v>
      </c>
      <c r="I384" s="134"/>
      <c r="J384" s="19"/>
    </row>
    <row r="385" ht="14.25" customHeight="1">
      <c r="B385" s="27"/>
      <c r="C385" s="133" t="str">
        <f t="shared" si="12"/>
        <v>12-1899</v>
      </c>
      <c r="D385" s="19"/>
      <c r="E385" s="19"/>
      <c r="F385" s="19" t="str">
        <f t="shared" si="14"/>
        <v/>
      </c>
      <c r="G385" s="19"/>
      <c r="H385" s="19">
        <f t="shared" si="2"/>
        <v>0</v>
      </c>
      <c r="I385" s="134"/>
      <c r="J385" s="19"/>
    </row>
    <row r="386" ht="14.25" customHeight="1">
      <c r="B386" s="27"/>
      <c r="C386" s="133" t="str">
        <f t="shared" si="12"/>
        <v>12-1899</v>
      </c>
      <c r="D386" s="19"/>
      <c r="E386" s="19"/>
      <c r="F386" s="19" t="str">
        <f t="shared" si="14"/>
        <v/>
      </c>
      <c r="G386" s="19"/>
      <c r="H386" s="19">
        <f t="shared" si="2"/>
        <v>0</v>
      </c>
      <c r="I386" s="134"/>
      <c r="J386" s="19"/>
    </row>
    <row r="387" ht="14.25" customHeight="1">
      <c r="B387" s="27"/>
      <c r="C387" s="133" t="str">
        <f t="shared" si="12"/>
        <v>12-1899</v>
      </c>
      <c r="D387" s="19"/>
      <c r="E387" s="19"/>
      <c r="F387" s="19" t="str">
        <f t="shared" si="14"/>
        <v/>
      </c>
      <c r="G387" s="19"/>
      <c r="H387" s="19">
        <f t="shared" si="2"/>
        <v>0</v>
      </c>
      <c r="I387" s="134"/>
      <c r="J387" s="19"/>
    </row>
    <row r="388" ht="14.25" customHeight="1">
      <c r="B388" s="27"/>
      <c r="C388" s="133" t="str">
        <f t="shared" si="12"/>
        <v>12-1899</v>
      </c>
      <c r="D388" s="19"/>
      <c r="E388" s="19"/>
      <c r="F388" s="19" t="str">
        <f t="shared" si="14"/>
        <v/>
      </c>
      <c r="G388" s="19"/>
      <c r="H388" s="19">
        <f t="shared" si="2"/>
        <v>0</v>
      </c>
      <c r="I388" s="134"/>
      <c r="J388" s="19"/>
    </row>
    <row r="389" ht="14.25" customHeight="1">
      <c r="B389" s="27"/>
      <c r="C389" s="133" t="str">
        <f t="shared" si="12"/>
        <v>12-1899</v>
      </c>
      <c r="D389" s="19"/>
      <c r="E389" s="19"/>
      <c r="F389" s="19" t="str">
        <f t="shared" si="14"/>
        <v/>
      </c>
      <c r="G389" s="19"/>
      <c r="H389" s="19">
        <f t="shared" si="2"/>
        <v>0</v>
      </c>
      <c r="I389" s="134"/>
      <c r="J389" s="19"/>
    </row>
    <row r="390" ht="14.25" customHeight="1">
      <c r="B390" s="27"/>
      <c r="C390" s="133" t="str">
        <f t="shared" si="12"/>
        <v>12-1899</v>
      </c>
      <c r="D390" s="19"/>
      <c r="E390" s="19"/>
      <c r="F390" s="19" t="str">
        <f t="shared" si="14"/>
        <v/>
      </c>
      <c r="G390" s="19"/>
      <c r="H390" s="19">
        <f t="shared" si="2"/>
        <v>0</v>
      </c>
      <c r="I390" s="134"/>
      <c r="J390" s="19"/>
    </row>
    <row r="391" ht="14.25" customHeight="1">
      <c r="B391" s="27"/>
      <c r="C391" s="133" t="str">
        <f t="shared" si="12"/>
        <v>12-1899</v>
      </c>
      <c r="D391" s="19"/>
      <c r="E391" s="19"/>
      <c r="F391" s="19" t="str">
        <f t="shared" si="14"/>
        <v/>
      </c>
      <c r="G391" s="19"/>
      <c r="H391" s="19">
        <f t="shared" si="2"/>
        <v>0</v>
      </c>
      <c r="I391" s="134"/>
      <c r="J391" s="19"/>
    </row>
    <row r="392" ht="14.25" customHeight="1">
      <c r="B392" s="27"/>
      <c r="C392" s="133" t="str">
        <f t="shared" si="12"/>
        <v>12-1899</v>
      </c>
      <c r="D392" s="19"/>
      <c r="E392" s="19"/>
      <c r="F392" s="19" t="str">
        <f t="shared" si="14"/>
        <v/>
      </c>
      <c r="G392" s="19"/>
      <c r="H392" s="19">
        <f t="shared" si="2"/>
        <v>0</v>
      </c>
      <c r="I392" s="134"/>
      <c r="J392" s="19"/>
    </row>
    <row r="393" ht="14.25" customHeight="1">
      <c r="B393" s="27"/>
      <c r="C393" s="133" t="str">
        <f t="shared" si="12"/>
        <v>12-1899</v>
      </c>
      <c r="D393" s="19"/>
      <c r="E393" s="19"/>
      <c r="F393" s="19" t="str">
        <f t="shared" si="14"/>
        <v/>
      </c>
      <c r="G393" s="19"/>
      <c r="H393" s="19">
        <f t="shared" si="2"/>
        <v>0</v>
      </c>
      <c r="I393" s="134"/>
      <c r="J393" s="19"/>
    </row>
    <row r="394" ht="14.25" customHeight="1">
      <c r="B394" s="27"/>
      <c r="C394" s="133" t="str">
        <f t="shared" si="12"/>
        <v>12-1899</v>
      </c>
      <c r="D394" s="19"/>
      <c r="E394" s="19"/>
      <c r="F394" s="19" t="str">
        <f t="shared" si="14"/>
        <v/>
      </c>
      <c r="G394" s="19"/>
      <c r="H394" s="19">
        <f t="shared" si="2"/>
        <v>0</v>
      </c>
      <c r="I394" s="134"/>
      <c r="J394" s="19"/>
    </row>
    <row r="395" ht="14.25" customHeight="1">
      <c r="B395" s="27"/>
      <c r="C395" s="133" t="str">
        <f t="shared" si="12"/>
        <v>12-1899</v>
      </c>
      <c r="D395" s="19"/>
      <c r="E395" s="19"/>
      <c r="F395" s="19" t="str">
        <f t="shared" si="14"/>
        <v/>
      </c>
      <c r="G395" s="19"/>
      <c r="H395" s="19">
        <f t="shared" si="2"/>
        <v>0</v>
      </c>
      <c r="I395" s="134"/>
      <c r="J395" s="19"/>
    </row>
    <row r="396" ht="14.25" customHeight="1">
      <c r="B396" s="27"/>
      <c r="C396" s="133" t="str">
        <f t="shared" si="12"/>
        <v>12-1899</v>
      </c>
      <c r="D396" s="19"/>
      <c r="E396" s="19"/>
      <c r="F396" s="19" t="str">
        <f t="shared" si="14"/>
        <v/>
      </c>
      <c r="G396" s="19"/>
      <c r="H396" s="19">
        <f t="shared" si="2"/>
        <v>0</v>
      </c>
      <c r="I396" s="134"/>
      <c r="J396" s="19"/>
    </row>
    <row r="397" ht="14.25" customHeight="1">
      <c r="B397" s="27"/>
      <c r="C397" s="133" t="str">
        <f t="shared" si="12"/>
        <v>12-1899</v>
      </c>
      <c r="D397" s="19"/>
      <c r="E397" s="19"/>
      <c r="F397" s="19" t="str">
        <f t="shared" si="14"/>
        <v/>
      </c>
      <c r="G397" s="19"/>
      <c r="H397" s="19">
        <f t="shared" si="2"/>
        <v>0</v>
      </c>
      <c r="I397" s="134"/>
      <c r="J397" s="19"/>
    </row>
    <row r="398" ht="14.25" customHeight="1">
      <c r="B398" s="27"/>
      <c r="C398" s="133" t="str">
        <f t="shared" si="12"/>
        <v>12-1899</v>
      </c>
      <c r="D398" s="19"/>
      <c r="E398" s="19"/>
      <c r="F398" s="19" t="str">
        <f t="shared" si="14"/>
        <v/>
      </c>
      <c r="G398" s="19"/>
      <c r="H398" s="19">
        <f t="shared" si="2"/>
        <v>0</v>
      </c>
      <c r="I398" s="134"/>
      <c r="J398" s="19"/>
    </row>
    <row r="399" ht="14.25" customHeight="1">
      <c r="B399" s="27"/>
      <c r="C399" s="133" t="str">
        <f t="shared" si="12"/>
        <v>12-1899</v>
      </c>
      <c r="D399" s="19"/>
      <c r="E399" s="19"/>
      <c r="F399" s="19" t="str">
        <f t="shared" si="14"/>
        <v/>
      </c>
      <c r="G399" s="19"/>
      <c r="H399" s="19">
        <f t="shared" si="2"/>
        <v>0</v>
      </c>
      <c r="I399" s="134"/>
      <c r="J399" s="19"/>
    </row>
    <row r="400" ht="14.25" customHeight="1">
      <c r="B400" s="27"/>
      <c r="C400" s="133" t="str">
        <f t="shared" si="12"/>
        <v>12-1899</v>
      </c>
      <c r="D400" s="19"/>
      <c r="E400" s="19"/>
      <c r="F400" s="19" t="str">
        <f t="shared" si="14"/>
        <v/>
      </c>
      <c r="G400" s="19"/>
      <c r="H400" s="19">
        <f t="shared" si="2"/>
        <v>0</v>
      </c>
      <c r="I400" s="134"/>
      <c r="J400" s="19"/>
    </row>
    <row r="401" ht="14.25" customHeight="1">
      <c r="B401" s="27"/>
      <c r="C401" s="133" t="str">
        <f t="shared" si="12"/>
        <v>12-1899</v>
      </c>
      <c r="D401" s="19"/>
      <c r="E401" s="19"/>
      <c r="F401" s="19" t="str">
        <f t="shared" si="14"/>
        <v/>
      </c>
      <c r="G401" s="19"/>
      <c r="H401" s="19">
        <f t="shared" si="2"/>
        <v>0</v>
      </c>
      <c r="I401" s="134"/>
      <c r="J401" s="19"/>
    </row>
    <row r="402" ht="14.25" customHeight="1">
      <c r="B402" s="27"/>
      <c r="C402" s="133" t="str">
        <f t="shared" si="12"/>
        <v>12-1899</v>
      </c>
      <c r="D402" s="19"/>
      <c r="E402" s="19"/>
      <c r="F402" s="19" t="str">
        <f t="shared" si="14"/>
        <v/>
      </c>
      <c r="G402" s="19"/>
      <c r="H402" s="19">
        <f t="shared" si="2"/>
        <v>0</v>
      </c>
      <c r="I402" s="134"/>
      <c r="J402" s="19"/>
    </row>
    <row r="403" ht="14.25" customHeight="1">
      <c r="B403" s="27"/>
      <c r="C403" s="133" t="str">
        <f t="shared" si="12"/>
        <v>12-1899</v>
      </c>
      <c r="D403" s="19"/>
      <c r="E403" s="19"/>
      <c r="F403" s="19" t="str">
        <f t="shared" si="14"/>
        <v/>
      </c>
      <c r="G403" s="19"/>
      <c r="H403" s="19">
        <f t="shared" si="2"/>
        <v>0</v>
      </c>
      <c r="I403" s="134"/>
      <c r="J403" s="19"/>
    </row>
    <row r="404" ht="14.25" customHeight="1">
      <c r="B404" s="27"/>
      <c r="C404" s="133" t="str">
        <f t="shared" si="12"/>
        <v>12-1899</v>
      </c>
      <c r="D404" s="19"/>
      <c r="E404" s="19"/>
      <c r="F404" s="19" t="str">
        <f t="shared" si="14"/>
        <v/>
      </c>
      <c r="G404" s="19"/>
      <c r="H404" s="19">
        <f t="shared" si="2"/>
        <v>0</v>
      </c>
      <c r="I404" s="134"/>
      <c r="J404" s="19"/>
    </row>
    <row r="405" ht="14.25" customHeight="1">
      <c r="B405" s="27"/>
      <c r="C405" s="133" t="str">
        <f t="shared" si="12"/>
        <v>12-1899</v>
      </c>
      <c r="D405" s="19"/>
      <c r="E405" s="19"/>
      <c r="F405" s="19" t="str">
        <f t="shared" si="14"/>
        <v/>
      </c>
      <c r="G405" s="19"/>
      <c r="H405" s="19">
        <f t="shared" si="2"/>
        <v>0</v>
      </c>
      <c r="I405" s="134"/>
      <c r="J405" s="19"/>
    </row>
    <row r="406" ht="14.25" customHeight="1">
      <c r="B406" s="27"/>
      <c r="C406" s="133" t="str">
        <f t="shared" si="12"/>
        <v>12-1899</v>
      </c>
      <c r="D406" s="19"/>
      <c r="E406" s="19"/>
      <c r="F406" s="19" t="str">
        <f t="shared" si="14"/>
        <v/>
      </c>
      <c r="G406" s="19"/>
      <c r="H406" s="19">
        <f t="shared" si="2"/>
        <v>0</v>
      </c>
      <c r="I406" s="134"/>
      <c r="J406" s="19"/>
    </row>
    <row r="407" ht="14.25" customHeight="1">
      <c r="B407" s="27"/>
      <c r="C407" s="133" t="str">
        <f t="shared" si="12"/>
        <v>12-1899</v>
      </c>
      <c r="D407" s="19"/>
      <c r="E407" s="19"/>
      <c r="F407" s="19" t="str">
        <f t="shared" si="14"/>
        <v/>
      </c>
      <c r="G407" s="19"/>
      <c r="H407" s="19">
        <f t="shared" si="2"/>
        <v>0</v>
      </c>
      <c r="I407" s="134"/>
      <c r="J407" s="19"/>
    </row>
    <row r="408" ht="14.25" customHeight="1">
      <c r="B408" s="27"/>
      <c r="C408" s="133" t="str">
        <f t="shared" si="12"/>
        <v>12-1899</v>
      </c>
      <c r="D408" s="19"/>
      <c r="E408" s="19"/>
      <c r="F408" s="19" t="str">
        <f t="shared" si="14"/>
        <v/>
      </c>
      <c r="G408" s="19"/>
      <c r="H408" s="19">
        <f t="shared" si="2"/>
        <v>0</v>
      </c>
      <c r="I408" s="134"/>
      <c r="J408" s="19"/>
    </row>
    <row r="409" ht="14.25" customHeight="1">
      <c r="B409" s="27"/>
      <c r="C409" s="133" t="str">
        <f t="shared" si="12"/>
        <v>12-1899</v>
      </c>
      <c r="D409" s="19"/>
      <c r="E409" s="19"/>
      <c r="F409" s="19" t="str">
        <f t="shared" si="14"/>
        <v/>
      </c>
      <c r="G409" s="19"/>
      <c r="H409" s="19">
        <f t="shared" si="2"/>
        <v>0</v>
      </c>
      <c r="I409" s="134"/>
      <c r="J409" s="19"/>
    </row>
    <row r="410" ht="14.25" customHeight="1">
      <c r="B410" s="27"/>
      <c r="C410" s="133" t="str">
        <f t="shared" si="12"/>
        <v>12-1899</v>
      </c>
      <c r="D410" s="19"/>
      <c r="E410" s="19"/>
      <c r="F410" s="19" t="str">
        <f t="shared" si="14"/>
        <v/>
      </c>
      <c r="G410" s="19"/>
      <c r="H410" s="19">
        <f t="shared" si="2"/>
        <v>0</v>
      </c>
      <c r="I410" s="134"/>
      <c r="J410" s="19"/>
    </row>
    <row r="411" ht="14.25" customHeight="1">
      <c r="B411" s="27"/>
      <c r="C411" s="133" t="str">
        <f t="shared" si="12"/>
        <v>12-1899</v>
      </c>
      <c r="D411" s="19"/>
      <c r="E411" s="19"/>
      <c r="F411" s="19" t="str">
        <f t="shared" si="14"/>
        <v/>
      </c>
      <c r="G411" s="19"/>
      <c r="H411" s="19">
        <f t="shared" si="2"/>
        <v>0</v>
      </c>
      <c r="I411" s="134"/>
      <c r="J411" s="19"/>
    </row>
    <row r="412" ht="14.25" customHeight="1">
      <c r="B412" s="27"/>
      <c r="C412" s="133" t="str">
        <f t="shared" si="12"/>
        <v>12-1899</v>
      </c>
      <c r="D412" s="19"/>
      <c r="E412" s="19"/>
      <c r="F412" s="19" t="str">
        <f t="shared" si="14"/>
        <v/>
      </c>
      <c r="G412" s="19"/>
      <c r="H412" s="19">
        <f t="shared" si="2"/>
        <v>0</v>
      </c>
      <c r="I412" s="134"/>
      <c r="J412" s="19"/>
    </row>
    <row r="413" ht="14.25" customHeight="1">
      <c r="B413" s="27"/>
      <c r="C413" s="133" t="str">
        <f t="shared" si="12"/>
        <v>12-1899</v>
      </c>
      <c r="D413" s="19"/>
      <c r="E413" s="19"/>
      <c r="F413" s="19" t="str">
        <f t="shared" si="14"/>
        <v/>
      </c>
      <c r="G413" s="19"/>
      <c r="H413" s="19">
        <f t="shared" si="2"/>
        <v>0</v>
      </c>
      <c r="I413" s="134"/>
      <c r="J413" s="19"/>
    </row>
    <row r="414" ht="14.25" customHeight="1">
      <c r="B414" s="27"/>
      <c r="C414" s="133" t="str">
        <f t="shared" si="12"/>
        <v>12-1899</v>
      </c>
      <c r="D414" s="19"/>
      <c r="E414" s="19"/>
      <c r="F414" s="19" t="str">
        <f t="shared" si="14"/>
        <v/>
      </c>
      <c r="G414" s="19"/>
      <c r="H414" s="19">
        <f t="shared" si="2"/>
        <v>0</v>
      </c>
      <c r="I414" s="134"/>
      <c r="J414" s="19"/>
    </row>
    <row r="415" ht="14.25" customHeight="1">
      <c r="B415" s="27"/>
      <c r="C415" s="133" t="str">
        <f t="shared" si="12"/>
        <v>12-1899</v>
      </c>
      <c r="D415" s="19"/>
      <c r="E415" s="19"/>
      <c r="F415" s="19" t="str">
        <f t="shared" si="14"/>
        <v/>
      </c>
      <c r="G415" s="19"/>
      <c r="H415" s="19">
        <f t="shared" si="2"/>
        <v>0</v>
      </c>
      <c r="I415" s="134"/>
      <c r="J415" s="19"/>
    </row>
    <row r="416" ht="14.25" customHeight="1">
      <c r="B416" s="27"/>
      <c r="C416" s="133" t="str">
        <f t="shared" si="12"/>
        <v>12-1899</v>
      </c>
      <c r="D416" s="19"/>
      <c r="E416" s="19"/>
      <c r="F416" s="19" t="str">
        <f t="shared" si="14"/>
        <v/>
      </c>
      <c r="G416" s="19"/>
      <c r="H416" s="19">
        <f t="shared" si="2"/>
        <v>0</v>
      </c>
      <c r="I416" s="134"/>
      <c r="J416" s="19"/>
    </row>
    <row r="417" ht="14.25" customHeight="1">
      <c r="B417" s="27"/>
      <c r="C417" s="133" t="str">
        <f t="shared" si="12"/>
        <v>12-1899</v>
      </c>
      <c r="D417" s="19"/>
      <c r="E417" s="19"/>
      <c r="F417" s="19" t="str">
        <f t="shared" si="14"/>
        <v/>
      </c>
      <c r="G417" s="19"/>
      <c r="H417" s="19">
        <f t="shared" si="2"/>
        <v>0</v>
      </c>
      <c r="I417" s="134"/>
      <c r="J417" s="19"/>
    </row>
    <row r="418" ht="14.25" customHeight="1">
      <c r="B418" s="27"/>
      <c r="C418" s="133" t="str">
        <f t="shared" si="12"/>
        <v>12-1899</v>
      </c>
      <c r="D418" s="19"/>
      <c r="E418" s="19"/>
      <c r="F418" s="19" t="str">
        <f t="shared" si="14"/>
        <v/>
      </c>
      <c r="G418" s="19"/>
      <c r="H418" s="19">
        <f t="shared" si="2"/>
        <v>0</v>
      </c>
      <c r="I418" s="134"/>
      <c r="J418" s="19"/>
    </row>
    <row r="419" ht="14.25" customHeight="1">
      <c r="B419" s="27"/>
      <c r="C419" s="133" t="str">
        <f t="shared" si="12"/>
        <v>12-1899</v>
      </c>
      <c r="D419" s="19"/>
      <c r="E419" s="19"/>
      <c r="F419" s="19" t="str">
        <f t="shared" si="14"/>
        <v/>
      </c>
      <c r="G419" s="19"/>
      <c r="H419" s="19">
        <f t="shared" si="2"/>
        <v>0</v>
      </c>
      <c r="I419" s="134"/>
      <c r="J419" s="19"/>
    </row>
    <row r="420" ht="14.25" customHeight="1">
      <c r="B420" s="27"/>
      <c r="C420" s="133" t="str">
        <f t="shared" si="12"/>
        <v>12-1899</v>
      </c>
      <c r="D420" s="19"/>
      <c r="E420" s="19"/>
      <c r="F420" s="19" t="str">
        <f t="shared" si="14"/>
        <v/>
      </c>
      <c r="G420" s="19"/>
      <c r="H420" s="19">
        <f t="shared" si="2"/>
        <v>0</v>
      </c>
      <c r="I420" s="134"/>
      <c r="J420" s="19"/>
    </row>
    <row r="421" ht="14.25" customHeight="1">
      <c r="B421" s="27"/>
      <c r="C421" s="133" t="str">
        <f t="shared" si="12"/>
        <v>12-1899</v>
      </c>
      <c r="D421" s="19"/>
      <c r="E421" s="19"/>
      <c r="F421" s="19" t="str">
        <f t="shared" si="14"/>
        <v/>
      </c>
      <c r="G421" s="19"/>
      <c r="H421" s="19">
        <f t="shared" si="2"/>
        <v>0</v>
      </c>
      <c r="I421" s="134"/>
      <c r="J421" s="19"/>
    </row>
    <row r="422" ht="14.25" customHeight="1">
      <c r="B422" s="27"/>
      <c r="C422" s="133" t="str">
        <f t="shared" si="12"/>
        <v>12-1899</v>
      </c>
      <c r="D422" s="19"/>
      <c r="E422" s="19"/>
      <c r="F422" s="19" t="str">
        <f t="shared" si="14"/>
        <v/>
      </c>
      <c r="G422" s="19"/>
      <c r="H422" s="19">
        <f t="shared" si="2"/>
        <v>0</v>
      </c>
      <c r="I422" s="134"/>
      <c r="J422" s="19"/>
    </row>
    <row r="423" ht="14.25" customHeight="1">
      <c r="B423" s="27"/>
      <c r="C423" s="133" t="str">
        <f t="shared" si="12"/>
        <v>12-1899</v>
      </c>
      <c r="D423" s="19"/>
      <c r="E423" s="19"/>
      <c r="F423" s="19" t="str">
        <f t="shared" si="14"/>
        <v/>
      </c>
      <c r="G423" s="19"/>
      <c r="H423" s="19">
        <f t="shared" si="2"/>
        <v>0</v>
      </c>
      <c r="I423" s="134"/>
      <c r="J423" s="19"/>
    </row>
    <row r="424" ht="14.25" customHeight="1">
      <c r="B424" s="27"/>
      <c r="C424" s="133" t="str">
        <f t="shared" si="12"/>
        <v>12-1899</v>
      </c>
      <c r="D424" s="19"/>
      <c r="E424" s="19"/>
      <c r="F424" s="19" t="str">
        <f t="shared" si="14"/>
        <v/>
      </c>
      <c r="G424" s="19"/>
      <c r="H424" s="19">
        <f t="shared" si="2"/>
        <v>0</v>
      </c>
      <c r="I424" s="134"/>
      <c r="J424" s="19"/>
    </row>
    <row r="425" ht="14.25" customHeight="1">
      <c r="B425" s="27"/>
      <c r="C425" s="133" t="str">
        <f t="shared" si="12"/>
        <v>12-1899</v>
      </c>
      <c r="D425" s="19"/>
      <c r="E425" s="19"/>
      <c r="F425" s="19" t="str">
        <f t="shared" si="14"/>
        <v/>
      </c>
      <c r="G425" s="19"/>
      <c r="H425" s="19">
        <f t="shared" si="2"/>
        <v>0</v>
      </c>
      <c r="I425" s="134"/>
      <c r="J425" s="19"/>
    </row>
    <row r="426" ht="14.25" customHeight="1">
      <c r="B426" s="27"/>
      <c r="C426" s="133" t="str">
        <f t="shared" si="12"/>
        <v>12-1899</v>
      </c>
      <c r="D426" s="19"/>
      <c r="E426" s="19"/>
      <c r="F426" s="19" t="str">
        <f t="shared" si="14"/>
        <v/>
      </c>
      <c r="G426" s="19"/>
      <c r="H426" s="19">
        <f t="shared" si="2"/>
        <v>0</v>
      </c>
      <c r="I426" s="134"/>
      <c r="J426" s="19"/>
    </row>
    <row r="427" ht="14.25" customHeight="1">
      <c r="B427" s="27"/>
      <c r="C427" s="133" t="str">
        <f t="shared" si="12"/>
        <v>12-1899</v>
      </c>
      <c r="D427" s="19"/>
      <c r="E427" s="19"/>
      <c r="F427" s="19" t="str">
        <f t="shared" si="14"/>
        <v/>
      </c>
      <c r="G427" s="19"/>
      <c r="H427" s="19">
        <f t="shared" si="2"/>
        <v>0</v>
      </c>
      <c r="I427" s="134"/>
      <c r="J427" s="19"/>
    </row>
    <row r="428" ht="14.25" customHeight="1">
      <c r="B428" s="27"/>
      <c r="C428" s="133" t="str">
        <f t="shared" si="12"/>
        <v>12-1899</v>
      </c>
      <c r="D428" s="19"/>
      <c r="E428" s="19"/>
      <c r="F428" s="19" t="str">
        <f t="shared" si="14"/>
        <v/>
      </c>
      <c r="G428" s="19"/>
      <c r="H428" s="19">
        <f t="shared" si="2"/>
        <v>0</v>
      </c>
      <c r="I428" s="134"/>
      <c r="J428" s="19"/>
    </row>
    <row r="429" ht="14.25" customHeight="1">
      <c r="B429" s="27"/>
      <c r="C429" s="133" t="str">
        <f t="shared" si="12"/>
        <v>12-1899</v>
      </c>
      <c r="D429" s="19"/>
      <c r="E429" s="19"/>
      <c r="F429" s="19" t="str">
        <f t="shared" si="14"/>
        <v/>
      </c>
      <c r="G429" s="19"/>
      <c r="H429" s="19">
        <f t="shared" si="2"/>
        <v>0</v>
      </c>
      <c r="I429" s="134"/>
      <c r="J429" s="19"/>
    </row>
    <row r="430" ht="14.25" customHeight="1">
      <c r="B430" s="27"/>
      <c r="C430" s="133" t="str">
        <f t="shared" si="12"/>
        <v>12-1899</v>
      </c>
      <c r="D430" s="19"/>
      <c r="E430" s="19"/>
      <c r="F430" s="19" t="str">
        <f t="shared" si="14"/>
        <v/>
      </c>
      <c r="G430" s="19"/>
      <c r="H430" s="19">
        <f t="shared" si="2"/>
        <v>0</v>
      </c>
      <c r="I430" s="134"/>
      <c r="J430" s="19"/>
    </row>
    <row r="431" ht="14.25" customHeight="1">
      <c r="B431" s="27"/>
      <c r="C431" s="133" t="str">
        <f t="shared" si="12"/>
        <v>12-1899</v>
      </c>
      <c r="D431" s="19"/>
      <c r="E431" s="19"/>
      <c r="F431" s="19" t="str">
        <f t="shared" si="14"/>
        <v/>
      </c>
      <c r="G431" s="19"/>
      <c r="H431" s="19">
        <f t="shared" si="2"/>
        <v>0</v>
      </c>
      <c r="I431" s="134"/>
      <c r="J431" s="19"/>
    </row>
    <row r="432" ht="14.25" customHeight="1">
      <c r="B432" s="27"/>
      <c r="C432" s="133" t="str">
        <f t="shared" si="12"/>
        <v>12-1899</v>
      </c>
      <c r="D432" s="19"/>
      <c r="E432" s="19"/>
      <c r="F432" s="19" t="str">
        <f t="shared" si="14"/>
        <v/>
      </c>
      <c r="G432" s="19"/>
      <c r="H432" s="19">
        <f t="shared" si="2"/>
        <v>0</v>
      </c>
      <c r="I432" s="134"/>
      <c r="J432" s="19"/>
    </row>
    <row r="433" ht="14.25" customHeight="1">
      <c r="B433" s="27"/>
      <c r="C433" s="133" t="str">
        <f t="shared" si="12"/>
        <v>12-1899</v>
      </c>
      <c r="D433" s="19"/>
      <c r="E433" s="19"/>
      <c r="F433" s="19" t="str">
        <f t="shared" si="14"/>
        <v/>
      </c>
      <c r="G433" s="19"/>
      <c r="H433" s="19">
        <f t="shared" si="2"/>
        <v>0</v>
      </c>
      <c r="I433" s="134"/>
      <c r="J433" s="19"/>
    </row>
    <row r="434" ht="14.25" customHeight="1">
      <c r="B434" s="27"/>
      <c r="C434" s="133" t="str">
        <f t="shared" si="12"/>
        <v>12-1899</v>
      </c>
      <c r="D434" s="19"/>
      <c r="E434" s="19"/>
      <c r="F434" s="19" t="str">
        <f t="shared" si="14"/>
        <v/>
      </c>
      <c r="G434" s="19"/>
      <c r="H434" s="19">
        <f t="shared" si="2"/>
        <v>0</v>
      </c>
      <c r="I434" s="134"/>
      <c r="J434" s="19"/>
    </row>
    <row r="435" ht="14.25" customHeight="1">
      <c r="B435" s="27"/>
      <c r="C435" s="133" t="str">
        <f t="shared" si="12"/>
        <v>12-1899</v>
      </c>
      <c r="D435" s="19"/>
      <c r="E435" s="19"/>
      <c r="F435" s="19" t="str">
        <f t="shared" si="14"/>
        <v/>
      </c>
      <c r="G435" s="19"/>
      <c r="H435" s="19">
        <f t="shared" si="2"/>
        <v>0</v>
      </c>
      <c r="I435" s="134"/>
      <c r="J435" s="19"/>
    </row>
    <row r="436" ht="14.25" customHeight="1">
      <c r="B436" s="27"/>
      <c r="C436" s="133" t="str">
        <f t="shared" si="12"/>
        <v>12-1899</v>
      </c>
      <c r="D436" s="19"/>
      <c r="E436" s="19"/>
      <c r="F436" s="19" t="str">
        <f t="shared" si="14"/>
        <v/>
      </c>
      <c r="G436" s="19"/>
      <c r="H436" s="19">
        <f t="shared" si="2"/>
        <v>0</v>
      </c>
      <c r="I436" s="134"/>
      <c r="J436" s="19"/>
    </row>
    <row r="437" ht="14.25" customHeight="1">
      <c r="B437" s="27"/>
      <c r="C437" s="133" t="str">
        <f t="shared" si="12"/>
        <v>12-1899</v>
      </c>
      <c r="D437" s="19"/>
      <c r="E437" s="19"/>
      <c r="F437" s="19" t="str">
        <f t="shared" si="14"/>
        <v/>
      </c>
      <c r="G437" s="19"/>
      <c r="H437" s="19">
        <f t="shared" si="2"/>
        <v>0</v>
      </c>
      <c r="I437" s="134"/>
      <c r="J437" s="19"/>
    </row>
    <row r="438" ht="14.25" customHeight="1">
      <c r="B438" s="27"/>
      <c r="C438" s="133" t="str">
        <f t="shared" si="12"/>
        <v>12-1899</v>
      </c>
      <c r="D438" s="19"/>
      <c r="E438" s="19"/>
      <c r="F438" s="19" t="str">
        <f t="shared" si="14"/>
        <v/>
      </c>
      <c r="G438" s="19"/>
      <c r="H438" s="19">
        <f t="shared" si="2"/>
        <v>0</v>
      </c>
      <c r="I438" s="134"/>
      <c r="J438" s="19"/>
    </row>
    <row r="439" ht="14.25" customHeight="1">
      <c r="B439" s="27"/>
      <c r="C439" s="133" t="str">
        <f t="shared" si="12"/>
        <v>12-1899</v>
      </c>
      <c r="D439" s="19"/>
      <c r="E439" s="19"/>
      <c r="F439" s="19" t="str">
        <f t="shared" si="14"/>
        <v/>
      </c>
      <c r="G439" s="19"/>
      <c r="H439" s="19">
        <f t="shared" si="2"/>
        <v>0</v>
      </c>
      <c r="I439" s="134"/>
      <c r="J439" s="19"/>
    </row>
    <row r="440" ht="14.25" customHeight="1">
      <c r="B440" s="27"/>
      <c r="C440" s="133" t="str">
        <f t="shared" si="12"/>
        <v>12-1899</v>
      </c>
      <c r="D440" s="19"/>
      <c r="E440" s="19"/>
      <c r="F440" s="19" t="str">
        <f t="shared" si="14"/>
        <v/>
      </c>
      <c r="G440" s="19"/>
      <c r="H440" s="19">
        <f t="shared" si="2"/>
        <v>0</v>
      </c>
      <c r="I440" s="134"/>
      <c r="J440" s="19"/>
    </row>
    <row r="441" ht="14.25" customHeight="1">
      <c r="B441" s="27"/>
      <c r="C441" s="133" t="str">
        <f t="shared" si="12"/>
        <v>12-1899</v>
      </c>
      <c r="D441" s="19"/>
      <c r="E441" s="19"/>
      <c r="F441" s="19" t="str">
        <f t="shared" si="14"/>
        <v/>
      </c>
      <c r="G441" s="19"/>
      <c r="H441" s="19">
        <f t="shared" si="2"/>
        <v>0</v>
      </c>
      <c r="I441" s="134"/>
      <c r="J441" s="19"/>
    </row>
    <row r="442" ht="14.25" customHeight="1">
      <c r="B442" s="27"/>
      <c r="C442" s="133" t="str">
        <f t="shared" si="12"/>
        <v>12-1899</v>
      </c>
      <c r="D442" s="19"/>
      <c r="E442" s="19"/>
      <c r="F442" s="19" t="str">
        <f t="shared" si="14"/>
        <v/>
      </c>
      <c r="G442" s="19"/>
      <c r="H442" s="19">
        <f t="shared" si="2"/>
        <v>0</v>
      </c>
      <c r="I442" s="134"/>
      <c r="J442" s="19"/>
    </row>
    <row r="443" ht="14.25" customHeight="1">
      <c r="B443" s="27"/>
      <c r="C443" s="133" t="str">
        <f t="shared" si="12"/>
        <v>12-1899</v>
      </c>
      <c r="D443" s="19"/>
      <c r="E443" s="19"/>
      <c r="F443" s="19" t="str">
        <f t="shared" si="14"/>
        <v/>
      </c>
      <c r="G443" s="19"/>
      <c r="H443" s="19">
        <f t="shared" si="2"/>
        <v>0</v>
      </c>
      <c r="I443" s="134"/>
      <c r="J443" s="19"/>
    </row>
    <row r="444" ht="14.25" customHeight="1">
      <c r="B444" s="27"/>
      <c r="C444" s="133" t="str">
        <f t="shared" si="12"/>
        <v>12-1899</v>
      </c>
      <c r="D444" s="19"/>
      <c r="E444" s="19"/>
      <c r="F444" s="19" t="str">
        <f t="shared" si="14"/>
        <v/>
      </c>
      <c r="G444" s="19"/>
      <c r="H444" s="19">
        <f t="shared" si="2"/>
        <v>0</v>
      </c>
      <c r="I444" s="134"/>
      <c r="J444" s="19"/>
    </row>
    <row r="445" ht="14.25" customHeight="1">
      <c r="B445" s="27"/>
      <c r="C445" s="133" t="str">
        <f t="shared" si="12"/>
        <v>12-1899</v>
      </c>
      <c r="D445" s="19"/>
      <c r="E445" s="19"/>
      <c r="F445" s="19" t="str">
        <f t="shared" si="14"/>
        <v/>
      </c>
      <c r="G445" s="19"/>
      <c r="H445" s="19">
        <f t="shared" si="2"/>
        <v>0</v>
      </c>
      <c r="I445" s="134"/>
      <c r="J445" s="19"/>
    </row>
    <row r="446" ht="14.25" customHeight="1">
      <c r="B446" s="27"/>
      <c r="C446" s="133" t="str">
        <f t="shared" si="12"/>
        <v>12-1899</v>
      </c>
      <c r="D446" s="19"/>
      <c r="E446" s="19"/>
      <c r="F446" s="19" t="str">
        <f t="shared" si="14"/>
        <v/>
      </c>
      <c r="G446" s="19"/>
      <c r="H446" s="19">
        <f t="shared" si="2"/>
        <v>0</v>
      </c>
      <c r="I446" s="134"/>
      <c r="J446" s="19"/>
    </row>
    <row r="447" ht="14.25" customHeight="1">
      <c r="B447" s="27"/>
      <c r="C447" s="133" t="str">
        <f t="shared" si="12"/>
        <v>12-1899</v>
      </c>
      <c r="D447" s="19"/>
      <c r="E447" s="19"/>
      <c r="F447" s="19" t="str">
        <f t="shared" si="14"/>
        <v/>
      </c>
      <c r="G447" s="19"/>
      <c r="H447" s="19">
        <f t="shared" si="2"/>
        <v>0</v>
      </c>
      <c r="I447" s="134"/>
      <c r="J447" s="19"/>
    </row>
    <row r="448" ht="14.25" customHeight="1">
      <c r="B448" s="27"/>
      <c r="C448" s="133" t="str">
        <f t="shared" si="12"/>
        <v>12-1899</v>
      </c>
      <c r="D448" s="19"/>
      <c r="E448" s="19"/>
      <c r="F448" s="19" t="str">
        <f t="shared" si="14"/>
        <v/>
      </c>
      <c r="G448" s="19"/>
      <c r="H448" s="19">
        <f t="shared" si="2"/>
        <v>0</v>
      </c>
      <c r="I448" s="134"/>
      <c r="J448" s="19"/>
    </row>
    <row r="449" ht="14.25" customHeight="1">
      <c r="B449" s="27"/>
      <c r="C449" s="133" t="str">
        <f t="shared" si="12"/>
        <v>12-1899</v>
      </c>
      <c r="D449" s="19"/>
      <c r="E449" s="19"/>
      <c r="F449" s="19" t="str">
        <f t="shared" si="14"/>
        <v/>
      </c>
      <c r="G449" s="19"/>
      <c r="H449" s="19">
        <f t="shared" si="2"/>
        <v>0</v>
      </c>
      <c r="I449" s="134"/>
      <c r="J449" s="19"/>
    </row>
    <row r="450" ht="14.25" customHeight="1">
      <c r="B450" s="27"/>
      <c r="C450" s="133" t="str">
        <f t="shared" si="12"/>
        <v>12-1899</v>
      </c>
      <c r="D450" s="19"/>
      <c r="E450" s="19"/>
      <c r="F450" s="19" t="str">
        <f t="shared" si="14"/>
        <v/>
      </c>
      <c r="G450" s="19"/>
      <c r="H450" s="19">
        <f t="shared" si="2"/>
        <v>0</v>
      </c>
      <c r="I450" s="134"/>
      <c r="J450" s="19"/>
    </row>
    <row r="451" ht="14.25" customHeight="1">
      <c r="B451" s="27"/>
      <c r="C451" s="133" t="str">
        <f t="shared" si="12"/>
        <v>12-1899</v>
      </c>
      <c r="D451" s="19"/>
      <c r="E451" s="19"/>
      <c r="F451" s="19" t="str">
        <f t="shared" si="14"/>
        <v/>
      </c>
      <c r="G451" s="19"/>
      <c r="H451" s="19">
        <f t="shared" si="2"/>
        <v>0</v>
      </c>
      <c r="I451" s="134"/>
      <c r="J451" s="19"/>
    </row>
    <row r="452" ht="14.25" customHeight="1">
      <c r="B452" s="27"/>
      <c r="C452" s="133" t="str">
        <f t="shared" si="12"/>
        <v>12-1899</v>
      </c>
      <c r="D452" s="19"/>
      <c r="E452" s="19"/>
      <c r="F452" s="19" t="str">
        <f t="shared" si="14"/>
        <v/>
      </c>
      <c r="G452" s="19"/>
      <c r="H452" s="19">
        <f t="shared" si="2"/>
        <v>0</v>
      </c>
      <c r="I452" s="134"/>
      <c r="J452" s="19"/>
    </row>
    <row r="453" ht="14.25" customHeight="1">
      <c r="B453" s="27"/>
      <c r="C453" s="133" t="str">
        <f t="shared" si="12"/>
        <v>12-1899</v>
      </c>
      <c r="D453" s="19"/>
      <c r="E453" s="19"/>
      <c r="F453" s="19" t="str">
        <f t="shared" si="14"/>
        <v/>
      </c>
      <c r="G453" s="19"/>
      <c r="H453" s="19">
        <f t="shared" si="2"/>
        <v>0</v>
      </c>
      <c r="I453" s="134"/>
      <c r="J453" s="19"/>
    </row>
    <row r="454" ht="14.25" customHeight="1">
      <c r="B454" s="27"/>
      <c r="C454" s="133" t="str">
        <f t="shared" si="12"/>
        <v>12-1899</v>
      </c>
      <c r="D454" s="19"/>
      <c r="E454" s="19"/>
      <c r="F454" s="19" t="str">
        <f t="shared" si="14"/>
        <v/>
      </c>
      <c r="G454" s="19"/>
      <c r="H454" s="19">
        <f t="shared" si="2"/>
        <v>0</v>
      </c>
      <c r="I454" s="134"/>
      <c r="J454" s="19"/>
    </row>
    <row r="455" ht="14.25" customHeight="1">
      <c r="B455" s="27"/>
      <c r="C455" s="133" t="str">
        <f t="shared" si="12"/>
        <v>12-1899</v>
      </c>
      <c r="D455" s="19"/>
      <c r="E455" s="19"/>
      <c r="F455" s="19" t="str">
        <f t="shared" si="14"/>
        <v/>
      </c>
      <c r="G455" s="19"/>
      <c r="H455" s="19">
        <f t="shared" si="2"/>
        <v>0</v>
      </c>
      <c r="I455" s="134"/>
      <c r="J455" s="19"/>
    </row>
    <row r="456" ht="14.25" customHeight="1">
      <c r="B456" s="27"/>
      <c r="C456" s="133" t="str">
        <f t="shared" si="12"/>
        <v>12-1899</v>
      </c>
      <c r="D456" s="19"/>
      <c r="E456" s="19"/>
      <c r="F456" s="19" t="str">
        <f t="shared" si="14"/>
        <v/>
      </c>
      <c r="G456" s="19"/>
      <c r="H456" s="19">
        <f t="shared" si="2"/>
        <v>0</v>
      </c>
      <c r="I456" s="134"/>
      <c r="J456" s="19"/>
    </row>
    <row r="457" ht="14.25" customHeight="1">
      <c r="B457" s="27"/>
      <c r="C457" s="133" t="str">
        <f t="shared" si="12"/>
        <v>12-1899</v>
      </c>
      <c r="D457" s="19"/>
      <c r="E457" s="19"/>
      <c r="F457" s="19" t="str">
        <f t="shared" si="14"/>
        <v/>
      </c>
      <c r="G457" s="19"/>
      <c r="H457" s="19">
        <f t="shared" si="2"/>
        <v>0</v>
      </c>
      <c r="I457" s="134"/>
      <c r="J457" s="19"/>
    </row>
    <row r="458" ht="14.25" customHeight="1">
      <c r="B458" s="27"/>
      <c r="C458" s="133" t="str">
        <f t="shared" si="12"/>
        <v>12-1899</v>
      </c>
      <c r="D458" s="19"/>
      <c r="E458" s="19"/>
      <c r="F458" s="19" t="str">
        <f t="shared" si="14"/>
        <v/>
      </c>
      <c r="G458" s="19"/>
      <c r="H458" s="19">
        <f t="shared" si="2"/>
        <v>0</v>
      </c>
      <c r="I458" s="134"/>
      <c r="J458" s="19"/>
    </row>
    <row r="459" ht="14.25" customHeight="1">
      <c r="B459" s="27"/>
      <c r="C459" s="133" t="str">
        <f t="shared" si="12"/>
        <v>12-1899</v>
      </c>
      <c r="D459" s="19"/>
      <c r="E459" s="19"/>
      <c r="F459" s="19" t="str">
        <f t="shared" si="14"/>
        <v/>
      </c>
      <c r="G459" s="19"/>
      <c r="H459" s="19">
        <f t="shared" si="2"/>
        <v>0</v>
      </c>
      <c r="I459" s="134"/>
      <c r="J459" s="19"/>
    </row>
    <row r="460" ht="14.25" customHeight="1">
      <c r="B460" s="27"/>
      <c r="C460" s="133" t="str">
        <f t="shared" si="12"/>
        <v>12-1899</v>
      </c>
      <c r="D460" s="19"/>
      <c r="E460" s="19"/>
      <c r="F460" s="19" t="str">
        <f t="shared" si="14"/>
        <v/>
      </c>
      <c r="G460" s="19"/>
      <c r="H460" s="19">
        <f t="shared" si="2"/>
        <v>0</v>
      </c>
      <c r="I460" s="134"/>
      <c r="J460" s="19"/>
    </row>
    <row r="461" ht="14.25" customHeight="1">
      <c r="B461" s="27"/>
      <c r="C461" s="133" t="str">
        <f t="shared" si="12"/>
        <v>12-1899</v>
      </c>
      <c r="D461" s="19"/>
      <c r="E461" s="19"/>
      <c r="F461" s="19" t="str">
        <f t="shared" si="14"/>
        <v/>
      </c>
      <c r="G461" s="19"/>
      <c r="H461" s="19">
        <f t="shared" si="2"/>
        <v>0</v>
      </c>
      <c r="I461" s="134"/>
      <c r="J461" s="19"/>
    </row>
    <row r="462" ht="14.25" customHeight="1">
      <c r="B462" s="27"/>
      <c r="C462" s="133" t="str">
        <f t="shared" si="12"/>
        <v>12-1899</v>
      </c>
      <c r="D462" s="19"/>
      <c r="E462" s="19"/>
      <c r="F462" s="19" t="str">
        <f t="shared" si="14"/>
        <v/>
      </c>
      <c r="G462" s="19"/>
      <c r="H462" s="19">
        <f t="shared" si="2"/>
        <v>0</v>
      </c>
      <c r="I462" s="134"/>
      <c r="J462" s="19"/>
    </row>
    <row r="463" ht="14.25" customHeight="1">
      <c r="B463" s="27"/>
      <c r="C463" s="133" t="str">
        <f t="shared" si="12"/>
        <v>12-1899</v>
      </c>
      <c r="D463" s="19"/>
      <c r="E463" s="19"/>
      <c r="F463" s="19" t="str">
        <f t="shared" si="14"/>
        <v/>
      </c>
      <c r="G463" s="19"/>
      <c r="H463" s="19">
        <f t="shared" si="2"/>
        <v>0</v>
      </c>
      <c r="I463" s="134"/>
      <c r="J463" s="19"/>
    </row>
    <row r="464" ht="14.25" customHeight="1">
      <c r="B464" s="27"/>
      <c r="C464" s="133" t="str">
        <f t="shared" si="12"/>
        <v>12-1899</v>
      </c>
      <c r="D464" s="19"/>
      <c r="E464" s="19"/>
      <c r="F464" s="19" t="str">
        <f t="shared" si="14"/>
        <v/>
      </c>
      <c r="G464" s="19"/>
      <c r="H464" s="19">
        <f t="shared" si="2"/>
        <v>0</v>
      </c>
      <c r="I464" s="134"/>
      <c r="J464" s="19"/>
    </row>
    <row r="465" ht="14.25" customHeight="1">
      <c r="B465" s="27"/>
      <c r="C465" s="133" t="str">
        <f t="shared" si="12"/>
        <v>12-1899</v>
      </c>
      <c r="D465" s="19"/>
      <c r="E465" s="19"/>
      <c r="F465" s="19" t="str">
        <f t="shared" si="14"/>
        <v/>
      </c>
      <c r="G465" s="19"/>
      <c r="H465" s="19">
        <f t="shared" si="2"/>
        <v>0</v>
      </c>
      <c r="I465" s="134"/>
      <c r="J465" s="19"/>
    </row>
    <row r="466" ht="14.25" customHeight="1">
      <c r="B466" s="27"/>
      <c r="C466" s="133" t="str">
        <f t="shared" si="12"/>
        <v>12-1899</v>
      </c>
      <c r="D466" s="19"/>
      <c r="E466" s="19"/>
      <c r="F466" s="19" t="str">
        <f t="shared" si="14"/>
        <v/>
      </c>
      <c r="G466" s="19"/>
      <c r="H466" s="19">
        <f t="shared" si="2"/>
        <v>0</v>
      </c>
      <c r="I466" s="134"/>
      <c r="J466" s="19"/>
    </row>
    <row r="467" ht="14.25" customHeight="1">
      <c r="B467" s="27"/>
      <c r="C467" s="133" t="str">
        <f t="shared" si="12"/>
        <v>12-1899</v>
      </c>
      <c r="D467" s="19"/>
      <c r="E467" s="19"/>
      <c r="F467" s="19" t="str">
        <f t="shared" si="14"/>
        <v/>
      </c>
      <c r="G467" s="19"/>
      <c r="H467" s="19">
        <f t="shared" si="2"/>
        <v>0</v>
      </c>
      <c r="I467" s="134"/>
      <c r="J467" s="19"/>
    </row>
    <row r="468" ht="14.25" customHeight="1">
      <c r="B468" s="27"/>
      <c r="C468" s="133" t="str">
        <f t="shared" si="12"/>
        <v>12-1899</v>
      </c>
      <c r="D468" s="19"/>
      <c r="E468" s="19"/>
      <c r="F468" s="19" t="str">
        <f t="shared" si="14"/>
        <v/>
      </c>
      <c r="G468" s="19"/>
      <c r="H468" s="19">
        <f t="shared" si="2"/>
        <v>0</v>
      </c>
      <c r="I468" s="134"/>
      <c r="J468" s="19"/>
    </row>
    <row r="469" ht="14.25" customHeight="1">
      <c r="B469" s="27"/>
      <c r="C469" s="133" t="str">
        <f t="shared" si="12"/>
        <v>12-1899</v>
      </c>
      <c r="D469" s="19"/>
      <c r="E469" s="19"/>
      <c r="F469" s="19" t="str">
        <f t="shared" si="14"/>
        <v/>
      </c>
      <c r="G469" s="19"/>
      <c r="H469" s="19">
        <f t="shared" si="2"/>
        <v>0</v>
      </c>
      <c r="I469" s="134"/>
      <c r="J469" s="19"/>
    </row>
    <row r="470" ht="14.25" customHeight="1">
      <c r="B470" s="27"/>
      <c r="C470" s="133" t="str">
        <f t="shared" si="12"/>
        <v>12-1899</v>
      </c>
      <c r="D470" s="19"/>
      <c r="E470" s="19"/>
      <c r="F470" s="19" t="str">
        <f t="shared" si="14"/>
        <v/>
      </c>
      <c r="G470" s="19"/>
      <c r="H470" s="19">
        <f t="shared" si="2"/>
        <v>0</v>
      </c>
      <c r="I470" s="134"/>
      <c r="J470" s="19"/>
    </row>
    <row r="471" ht="14.25" customHeight="1">
      <c r="B471" s="27"/>
      <c r="C471" s="133" t="str">
        <f t="shared" si="12"/>
        <v>12-1899</v>
      </c>
      <c r="D471" s="19"/>
      <c r="E471" s="19"/>
      <c r="F471" s="19" t="str">
        <f t="shared" si="14"/>
        <v/>
      </c>
      <c r="G471" s="19"/>
      <c r="H471" s="19">
        <f t="shared" si="2"/>
        <v>0</v>
      </c>
      <c r="I471" s="134"/>
      <c r="J471" s="19"/>
    </row>
    <row r="472" ht="14.25" customHeight="1">
      <c r="B472" s="27"/>
      <c r="C472" s="133" t="str">
        <f t="shared" si="12"/>
        <v>12-1899</v>
      </c>
      <c r="D472" s="19"/>
      <c r="E472" s="19"/>
      <c r="F472" s="19" t="str">
        <f t="shared" si="14"/>
        <v/>
      </c>
      <c r="G472" s="19"/>
      <c r="H472" s="19">
        <f t="shared" si="2"/>
        <v>0</v>
      </c>
      <c r="I472" s="134"/>
      <c r="J472" s="19"/>
    </row>
    <row r="473" ht="14.25" customHeight="1">
      <c r="B473" s="27"/>
      <c r="C473" s="133" t="str">
        <f t="shared" si="12"/>
        <v>12-1899</v>
      </c>
      <c r="D473" s="19"/>
      <c r="E473" s="19"/>
      <c r="F473" s="19" t="str">
        <f t="shared" si="14"/>
        <v/>
      </c>
      <c r="G473" s="19"/>
      <c r="H473" s="19">
        <f t="shared" si="2"/>
        <v>0</v>
      </c>
      <c r="I473" s="134"/>
      <c r="J473" s="19"/>
    </row>
    <row r="474" ht="14.25" customHeight="1">
      <c r="B474" s="27"/>
      <c r="C474" s="133" t="str">
        <f t="shared" si="12"/>
        <v>12-1899</v>
      </c>
      <c r="D474" s="19"/>
      <c r="E474" s="19"/>
      <c r="F474" s="19" t="str">
        <f t="shared" si="14"/>
        <v/>
      </c>
      <c r="G474" s="19"/>
      <c r="H474" s="19">
        <f t="shared" si="2"/>
        <v>0</v>
      </c>
      <c r="I474" s="134"/>
      <c r="J474" s="19"/>
    </row>
    <row r="475" ht="14.25" customHeight="1">
      <c r="B475" s="27"/>
      <c r="C475" s="133" t="str">
        <f t="shared" si="12"/>
        <v>12-1899</v>
      </c>
      <c r="D475" s="19"/>
      <c r="E475" s="19"/>
      <c r="F475" s="19" t="str">
        <f t="shared" si="14"/>
        <v/>
      </c>
      <c r="G475" s="19"/>
      <c r="H475" s="19">
        <f t="shared" si="2"/>
        <v>0</v>
      </c>
      <c r="I475" s="134"/>
      <c r="J475" s="19"/>
    </row>
    <row r="476" ht="14.25" customHeight="1">
      <c r="B476" s="27"/>
      <c r="C476" s="133" t="str">
        <f t="shared" si="12"/>
        <v>12-1899</v>
      </c>
      <c r="D476" s="19"/>
      <c r="E476" s="19"/>
      <c r="F476" s="19" t="str">
        <f t="shared" si="14"/>
        <v/>
      </c>
      <c r="G476" s="19"/>
      <c r="H476" s="19">
        <f t="shared" si="2"/>
        <v>0</v>
      </c>
      <c r="I476" s="134"/>
      <c r="J476" s="19"/>
    </row>
    <row r="477" ht="14.25" customHeight="1">
      <c r="B477" s="27"/>
      <c r="C477" s="133" t="str">
        <f t="shared" si="12"/>
        <v>12-1899</v>
      </c>
      <c r="D477" s="19"/>
      <c r="E477" s="19"/>
      <c r="F477" s="19" t="str">
        <f t="shared" si="14"/>
        <v/>
      </c>
      <c r="G477" s="19"/>
      <c r="H477" s="19">
        <f t="shared" si="2"/>
        <v>0</v>
      </c>
      <c r="I477" s="134"/>
      <c r="J477" s="19"/>
    </row>
    <row r="478" ht="14.25" customHeight="1">
      <c r="B478" s="27"/>
      <c r="C478" s="133" t="str">
        <f t="shared" si="12"/>
        <v>12-1899</v>
      </c>
      <c r="D478" s="19"/>
      <c r="E478" s="19"/>
      <c r="F478" s="19" t="str">
        <f t="shared" si="14"/>
        <v/>
      </c>
      <c r="G478" s="19"/>
      <c r="H478" s="19">
        <f t="shared" si="2"/>
        <v>0</v>
      </c>
      <c r="I478" s="134"/>
      <c r="J478" s="19"/>
    </row>
    <row r="479" ht="14.25" customHeight="1">
      <c r="B479" s="27"/>
      <c r="C479" s="133" t="str">
        <f t="shared" si="12"/>
        <v>12-1899</v>
      </c>
      <c r="D479" s="19"/>
      <c r="E479" s="19"/>
      <c r="F479" s="19" t="str">
        <f t="shared" si="14"/>
        <v/>
      </c>
      <c r="G479" s="19"/>
      <c r="H479" s="19">
        <f t="shared" si="2"/>
        <v>0</v>
      </c>
      <c r="I479" s="134"/>
      <c r="J479" s="19"/>
    </row>
    <row r="480" ht="14.25" customHeight="1">
      <c r="B480" s="27"/>
      <c r="C480" s="133" t="str">
        <f t="shared" si="12"/>
        <v>12-1899</v>
      </c>
      <c r="D480" s="19"/>
      <c r="E480" s="19"/>
      <c r="F480" s="19" t="str">
        <f t="shared" si="14"/>
        <v/>
      </c>
      <c r="G480" s="19"/>
      <c r="H480" s="19">
        <f t="shared" si="2"/>
        <v>0</v>
      </c>
      <c r="I480" s="134"/>
      <c r="J480" s="19"/>
    </row>
    <row r="481" ht="14.25" customHeight="1">
      <c r="B481" s="27"/>
      <c r="C481" s="133" t="str">
        <f t="shared" si="12"/>
        <v>12-1899</v>
      </c>
      <c r="D481" s="19"/>
      <c r="E481" s="19"/>
      <c r="F481" s="19" t="str">
        <f t="shared" si="14"/>
        <v/>
      </c>
      <c r="G481" s="19"/>
      <c r="H481" s="19">
        <f t="shared" si="2"/>
        <v>0</v>
      </c>
      <c r="I481" s="134"/>
      <c r="J481" s="19"/>
    </row>
    <row r="482" ht="14.25" customHeight="1">
      <c r="B482" s="27"/>
      <c r="C482" s="133" t="str">
        <f t="shared" si="12"/>
        <v>12-1899</v>
      </c>
      <c r="D482" s="19"/>
      <c r="E482" s="19"/>
      <c r="F482" s="19" t="str">
        <f t="shared" si="14"/>
        <v/>
      </c>
      <c r="G482" s="19"/>
      <c r="H482" s="19">
        <f t="shared" si="2"/>
        <v>0</v>
      </c>
      <c r="I482" s="134"/>
      <c r="J482" s="19"/>
    </row>
    <row r="483" ht="14.25" customHeight="1">
      <c r="B483" s="27"/>
      <c r="C483" s="133" t="str">
        <f t="shared" si="12"/>
        <v>12-1899</v>
      </c>
      <c r="D483" s="19"/>
      <c r="E483" s="19"/>
      <c r="F483" s="19" t="str">
        <f t="shared" si="14"/>
        <v/>
      </c>
      <c r="G483" s="19"/>
      <c r="H483" s="19">
        <f t="shared" si="2"/>
        <v>0</v>
      </c>
      <c r="I483" s="134"/>
      <c r="J483" s="19"/>
    </row>
    <row r="484" ht="14.25" customHeight="1">
      <c r="B484" s="27"/>
      <c r="C484" s="133" t="str">
        <f t="shared" si="12"/>
        <v>12-1899</v>
      </c>
      <c r="D484" s="19"/>
      <c r="E484" s="19"/>
      <c r="F484" s="19" t="str">
        <f t="shared" si="14"/>
        <v/>
      </c>
      <c r="G484" s="19"/>
      <c r="H484" s="19">
        <f t="shared" si="2"/>
        <v>0</v>
      </c>
      <c r="I484" s="134"/>
      <c r="J484" s="19"/>
    </row>
    <row r="485" ht="14.25" customHeight="1">
      <c r="B485" s="27"/>
      <c r="C485" s="133" t="str">
        <f t="shared" si="12"/>
        <v>12-1899</v>
      </c>
      <c r="D485" s="19"/>
      <c r="E485" s="19"/>
      <c r="F485" s="19" t="str">
        <f t="shared" si="14"/>
        <v/>
      </c>
      <c r="G485" s="19"/>
      <c r="H485" s="19">
        <f t="shared" si="2"/>
        <v>0</v>
      </c>
      <c r="I485" s="134"/>
      <c r="J485" s="19"/>
    </row>
    <row r="486" ht="14.25" customHeight="1">
      <c r="B486" s="27"/>
      <c r="C486" s="133" t="str">
        <f t="shared" si="12"/>
        <v>12-1899</v>
      </c>
      <c r="D486" s="19"/>
      <c r="E486" s="19"/>
      <c r="F486" s="19" t="str">
        <f t="shared" si="14"/>
        <v/>
      </c>
      <c r="G486" s="19"/>
      <c r="H486" s="19">
        <f t="shared" si="2"/>
        <v>0</v>
      </c>
      <c r="I486" s="134"/>
      <c r="J486" s="19"/>
    </row>
    <row r="487" ht="14.25" customHeight="1">
      <c r="B487" s="27"/>
      <c r="C487" s="133" t="str">
        <f t="shared" si="12"/>
        <v>12-1899</v>
      </c>
      <c r="D487" s="19"/>
      <c r="E487" s="19"/>
      <c r="F487" s="19" t="str">
        <f t="shared" si="14"/>
        <v/>
      </c>
      <c r="G487" s="19"/>
      <c r="H487" s="19">
        <f t="shared" si="2"/>
        <v>0</v>
      </c>
      <c r="I487" s="134"/>
      <c r="J487" s="19"/>
    </row>
    <row r="488" ht="14.25" customHeight="1">
      <c r="B488" s="27"/>
      <c r="C488" s="133" t="str">
        <f t="shared" si="12"/>
        <v>12-1899</v>
      </c>
      <c r="D488" s="19"/>
      <c r="E488" s="19"/>
      <c r="F488" s="19" t="str">
        <f t="shared" si="14"/>
        <v/>
      </c>
      <c r="G488" s="19"/>
      <c r="H488" s="19">
        <f t="shared" si="2"/>
        <v>0</v>
      </c>
      <c r="I488" s="134"/>
      <c r="J488" s="19"/>
    </row>
    <row r="489" ht="14.25" customHeight="1">
      <c r="B489" s="27"/>
      <c r="C489" s="133" t="str">
        <f t="shared" si="12"/>
        <v>12-1899</v>
      </c>
      <c r="D489" s="19"/>
      <c r="E489" s="19"/>
      <c r="F489" s="19" t="str">
        <f t="shared" si="14"/>
        <v/>
      </c>
      <c r="G489" s="19"/>
      <c r="H489" s="19">
        <f t="shared" si="2"/>
        <v>0</v>
      </c>
      <c r="I489" s="134"/>
      <c r="J489" s="19"/>
    </row>
    <row r="490" ht="14.25" customHeight="1">
      <c r="B490" s="27"/>
      <c r="C490" s="133" t="str">
        <f t="shared" si="12"/>
        <v>12-1899</v>
      </c>
      <c r="D490" s="19"/>
      <c r="E490" s="19"/>
      <c r="F490" s="19" t="str">
        <f t="shared" si="14"/>
        <v/>
      </c>
      <c r="G490" s="19"/>
      <c r="H490" s="19">
        <f t="shared" si="2"/>
        <v>0</v>
      </c>
      <c r="I490" s="134"/>
      <c r="J490" s="19"/>
    </row>
    <row r="491" ht="14.25" customHeight="1">
      <c r="B491" s="27"/>
      <c r="C491" s="133" t="str">
        <f t="shared" si="12"/>
        <v>12-1899</v>
      </c>
      <c r="D491" s="19"/>
      <c r="E491" s="19"/>
      <c r="F491" s="19" t="str">
        <f t="shared" si="14"/>
        <v/>
      </c>
      <c r="G491" s="19"/>
      <c r="H491" s="19">
        <f t="shared" si="2"/>
        <v>0</v>
      </c>
      <c r="I491" s="134"/>
      <c r="J491" s="19"/>
    </row>
    <row r="492" ht="14.25" customHeight="1">
      <c r="B492" s="27"/>
      <c r="C492" s="133" t="str">
        <f t="shared" si="12"/>
        <v>12-1899</v>
      </c>
      <c r="D492" s="19"/>
      <c r="E492" s="19"/>
      <c r="F492" s="19" t="str">
        <f t="shared" si="14"/>
        <v/>
      </c>
      <c r="G492" s="19"/>
      <c r="H492" s="19">
        <f t="shared" si="2"/>
        <v>0</v>
      </c>
      <c r="I492" s="134"/>
      <c r="J492" s="19"/>
    </row>
    <row r="493" ht="14.25" customHeight="1">
      <c r="B493" s="27"/>
      <c r="C493" s="133" t="str">
        <f t="shared" si="12"/>
        <v>12-1899</v>
      </c>
      <c r="D493" s="19"/>
      <c r="E493" s="19"/>
      <c r="F493" s="19" t="str">
        <f t="shared" si="14"/>
        <v/>
      </c>
      <c r="G493" s="19"/>
      <c r="H493" s="19">
        <f t="shared" si="2"/>
        <v>0</v>
      </c>
      <c r="I493" s="134"/>
      <c r="J493" s="19"/>
    </row>
    <row r="494" ht="14.25" customHeight="1">
      <c r="B494" s="27"/>
      <c r="C494" s="133" t="str">
        <f t="shared" si="12"/>
        <v>12-1899</v>
      </c>
      <c r="D494" s="19"/>
      <c r="E494" s="19"/>
      <c r="F494" s="19" t="str">
        <f t="shared" si="14"/>
        <v/>
      </c>
      <c r="G494" s="19"/>
      <c r="H494" s="19">
        <f t="shared" si="2"/>
        <v>0</v>
      </c>
      <c r="I494" s="134"/>
      <c r="J494" s="19"/>
    </row>
    <row r="495" ht="14.25" customHeight="1">
      <c r="B495" s="27"/>
      <c r="C495" s="133" t="str">
        <f t="shared" si="12"/>
        <v>12-1899</v>
      </c>
      <c r="D495" s="19"/>
      <c r="E495" s="19"/>
      <c r="F495" s="19" t="str">
        <f t="shared" si="14"/>
        <v/>
      </c>
      <c r="G495" s="19"/>
      <c r="H495" s="19">
        <f t="shared" si="2"/>
        <v>0</v>
      </c>
      <c r="I495" s="134"/>
      <c r="J495" s="19"/>
    </row>
    <row r="496" ht="14.25" customHeight="1">
      <c r="B496" s="27"/>
      <c r="C496" s="133" t="str">
        <f t="shared" si="12"/>
        <v>12-1899</v>
      </c>
      <c r="D496" s="19"/>
      <c r="E496" s="19"/>
      <c r="F496" s="19" t="str">
        <f t="shared" si="14"/>
        <v/>
      </c>
      <c r="G496" s="19"/>
      <c r="H496" s="19">
        <f t="shared" si="2"/>
        <v>0</v>
      </c>
      <c r="I496" s="134"/>
      <c r="J496" s="19"/>
    </row>
    <row r="497" ht="14.25" customHeight="1">
      <c r="B497" s="27"/>
      <c r="C497" s="133" t="str">
        <f t="shared" si="12"/>
        <v>12-1899</v>
      </c>
      <c r="D497" s="19"/>
      <c r="E497" s="19"/>
      <c r="F497" s="19" t="str">
        <f t="shared" si="14"/>
        <v/>
      </c>
      <c r="G497" s="19"/>
      <c r="H497" s="19">
        <f t="shared" si="2"/>
        <v>0</v>
      </c>
      <c r="I497" s="134"/>
      <c r="J497" s="19"/>
    </row>
    <row r="498" ht="14.25" customHeight="1">
      <c r="B498" s="27"/>
      <c r="C498" s="133" t="str">
        <f t="shared" si="12"/>
        <v>12-1899</v>
      </c>
      <c r="D498" s="19"/>
      <c r="E498" s="19"/>
      <c r="F498" s="19" t="str">
        <f t="shared" si="14"/>
        <v/>
      </c>
      <c r="G498" s="19"/>
      <c r="H498" s="19">
        <f t="shared" si="2"/>
        <v>0</v>
      </c>
      <c r="I498" s="134"/>
      <c r="J498" s="19"/>
    </row>
    <row r="499" ht="14.25" customHeight="1">
      <c r="B499" s="27"/>
      <c r="C499" s="133" t="str">
        <f t="shared" si="12"/>
        <v>12-1899</v>
      </c>
      <c r="D499" s="19"/>
      <c r="E499" s="19"/>
      <c r="F499" s="19" t="str">
        <f t="shared" si="14"/>
        <v/>
      </c>
      <c r="G499" s="19"/>
      <c r="H499" s="19">
        <f t="shared" si="2"/>
        <v>0</v>
      </c>
      <c r="I499" s="134"/>
      <c r="J499" s="19"/>
    </row>
    <row r="500" ht="14.25" customHeight="1">
      <c r="B500" s="27"/>
      <c r="C500" s="133" t="str">
        <f t="shared" si="12"/>
        <v>12-1899</v>
      </c>
      <c r="D500" s="19"/>
      <c r="E500" s="19"/>
      <c r="F500" s="19" t="str">
        <f t="shared" si="14"/>
        <v/>
      </c>
      <c r="G500" s="19"/>
      <c r="H500" s="19">
        <f t="shared" si="2"/>
        <v>0</v>
      </c>
      <c r="I500" s="134"/>
      <c r="J500" s="19"/>
    </row>
    <row r="501" ht="14.25" customHeight="1">
      <c r="B501" s="27"/>
      <c r="C501" s="133" t="str">
        <f t="shared" si="12"/>
        <v>12-1899</v>
      </c>
      <c r="D501" s="19"/>
      <c r="E501" s="19"/>
      <c r="F501" s="19" t="str">
        <f t="shared" si="14"/>
        <v/>
      </c>
      <c r="G501" s="19"/>
      <c r="H501" s="19">
        <f t="shared" si="2"/>
        <v>0</v>
      </c>
      <c r="I501" s="134"/>
      <c r="J501" s="19"/>
    </row>
    <row r="502" ht="14.25" customHeight="1">
      <c r="B502" s="27"/>
      <c r="C502" s="133" t="str">
        <f t="shared" si="12"/>
        <v>12-1899</v>
      </c>
      <c r="D502" s="19"/>
      <c r="E502" s="19"/>
      <c r="F502" s="19" t="str">
        <f t="shared" si="14"/>
        <v/>
      </c>
      <c r="G502" s="19"/>
      <c r="H502" s="19">
        <f t="shared" si="2"/>
        <v>0</v>
      </c>
      <c r="I502" s="134"/>
      <c r="J502" s="19"/>
    </row>
    <row r="503" ht="14.25" customHeight="1">
      <c r="B503" s="2"/>
      <c r="I503" s="130"/>
    </row>
    <row r="504" ht="14.25" customHeight="1">
      <c r="B504" s="2"/>
      <c r="I504" s="130"/>
    </row>
    <row r="505" ht="14.25" customHeight="1">
      <c r="B505" s="2"/>
      <c r="I505" s="130"/>
    </row>
    <row r="506" ht="14.25" customHeight="1">
      <c r="B506" s="2"/>
      <c r="I506" s="130"/>
    </row>
    <row r="507" ht="14.25" customHeight="1">
      <c r="B507" s="2"/>
      <c r="I507" s="130"/>
    </row>
    <row r="508" ht="14.25" customHeight="1">
      <c r="B508" s="2"/>
      <c r="I508" s="130"/>
    </row>
    <row r="509" ht="14.25" customHeight="1">
      <c r="B509" s="2"/>
      <c r="I509" s="130"/>
    </row>
    <row r="510" ht="14.25" customHeight="1">
      <c r="B510" s="2"/>
      <c r="I510" s="130"/>
    </row>
    <row r="511" ht="14.25" customHeight="1">
      <c r="B511" s="2"/>
      <c r="I511" s="130"/>
    </row>
    <row r="512" ht="14.25" customHeight="1">
      <c r="B512" s="2"/>
      <c r="I512" s="130"/>
    </row>
    <row r="513" ht="14.25" customHeight="1">
      <c r="B513" s="2"/>
      <c r="I513" s="130"/>
    </row>
    <row r="514" ht="14.25" customHeight="1">
      <c r="B514" s="2"/>
      <c r="I514" s="130"/>
    </row>
    <row r="515" ht="14.25" customHeight="1">
      <c r="B515" s="2"/>
      <c r="I515" s="130"/>
    </row>
    <row r="516" ht="14.25" customHeight="1">
      <c r="B516" s="2"/>
      <c r="I516" s="130"/>
    </row>
    <row r="517" ht="14.25" customHeight="1">
      <c r="B517" s="2"/>
      <c r="I517" s="130"/>
    </row>
    <row r="518" ht="14.25" customHeight="1">
      <c r="B518" s="2"/>
      <c r="I518" s="130"/>
    </row>
    <row r="519" ht="14.25" customHeight="1">
      <c r="B519" s="2"/>
      <c r="I519" s="130"/>
    </row>
    <row r="520" ht="14.25" customHeight="1">
      <c r="B520" s="2"/>
      <c r="I520" s="130"/>
    </row>
    <row r="521" ht="14.25" customHeight="1">
      <c r="B521" s="2"/>
      <c r="I521" s="130"/>
    </row>
    <row r="522" ht="14.25" customHeight="1">
      <c r="B522" s="2"/>
      <c r="I522" s="130"/>
    </row>
    <row r="523" ht="14.25" customHeight="1">
      <c r="B523" s="2"/>
      <c r="I523" s="130"/>
    </row>
    <row r="524" ht="14.25" customHeight="1">
      <c r="B524" s="2"/>
      <c r="I524" s="130"/>
    </row>
    <row r="525" ht="14.25" customHeight="1">
      <c r="B525" s="2"/>
      <c r="I525" s="130"/>
    </row>
    <row r="526" ht="14.25" customHeight="1">
      <c r="B526" s="2"/>
      <c r="I526" s="130"/>
    </row>
    <row r="527" ht="14.25" customHeight="1">
      <c r="B527" s="2"/>
      <c r="I527" s="130"/>
    </row>
    <row r="528" ht="14.25" customHeight="1">
      <c r="B528" s="2"/>
      <c r="I528" s="130"/>
    </row>
    <row r="529" ht="14.25" customHeight="1">
      <c r="B529" s="2"/>
      <c r="I529" s="130"/>
    </row>
    <row r="530" ht="14.25" customHeight="1">
      <c r="B530" s="2"/>
      <c r="I530" s="130"/>
    </row>
    <row r="531" ht="14.25" customHeight="1">
      <c r="B531" s="2"/>
      <c r="I531" s="130"/>
    </row>
    <row r="532" ht="14.25" customHeight="1">
      <c r="B532" s="2"/>
      <c r="I532" s="130"/>
    </row>
    <row r="533" ht="14.25" customHeight="1">
      <c r="B533" s="2"/>
      <c r="I533" s="130"/>
    </row>
    <row r="534" ht="14.25" customHeight="1">
      <c r="B534" s="2"/>
      <c r="I534" s="130"/>
    </row>
    <row r="535" ht="14.25" customHeight="1">
      <c r="B535" s="2"/>
      <c r="I535" s="130"/>
    </row>
    <row r="536" ht="14.25" customHeight="1">
      <c r="B536" s="2"/>
      <c r="I536" s="130"/>
    </row>
    <row r="537" ht="14.25" customHeight="1">
      <c r="B537" s="2"/>
      <c r="I537" s="130"/>
    </row>
    <row r="538" ht="14.25" customHeight="1">
      <c r="B538" s="2"/>
      <c r="I538" s="130"/>
    </row>
    <row r="539" ht="14.25" customHeight="1">
      <c r="B539" s="2"/>
      <c r="I539" s="130"/>
    </row>
    <row r="540" ht="14.25" customHeight="1">
      <c r="B540" s="2"/>
      <c r="I540" s="130"/>
    </row>
    <row r="541" ht="14.25" customHeight="1">
      <c r="B541" s="2"/>
      <c r="I541" s="130"/>
    </row>
    <row r="542" ht="14.25" customHeight="1">
      <c r="B542" s="2"/>
      <c r="I542" s="130"/>
    </row>
    <row r="543" ht="14.25" customHeight="1">
      <c r="B543" s="2"/>
      <c r="I543" s="130"/>
    </row>
    <row r="544" ht="14.25" customHeight="1">
      <c r="B544" s="2"/>
      <c r="I544" s="130"/>
    </row>
    <row r="545" ht="14.25" customHeight="1">
      <c r="B545" s="2"/>
      <c r="I545" s="130"/>
    </row>
    <row r="546" ht="14.25" customHeight="1">
      <c r="B546" s="2"/>
      <c r="I546" s="130"/>
    </row>
    <row r="547" ht="14.25" customHeight="1">
      <c r="B547" s="2"/>
      <c r="I547" s="130"/>
    </row>
    <row r="548" ht="14.25" customHeight="1">
      <c r="B548" s="2"/>
      <c r="I548" s="130"/>
    </row>
    <row r="549" ht="14.25" customHeight="1">
      <c r="B549" s="2"/>
      <c r="I549" s="130"/>
    </row>
    <row r="550" ht="14.25" customHeight="1">
      <c r="B550" s="2"/>
      <c r="I550" s="130"/>
    </row>
    <row r="551" ht="14.25" customHeight="1">
      <c r="B551" s="2"/>
      <c r="I551" s="130"/>
    </row>
    <row r="552" ht="14.25" customHeight="1">
      <c r="B552" s="2"/>
      <c r="I552" s="130"/>
    </row>
    <row r="553" ht="14.25" customHeight="1">
      <c r="B553" s="2"/>
      <c r="I553" s="130"/>
    </row>
    <row r="554" ht="14.25" customHeight="1">
      <c r="B554" s="2"/>
      <c r="I554" s="130"/>
    </row>
    <row r="555" ht="14.25" customHeight="1">
      <c r="B555" s="2"/>
      <c r="I555" s="130"/>
    </row>
    <row r="556" ht="14.25" customHeight="1">
      <c r="B556" s="2"/>
      <c r="I556" s="130"/>
    </row>
    <row r="557" ht="14.25" customHeight="1">
      <c r="B557" s="2"/>
      <c r="I557" s="130"/>
    </row>
    <row r="558" ht="14.25" customHeight="1">
      <c r="B558" s="2"/>
      <c r="I558" s="130"/>
    </row>
    <row r="559" ht="14.25" customHeight="1">
      <c r="B559" s="2"/>
      <c r="I559" s="130"/>
    </row>
    <row r="560" ht="14.25" customHeight="1">
      <c r="B560" s="2"/>
      <c r="I560" s="130"/>
    </row>
    <row r="561" ht="14.25" customHeight="1">
      <c r="B561" s="2"/>
      <c r="I561" s="130"/>
    </row>
    <row r="562" ht="14.25" customHeight="1">
      <c r="B562" s="2"/>
      <c r="I562" s="130"/>
    </row>
    <row r="563" ht="14.25" customHeight="1">
      <c r="B563" s="2"/>
      <c r="I563" s="130"/>
    </row>
    <row r="564" ht="14.25" customHeight="1">
      <c r="B564" s="2"/>
      <c r="I564" s="130"/>
    </row>
    <row r="565" ht="14.25" customHeight="1">
      <c r="B565" s="2"/>
      <c r="I565" s="130"/>
    </row>
    <row r="566" ht="14.25" customHeight="1">
      <c r="B566" s="2"/>
      <c r="I566" s="130"/>
    </row>
    <row r="567" ht="14.25" customHeight="1">
      <c r="B567" s="2"/>
      <c r="I567" s="130"/>
    </row>
    <row r="568" ht="14.25" customHeight="1">
      <c r="B568" s="2"/>
      <c r="I568" s="130"/>
    </row>
    <row r="569" ht="14.25" customHeight="1">
      <c r="B569" s="2"/>
      <c r="I569" s="130"/>
    </row>
    <row r="570" ht="14.25" customHeight="1">
      <c r="B570" s="2"/>
      <c r="I570" s="130"/>
    </row>
    <row r="571" ht="14.25" customHeight="1">
      <c r="B571" s="2"/>
      <c r="I571" s="130"/>
    </row>
    <row r="572" ht="14.25" customHeight="1">
      <c r="B572" s="2"/>
      <c r="I572" s="130"/>
    </row>
    <row r="573" ht="14.25" customHeight="1">
      <c r="B573" s="2"/>
      <c r="I573" s="130"/>
    </row>
    <row r="574" ht="14.25" customHeight="1">
      <c r="B574" s="2"/>
      <c r="I574" s="130"/>
    </row>
    <row r="575" ht="14.25" customHeight="1">
      <c r="B575" s="2"/>
      <c r="I575" s="130"/>
    </row>
    <row r="576" ht="14.25" customHeight="1">
      <c r="B576" s="2"/>
      <c r="I576" s="130"/>
    </row>
    <row r="577" ht="14.25" customHeight="1">
      <c r="B577" s="2"/>
      <c r="I577" s="130"/>
    </row>
    <row r="578" ht="14.25" customHeight="1">
      <c r="B578" s="2"/>
      <c r="I578" s="130"/>
    </row>
    <row r="579" ht="14.25" customHeight="1">
      <c r="B579" s="2"/>
      <c r="I579" s="130"/>
    </row>
    <row r="580" ht="14.25" customHeight="1">
      <c r="B580" s="2"/>
      <c r="I580" s="130"/>
    </row>
    <row r="581" ht="14.25" customHeight="1">
      <c r="B581" s="2"/>
      <c r="I581" s="130"/>
    </row>
    <row r="582" ht="14.25" customHeight="1">
      <c r="B582" s="2"/>
      <c r="I582" s="130"/>
    </row>
    <row r="583" ht="14.25" customHeight="1">
      <c r="B583" s="2"/>
      <c r="I583" s="130"/>
    </row>
    <row r="584" ht="14.25" customHeight="1">
      <c r="B584" s="2"/>
      <c r="I584" s="130"/>
    </row>
    <row r="585" ht="14.25" customHeight="1">
      <c r="B585" s="2"/>
      <c r="I585" s="130"/>
    </row>
    <row r="586" ht="14.25" customHeight="1">
      <c r="B586" s="2"/>
      <c r="I586" s="130"/>
    </row>
    <row r="587" ht="14.25" customHeight="1">
      <c r="B587" s="2"/>
      <c r="I587" s="130"/>
    </row>
    <row r="588" ht="14.25" customHeight="1">
      <c r="B588" s="2"/>
      <c r="I588" s="130"/>
    </row>
    <row r="589" ht="14.25" customHeight="1">
      <c r="B589" s="2"/>
      <c r="I589" s="130"/>
    </row>
    <row r="590" ht="14.25" customHeight="1">
      <c r="B590" s="2"/>
      <c r="I590" s="130"/>
    </row>
    <row r="591" ht="14.25" customHeight="1">
      <c r="B591" s="2"/>
      <c r="I591" s="130"/>
    </row>
    <row r="592" ht="14.25" customHeight="1">
      <c r="B592" s="2"/>
      <c r="I592" s="130"/>
    </row>
    <row r="593" ht="14.25" customHeight="1">
      <c r="B593" s="2"/>
      <c r="I593" s="130"/>
    </row>
    <row r="594" ht="14.25" customHeight="1">
      <c r="B594" s="2"/>
      <c r="I594" s="130"/>
    </row>
    <row r="595" ht="14.25" customHeight="1">
      <c r="B595" s="2"/>
      <c r="I595" s="130"/>
    </row>
    <row r="596" ht="14.25" customHeight="1">
      <c r="B596" s="2"/>
      <c r="I596" s="130"/>
    </row>
    <row r="597" ht="14.25" customHeight="1">
      <c r="B597" s="2"/>
      <c r="I597" s="130"/>
    </row>
    <row r="598" ht="14.25" customHeight="1">
      <c r="B598" s="2"/>
      <c r="I598" s="130"/>
    </row>
    <row r="599" ht="14.25" customHeight="1">
      <c r="B599" s="2"/>
      <c r="I599" s="130"/>
    </row>
    <row r="600" ht="14.25" customHeight="1">
      <c r="B600" s="2"/>
      <c r="I600" s="130"/>
    </row>
    <row r="601" ht="14.25" customHeight="1">
      <c r="B601" s="2"/>
      <c r="I601" s="130"/>
    </row>
    <row r="602" ht="14.25" customHeight="1">
      <c r="B602" s="2"/>
      <c r="I602" s="130"/>
    </row>
    <row r="603" ht="14.25" customHeight="1">
      <c r="B603" s="2"/>
      <c r="I603" s="130"/>
    </row>
    <row r="604" ht="14.25" customHeight="1">
      <c r="B604" s="2"/>
      <c r="I604" s="130"/>
    </row>
    <row r="605" ht="14.25" customHeight="1">
      <c r="B605" s="2"/>
      <c r="I605" s="130"/>
    </row>
    <row r="606" ht="14.25" customHeight="1">
      <c r="B606" s="2"/>
      <c r="I606" s="130"/>
    </row>
    <row r="607" ht="14.25" customHeight="1">
      <c r="B607" s="2"/>
      <c r="I607" s="130"/>
    </row>
    <row r="608" ht="14.25" customHeight="1">
      <c r="B608" s="2"/>
      <c r="I608" s="130"/>
    </row>
    <row r="609" ht="14.25" customHeight="1">
      <c r="B609" s="2"/>
      <c r="I609" s="130"/>
    </row>
    <row r="610" ht="14.25" customHeight="1">
      <c r="B610" s="2"/>
      <c r="I610" s="130"/>
    </row>
    <row r="611" ht="14.25" customHeight="1">
      <c r="B611" s="2"/>
      <c r="I611" s="130"/>
    </row>
    <row r="612" ht="14.25" customHeight="1">
      <c r="B612" s="2"/>
      <c r="I612" s="130"/>
    </row>
    <row r="613" ht="14.25" customHeight="1">
      <c r="B613" s="2"/>
      <c r="I613" s="130"/>
    </row>
    <row r="614" ht="14.25" customHeight="1">
      <c r="B614" s="2"/>
      <c r="I614" s="130"/>
    </row>
    <row r="615" ht="14.25" customHeight="1">
      <c r="B615" s="2"/>
      <c r="I615" s="130"/>
    </row>
    <row r="616" ht="14.25" customHeight="1">
      <c r="B616" s="2"/>
      <c r="I616" s="130"/>
    </row>
    <row r="617" ht="14.25" customHeight="1">
      <c r="B617" s="2"/>
      <c r="I617" s="130"/>
    </row>
    <row r="618" ht="14.25" customHeight="1">
      <c r="B618" s="2"/>
      <c r="I618" s="130"/>
    </row>
    <row r="619" ht="14.25" customHeight="1">
      <c r="B619" s="2"/>
      <c r="I619" s="130"/>
    </row>
    <row r="620" ht="14.25" customHeight="1">
      <c r="B620" s="2"/>
      <c r="I620" s="130"/>
    </row>
    <row r="621" ht="14.25" customHeight="1">
      <c r="B621" s="2"/>
      <c r="I621" s="130"/>
    </row>
    <row r="622" ht="14.25" customHeight="1">
      <c r="B622" s="2"/>
      <c r="I622" s="130"/>
    </row>
    <row r="623" ht="14.25" customHeight="1">
      <c r="B623" s="2"/>
      <c r="I623" s="130"/>
    </row>
    <row r="624" ht="14.25" customHeight="1">
      <c r="B624" s="2"/>
      <c r="I624" s="130"/>
    </row>
    <row r="625" ht="14.25" customHeight="1">
      <c r="B625" s="2"/>
      <c r="I625" s="130"/>
    </row>
    <row r="626" ht="14.25" customHeight="1">
      <c r="B626" s="2"/>
      <c r="I626" s="130"/>
    </row>
    <row r="627" ht="14.25" customHeight="1">
      <c r="B627" s="2"/>
      <c r="I627" s="130"/>
    </row>
    <row r="628" ht="14.25" customHeight="1">
      <c r="B628" s="2"/>
      <c r="I628" s="130"/>
    </row>
    <row r="629" ht="14.25" customHeight="1">
      <c r="B629" s="2"/>
      <c r="I629" s="130"/>
    </row>
    <row r="630" ht="14.25" customHeight="1">
      <c r="B630" s="2"/>
      <c r="I630" s="130"/>
    </row>
    <row r="631" ht="14.25" customHeight="1">
      <c r="B631" s="2"/>
      <c r="I631" s="130"/>
    </row>
    <row r="632" ht="14.25" customHeight="1">
      <c r="B632" s="2"/>
      <c r="I632" s="130"/>
    </row>
    <row r="633" ht="14.25" customHeight="1">
      <c r="B633" s="2"/>
      <c r="I633" s="130"/>
    </row>
    <row r="634" ht="14.25" customHeight="1">
      <c r="B634" s="2"/>
      <c r="I634" s="130"/>
    </row>
    <row r="635" ht="14.25" customHeight="1">
      <c r="B635" s="2"/>
      <c r="I635" s="130"/>
    </row>
    <row r="636" ht="14.25" customHeight="1">
      <c r="B636" s="2"/>
      <c r="I636" s="130"/>
    </row>
    <row r="637" ht="14.25" customHeight="1">
      <c r="B637" s="2"/>
      <c r="I637" s="130"/>
    </row>
    <row r="638" ht="14.25" customHeight="1">
      <c r="B638" s="2"/>
      <c r="I638" s="130"/>
    </row>
    <row r="639" ht="14.25" customHeight="1">
      <c r="B639" s="2"/>
      <c r="I639" s="130"/>
    </row>
    <row r="640" ht="14.25" customHeight="1">
      <c r="B640" s="2"/>
      <c r="I640" s="130"/>
    </row>
    <row r="641" ht="14.25" customHeight="1">
      <c r="B641" s="2"/>
      <c r="I641" s="130"/>
    </row>
    <row r="642" ht="14.25" customHeight="1">
      <c r="B642" s="2"/>
      <c r="I642" s="130"/>
    </row>
    <row r="643" ht="14.25" customHeight="1">
      <c r="B643" s="2"/>
      <c r="I643" s="130"/>
    </row>
    <row r="644" ht="14.25" customHeight="1">
      <c r="B644" s="2"/>
      <c r="I644" s="130"/>
    </row>
    <row r="645" ht="14.25" customHeight="1">
      <c r="B645" s="2"/>
      <c r="I645" s="130"/>
    </row>
    <row r="646" ht="14.25" customHeight="1">
      <c r="B646" s="2"/>
      <c r="I646" s="130"/>
    </row>
    <row r="647" ht="14.25" customHeight="1">
      <c r="B647" s="2"/>
      <c r="I647" s="130"/>
    </row>
    <row r="648" ht="14.25" customHeight="1">
      <c r="B648" s="2"/>
      <c r="I648" s="130"/>
    </row>
    <row r="649" ht="14.25" customHeight="1">
      <c r="B649" s="2"/>
      <c r="I649" s="130"/>
    </row>
    <row r="650" ht="14.25" customHeight="1">
      <c r="B650" s="2"/>
      <c r="I650" s="130"/>
    </row>
    <row r="651" ht="14.25" customHeight="1">
      <c r="B651" s="2"/>
      <c r="I651" s="130"/>
    </row>
    <row r="652" ht="14.25" customHeight="1">
      <c r="B652" s="2"/>
      <c r="I652" s="130"/>
    </row>
    <row r="653" ht="14.25" customHeight="1">
      <c r="B653" s="2"/>
      <c r="I653" s="130"/>
    </row>
    <row r="654" ht="14.25" customHeight="1">
      <c r="B654" s="2"/>
      <c r="I654" s="130"/>
    </row>
    <row r="655" ht="14.25" customHeight="1">
      <c r="B655" s="2"/>
      <c r="I655" s="130"/>
    </row>
    <row r="656" ht="14.25" customHeight="1">
      <c r="B656" s="2"/>
      <c r="I656" s="130"/>
    </row>
    <row r="657" ht="14.25" customHeight="1">
      <c r="B657" s="2"/>
      <c r="I657" s="130"/>
    </row>
    <row r="658" ht="14.25" customHeight="1">
      <c r="B658" s="2"/>
      <c r="I658" s="130"/>
    </row>
    <row r="659" ht="14.25" customHeight="1">
      <c r="B659" s="2"/>
      <c r="I659" s="130"/>
    </row>
    <row r="660" ht="14.25" customHeight="1">
      <c r="B660" s="2"/>
      <c r="I660" s="130"/>
    </row>
    <row r="661" ht="14.25" customHeight="1">
      <c r="B661" s="2"/>
      <c r="I661" s="130"/>
    </row>
    <row r="662" ht="14.25" customHeight="1">
      <c r="B662" s="2"/>
      <c r="I662" s="130"/>
    </row>
    <row r="663" ht="14.25" customHeight="1">
      <c r="B663" s="2"/>
      <c r="I663" s="130"/>
    </row>
    <row r="664" ht="14.25" customHeight="1">
      <c r="B664" s="2"/>
      <c r="I664" s="130"/>
    </row>
    <row r="665" ht="14.25" customHeight="1">
      <c r="B665" s="2"/>
      <c r="I665" s="130"/>
    </row>
    <row r="666" ht="14.25" customHeight="1">
      <c r="B666" s="2"/>
      <c r="I666" s="130"/>
    </row>
    <row r="667" ht="14.25" customHeight="1">
      <c r="B667" s="2"/>
      <c r="I667" s="130"/>
    </row>
    <row r="668" ht="14.25" customHeight="1">
      <c r="B668" s="2"/>
      <c r="I668" s="130"/>
    </row>
    <row r="669" ht="14.25" customHeight="1">
      <c r="B669" s="2"/>
      <c r="I669" s="130"/>
    </row>
    <row r="670" ht="14.25" customHeight="1">
      <c r="B670" s="2"/>
      <c r="I670" s="130"/>
    </row>
    <row r="671" ht="14.25" customHeight="1">
      <c r="B671" s="2"/>
      <c r="I671" s="130"/>
    </row>
    <row r="672" ht="14.25" customHeight="1">
      <c r="B672" s="2"/>
      <c r="I672" s="130"/>
    </row>
    <row r="673" ht="14.25" customHeight="1">
      <c r="B673" s="2"/>
      <c r="I673" s="130"/>
    </row>
    <row r="674" ht="14.25" customHeight="1">
      <c r="B674" s="2"/>
      <c r="I674" s="130"/>
    </row>
    <row r="675" ht="14.25" customHeight="1">
      <c r="B675" s="2"/>
      <c r="I675" s="130"/>
    </row>
    <row r="676" ht="14.25" customHeight="1">
      <c r="B676" s="2"/>
      <c r="I676" s="130"/>
    </row>
    <row r="677" ht="14.25" customHeight="1">
      <c r="B677" s="2"/>
      <c r="I677" s="130"/>
    </row>
    <row r="678" ht="14.25" customHeight="1">
      <c r="B678" s="2"/>
      <c r="I678" s="130"/>
    </row>
    <row r="679" ht="14.25" customHeight="1">
      <c r="B679" s="2"/>
      <c r="I679" s="130"/>
    </row>
    <row r="680" ht="14.25" customHeight="1">
      <c r="B680" s="2"/>
      <c r="I680" s="130"/>
    </row>
    <row r="681" ht="14.25" customHeight="1">
      <c r="B681" s="2"/>
      <c r="I681" s="130"/>
    </row>
    <row r="682" ht="14.25" customHeight="1">
      <c r="B682" s="2"/>
      <c r="I682" s="130"/>
    </row>
    <row r="683" ht="14.25" customHeight="1">
      <c r="B683" s="2"/>
      <c r="I683" s="130"/>
    </row>
    <row r="684" ht="14.25" customHeight="1">
      <c r="B684" s="2"/>
      <c r="I684" s="130"/>
    </row>
    <row r="685" ht="14.25" customHeight="1">
      <c r="B685" s="2"/>
      <c r="I685" s="130"/>
    </row>
    <row r="686" ht="14.25" customHeight="1">
      <c r="B686" s="2"/>
      <c r="I686" s="130"/>
    </row>
    <row r="687" ht="14.25" customHeight="1">
      <c r="B687" s="2"/>
      <c r="I687" s="130"/>
    </row>
    <row r="688" ht="14.25" customHeight="1">
      <c r="B688" s="2"/>
      <c r="I688" s="130"/>
    </row>
    <row r="689" ht="14.25" customHeight="1">
      <c r="B689" s="2"/>
      <c r="I689" s="130"/>
    </row>
    <row r="690" ht="14.25" customHeight="1">
      <c r="B690" s="2"/>
      <c r="I690" s="130"/>
    </row>
    <row r="691" ht="14.25" customHeight="1">
      <c r="B691" s="2"/>
      <c r="I691" s="130"/>
    </row>
    <row r="692" ht="14.25" customHeight="1">
      <c r="B692" s="2"/>
      <c r="I692" s="130"/>
    </row>
    <row r="693" ht="14.25" customHeight="1">
      <c r="B693" s="2"/>
      <c r="I693" s="130"/>
    </row>
    <row r="694" ht="14.25" customHeight="1">
      <c r="B694" s="2"/>
      <c r="I694" s="130"/>
    </row>
    <row r="695" ht="14.25" customHeight="1">
      <c r="B695" s="2"/>
      <c r="I695" s="130"/>
    </row>
    <row r="696" ht="14.25" customHeight="1">
      <c r="B696" s="2"/>
      <c r="I696" s="130"/>
    </row>
    <row r="697" ht="14.25" customHeight="1">
      <c r="B697" s="2"/>
      <c r="I697" s="130"/>
    </row>
    <row r="698" ht="14.25" customHeight="1">
      <c r="B698" s="2"/>
      <c r="I698" s="130"/>
    </row>
    <row r="699" ht="14.25" customHeight="1">
      <c r="B699" s="2"/>
      <c r="I699" s="130"/>
    </row>
    <row r="700" ht="14.25" customHeight="1">
      <c r="B700" s="2"/>
      <c r="I700" s="130"/>
    </row>
    <row r="701" ht="14.25" customHeight="1">
      <c r="B701" s="2"/>
      <c r="I701" s="130"/>
    </row>
    <row r="702" ht="14.25" customHeight="1">
      <c r="B702" s="2"/>
      <c r="I702" s="130"/>
    </row>
    <row r="703" ht="15.75" customHeight="1">
      <c r="B703" s="2"/>
      <c r="I703" s="130"/>
    </row>
    <row r="704" ht="15.75" customHeight="1">
      <c r="B704" s="2"/>
      <c r="I704" s="130"/>
    </row>
    <row r="705" ht="15.75" customHeight="1">
      <c r="B705" s="2"/>
      <c r="I705" s="130"/>
    </row>
    <row r="706" ht="15.75" customHeight="1">
      <c r="B706" s="2"/>
      <c r="I706" s="130"/>
    </row>
    <row r="707" ht="15.75" customHeight="1">
      <c r="B707" s="2"/>
      <c r="I707" s="130"/>
    </row>
    <row r="708" ht="15.75" customHeight="1">
      <c r="B708" s="2"/>
      <c r="I708" s="130"/>
    </row>
    <row r="709" ht="15.75" customHeight="1">
      <c r="B709" s="2"/>
      <c r="I709" s="130"/>
    </row>
    <row r="710" ht="15.75" customHeight="1">
      <c r="B710" s="2"/>
      <c r="I710" s="130"/>
    </row>
    <row r="711" ht="15.75" customHeight="1">
      <c r="B711" s="2"/>
      <c r="I711" s="130"/>
    </row>
    <row r="712" ht="15.75" customHeight="1">
      <c r="B712" s="2"/>
      <c r="I712" s="130"/>
    </row>
    <row r="713" ht="15.75" customHeight="1">
      <c r="B713" s="2"/>
      <c r="I713" s="130"/>
    </row>
    <row r="714" ht="15.75" customHeight="1">
      <c r="B714" s="2"/>
      <c r="I714" s="130"/>
    </row>
    <row r="715" ht="15.75" customHeight="1">
      <c r="B715" s="2"/>
      <c r="I715" s="130"/>
    </row>
    <row r="716" ht="15.75" customHeight="1">
      <c r="B716" s="2"/>
      <c r="I716" s="130"/>
    </row>
    <row r="717" ht="15.75" customHeight="1">
      <c r="B717" s="2"/>
      <c r="I717" s="130"/>
    </row>
    <row r="718" ht="15.75" customHeight="1">
      <c r="B718" s="2"/>
      <c r="I718" s="130"/>
    </row>
    <row r="719" ht="15.75" customHeight="1">
      <c r="B719" s="2"/>
      <c r="I719" s="130"/>
    </row>
    <row r="720" ht="15.75" customHeight="1">
      <c r="B720" s="2"/>
      <c r="I720" s="130"/>
    </row>
    <row r="721" ht="15.75" customHeight="1">
      <c r="B721" s="2"/>
      <c r="I721" s="130"/>
    </row>
    <row r="722" ht="15.75" customHeight="1">
      <c r="B722" s="2"/>
      <c r="I722" s="130"/>
    </row>
    <row r="723" ht="15.75" customHeight="1">
      <c r="B723" s="2"/>
      <c r="I723" s="130"/>
    </row>
    <row r="724" ht="15.75" customHeight="1">
      <c r="B724" s="2"/>
      <c r="I724" s="130"/>
    </row>
    <row r="725" ht="15.75" customHeight="1">
      <c r="B725" s="2"/>
      <c r="I725" s="130"/>
    </row>
    <row r="726" ht="15.75" customHeight="1">
      <c r="B726" s="2"/>
      <c r="I726" s="130"/>
    </row>
    <row r="727" ht="15.75" customHeight="1">
      <c r="B727" s="2"/>
      <c r="I727" s="130"/>
    </row>
    <row r="728" ht="15.75" customHeight="1">
      <c r="B728" s="2"/>
      <c r="I728" s="130"/>
    </row>
    <row r="729" ht="15.75" customHeight="1">
      <c r="B729" s="2"/>
      <c r="I729" s="130"/>
    </row>
    <row r="730" ht="15.75" customHeight="1">
      <c r="B730" s="2"/>
      <c r="I730" s="130"/>
    </row>
    <row r="731" ht="15.75" customHeight="1">
      <c r="B731" s="2"/>
      <c r="I731" s="130"/>
    </row>
    <row r="732" ht="15.75" customHeight="1">
      <c r="B732" s="2"/>
      <c r="I732" s="130"/>
    </row>
    <row r="733" ht="15.75" customHeight="1">
      <c r="B733" s="2"/>
      <c r="I733" s="130"/>
    </row>
    <row r="734" ht="15.75" customHeight="1">
      <c r="B734" s="2"/>
      <c r="I734" s="130"/>
    </row>
    <row r="735" ht="15.75" customHeight="1">
      <c r="B735" s="2"/>
      <c r="I735" s="130"/>
    </row>
    <row r="736" ht="15.75" customHeight="1">
      <c r="B736" s="2"/>
      <c r="I736" s="130"/>
    </row>
    <row r="737" ht="15.75" customHeight="1">
      <c r="B737" s="2"/>
      <c r="I737" s="130"/>
    </row>
    <row r="738" ht="15.75" customHeight="1">
      <c r="B738" s="2"/>
      <c r="I738" s="130"/>
    </row>
    <row r="739" ht="15.75" customHeight="1">
      <c r="B739" s="2"/>
      <c r="I739" s="130"/>
    </row>
    <row r="740" ht="15.75" customHeight="1">
      <c r="B740" s="2"/>
      <c r="I740" s="130"/>
    </row>
    <row r="741" ht="15.75" customHeight="1">
      <c r="B741" s="2"/>
      <c r="I741" s="130"/>
    </row>
    <row r="742" ht="15.75" customHeight="1">
      <c r="B742" s="2"/>
      <c r="I742" s="130"/>
    </row>
    <row r="743" ht="15.75" customHeight="1">
      <c r="B743" s="2"/>
      <c r="I743" s="130"/>
    </row>
    <row r="744" ht="15.75" customHeight="1">
      <c r="B744" s="2"/>
      <c r="I744" s="130"/>
    </row>
    <row r="745" ht="15.75" customHeight="1">
      <c r="B745" s="2"/>
      <c r="I745" s="130"/>
    </row>
    <row r="746" ht="15.75" customHeight="1">
      <c r="B746" s="2"/>
      <c r="I746" s="130"/>
    </row>
    <row r="747" ht="15.75" customHeight="1">
      <c r="B747" s="2"/>
      <c r="I747" s="130"/>
    </row>
    <row r="748" ht="15.75" customHeight="1">
      <c r="B748" s="2"/>
      <c r="I748" s="130"/>
    </row>
    <row r="749" ht="15.75" customHeight="1">
      <c r="B749" s="2"/>
      <c r="I749" s="130"/>
    </row>
    <row r="750" ht="15.75" customHeight="1">
      <c r="B750" s="2"/>
      <c r="I750" s="130"/>
    </row>
    <row r="751" ht="15.75" customHeight="1">
      <c r="B751" s="2"/>
      <c r="I751" s="130"/>
    </row>
    <row r="752" ht="15.75" customHeight="1">
      <c r="B752" s="2"/>
      <c r="I752" s="130"/>
    </row>
    <row r="753" ht="15.75" customHeight="1">
      <c r="B753" s="2"/>
      <c r="I753" s="130"/>
    </row>
    <row r="754" ht="15.75" customHeight="1">
      <c r="B754" s="2"/>
      <c r="I754" s="130"/>
    </row>
    <row r="755" ht="15.75" customHeight="1">
      <c r="B755" s="2"/>
      <c r="I755" s="130"/>
    </row>
    <row r="756" ht="15.75" customHeight="1">
      <c r="B756" s="2"/>
      <c r="I756" s="130"/>
    </row>
    <row r="757" ht="15.75" customHeight="1">
      <c r="B757" s="2"/>
      <c r="I757" s="130"/>
    </row>
    <row r="758" ht="15.75" customHeight="1">
      <c r="B758" s="2"/>
      <c r="I758" s="130"/>
    </row>
    <row r="759" ht="15.75" customHeight="1">
      <c r="B759" s="2"/>
      <c r="I759" s="130"/>
    </row>
    <row r="760" ht="15.75" customHeight="1">
      <c r="B760" s="2"/>
      <c r="I760" s="130"/>
    </row>
    <row r="761" ht="15.75" customHeight="1">
      <c r="B761" s="2"/>
      <c r="I761" s="130"/>
    </row>
    <row r="762" ht="15.75" customHeight="1">
      <c r="B762" s="2"/>
      <c r="I762" s="130"/>
    </row>
    <row r="763" ht="15.75" customHeight="1">
      <c r="B763" s="2"/>
      <c r="I763" s="130"/>
    </row>
    <row r="764" ht="15.75" customHeight="1">
      <c r="B764" s="2"/>
      <c r="I764" s="130"/>
    </row>
    <row r="765" ht="15.75" customHeight="1">
      <c r="B765" s="2"/>
      <c r="I765" s="130"/>
    </row>
    <row r="766" ht="15.75" customHeight="1">
      <c r="B766" s="2"/>
      <c r="I766" s="130"/>
    </row>
    <row r="767" ht="15.75" customHeight="1">
      <c r="B767" s="2"/>
      <c r="I767" s="130"/>
    </row>
    <row r="768" ht="15.75" customHeight="1">
      <c r="B768" s="2"/>
      <c r="I768" s="130"/>
    </row>
    <row r="769" ht="15.75" customHeight="1">
      <c r="B769" s="2"/>
      <c r="I769" s="130"/>
    </row>
    <row r="770" ht="15.75" customHeight="1">
      <c r="B770" s="2"/>
      <c r="I770" s="130"/>
    </row>
    <row r="771" ht="15.75" customHeight="1">
      <c r="B771" s="2"/>
      <c r="I771" s="130"/>
    </row>
    <row r="772" ht="15.75" customHeight="1">
      <c r="B772" s="2"/>
      <c r="I772" s="130"/>
    </row>
    <row r="773" ht="15.75" customHeight="1">
      <c r="B773" s="2"/>
      <c r="I773" s="130"/>
    </row>
    <row r="774" ht="15.75" customHeight="1">
      <c r="B774" s="2"/>
      <c r="I774" s="130"/>
    </row>
    <row r="775" ht="15.75" customHeight="1">
      <c r="B775" s="2"/>
      <c r="I775" s="130"/>
    </row>
    <row r="776" ht="15.75" customHeight="1">
      <c r="B776" s="2"/>
      <c r="I776" s="130"/>
    </row>
    <row r="777" ht="15.75" customHeight="1">
      <c r="B777" s="2"/>
      <c r="I777" s="130"/>
    </row>
    <row r="778" ht="15.75" customHeight="1">
      <c r="B778" s="2"/>
      <c r="I778" s="130"/>
    </row>
    <row r="779" ht="15.75" customHeight="1">
      <c r="B779" s="2"/>
      <c r="I779" s="130"/>
    </row>
    <row r="780" ht="15.75" customHeight="1">
      <c r="B780" s="2"/>
      <c r="I780" s="130"/>
    </row>
    <row r="781" ht="15.75" customHeight="1">
      <c r="B781" s="2"/>
      <c r="I781" s="130"/>
    </row>
    <row r="782" ht="15.75" customHeight="1">
      <c r="B782" s="2"/>
      <c r="I782" s="130"/>
    </row>
    <row r="783" ht="15.75" customHeight="1">
      <c r="B783" s="2"/>
      <c r="I783" s="130"/>
    </row>
    <row r="784" ht="15.75" customHeight="1">
      <c r="B784" s="2"/>
      <c r="I784" s="130"/>
    </row>
    <row r="785" ht="15.75" customHeight="1">
      <c r="B785" s="2"/>
      <c r="I785" s="130"/>
    </row>
    <row r="786" ht="15.75" customHeight="1">
      <c r="B786" s="2"/>
      <c r="I786" s="130"/>
    </row>
    <row r="787" ht="15.75" customHeight="1">
      <c r="B787" s="2"/>
      <c r="I787" s="130"/>
    </row>
    <row r="788" ht="15.75" customHeight="1">
      <c r="B788" s="2"/>
      <c r="I788" s="130"/>
    </row>
    <row r="789" ht="15.75" customHeight="1">
      <c r="B789" s="2"/>
      <c r="I789" s="130"/>
    </row>
    <row r="790" ht="15.75" customHeight="1">
      <c r="B790" s="2"/>
      <c r="I790" s="130"/>
    </row>
    <row r="791" ht="15.75" customHeight="1">
      <c r="B791" s="2"/>
      <c r="I791" s="130"/>
    </row>
    <row r="792" ht="15.75" customHeight="1">
      <c r="B792" s="2"/>
      <c r="I792" s="130"/>
    </row>
    <row r="793" ht="15.75" customHeight="1">
      <c r="B793" s="2"/>
      <c r="I793" s="130"/>
    </row>
    <row r="794" ht="15.75" customHeight="1">
      <c r="B794" s="2"/>
      <c r="I794" s="130"/>
    </row>
    <row r="795" ht="15.75" customHeight="1">
      <c r="B795" s="2"/>
      <c r="I795" s="130"/>
    </row>
    <row r="796" ht="15.75" customHeight="1">
      <c r="B796" s="2"/>
      <c r="I796" s="130"/>
    </row>
    <row r="797" ht="15.75" customHeight="1">
      <c r="B797" s="2"/>
      <c r="I797" s="130"/>
    </row>
    <row r="798" ht="15.75" customHeight="1">
      <c r="B798" s="2"/>
      <c r="I798" s="130"/>
    </row>
    <row r="799" ht="15.75" customHeight="1">
      <c r="B799" s="2"/>
      <c r="I799" s="130"/>
    </row>
    <row r="800" ht="15.75" customHeight="1">
      <c r="B800" s="2"/>
      <c r="I800" s="130"/>
    </row>
    <row r="801" ht="15.75" customHeight="1">
      <c r="B801" s="2"/>
      <c r="I801" s="130"/>
    </row>
    <row r="802" ht="15.75" customHeight="1">
      <c r="B802" s="2"/>
      <c r="I802" s="130"/>
    </row>
    <row r="803" ht="15.75" customHeight="1">
      <c r="B803" s="2"/>
      <c r="I803" s="130"/>
    </row>
    <row r="804" ht="15.75" customHeight="1">
      <c r="B804" s="2"/>
      <c r="I804" s="130"/>
    </row>
    <row r="805" ht="15.75" customHeight="1">
      <c r="B805" s="2"/>
      <c r="I805" s="130"/>
    </row>
    <row r="806" ht="15.75" customHeight="1">
      <c r="B806" s="2"/>
      <c r="I806" s="130"/>
    </row>
    <row r="807" ht="15.75" customHeight="1">
      <c r="B807" s="2"/>
      <c r="I807" s="130"/>
    </row>
    <row r="808" ht="15.75" customHeight="1">
      <c r="B808" s="2"/>
      <c r="I808" s="130"/>
    </row>
    <row r="809" ht="15.75" customHeight="1">
      <c r="B809" s="2"/>
      <c r="I809" s="130"/>
    </row>
    <row r="810" ht="15.75" customHeight="1">
      <c r="B810" s="2"/>
      <c r="I810" s="130"/>
    </row>
    <row r="811" ht="15.75" customHeight="1">
      <c r="B811" s="2"/>
      <c r="I811" s="130"/>
    </row>
    <row r="812" ht="15.75" customHeight="1">
      <c r="B812" s="2"/>
      <c r="I812" s="130"/>
    </row>
    <row r="813" ht="15.75" customHeight="1">
      <c r="B813" s="2"/>
      <c r="I813" s="130"/>
    </row>
    <row r="814" ht="15.75" customHeight="1">
      <c r="B814" s="2"/>
      <c r="I814" s="130"/>
    </row>
    <row r="815" ht="15.75" customHeight="1">
      <c r="B815" s="2"/>
      <c r="I815" s="130"/>
    </row>
    <row r="816" ht="15.75" customHeight="1">
      <c r="B816" s="2"/>
      <c r="I816" s="130"/>
    </row>
    <row r="817" ht="15.75" customHeight="1">
      <c r="B817" s="2"/>
      <c r="I817" s="130"/>
    </row>
    <row r="818" ht="15.75" customHeight="1">
      <c r="B818" s="2"/>
      <c r="I818" s="130"/>
    </row>
    <row r="819" ht="15.75" customHeight="1">
      <c r="B819" s="2"/>
      <c r="I819" s="130"/>
    </row>
    <row r="820" ht="15.75" customHeight="1">
      <c r="B820" s="2"/>
      <c r="I820" s="130"/>
    </row>
    <row r="821" ht="15.75" customHeight="1">
      <c r="B821" s="2"/>
      <c r="I821" s="130"/>
    </row>
    <row r="822" ht="15.75" customHeight="1">
      <c r="B822" s="2"/>
      <c r="I822" s="130"/>
    </row>
    <row r="823" ht="15.75" customHeight="1">
      <c r="B823" s="2"/>
      <c r="I823" s="130"/>
    </row>
    <row r="824" ht="15.75" customHeight="1">
      <c r="B824" s="2"/>
      <c r="I824" s="130"/>
    </row>
    <row r="825" ht="15.75" customHeight="1">
      <c r="B825" s="2"/>
      <c r="I825" s="130"/>
    </row>
    <row r="826" ht="15.75" customHeight="1">
      <c r="B826" s="2"/>
      <c r="I826" s="130"/>
    </row>
    <row r="827" ht="15.75" customHeight="1">
      <c r="B827" s="2"/>
      <c r="I827" s="130"/>
    </row>
    <row r="828" ht="15.75" customHeight="1">
      <c r="B828" s="2"/>
      <c r="I828" s="130"/>
    </row>
    <row r="829" ht="15.75" customHeight="1">
      <c r="B829" s="2"/>
      <c r="I829" s="130"/>
    </row>
    <row r="830" ht="15.75" customHeight="1">
      <c r="B830" s="2"/>
      <c r="I830" s="130"/>
    </row>
    <row r="831" ht="15.75" customHeight="1">
      <c r="B831" s="2"/>
      <c r="I831" s="130"/>
    </row>
    <row r="832" ht="15.75" customHeight="1">
      <c r="B832" s="2"/>
      <c r="I832" s="130"/>
    </row>
    <row r="833" ht="15.75" customHeight="1">
      <c r="B833" s="2"/>
      <c r="I833" s="130"/>
    </row>
    <row r="834" ht="15.75" customHeight="1">
      <c r="B834" s="2"/>
      <c r="I834" s="130"/>
    </row>
    <row r="835" ht="15.75" customHeight="1">
      <c r="B835" s="2"/>
      <c r="I835" s="130"/>
    </row>
    <row r="836" ht="15.75" customHeight="1">
      <c r="B836" s="2"/>
      <c r="I836" s="130"/>
    </row>
    <row r="837" ht="15.75" customHeight="1">
      <c r="B837" s="2"/>
      <c r="I837" s="130"/>
    </row>
    <row r="838" ht="15.75" customHeight="1">
      <c r="B838" s="2"/>
      <c r="I838" s="130"/>
    </row>
    <row r="839" ht="15.75" customHeight="1">
      <c r="B839" s="2"/>
      <c r="I839" s="130"/>
    </row>
    <row r="840" ht="15.75" customHeight="1">
      <c r="B840" s="2"/>
      <c r="I840" s="130"/>
    </row>
    <row r="841" ht="15.75" customHeight="1">
      <c r="B841" s="2"/>
      <c r="I841" s="130"/>
    </row>
    <row r="842" ht="15.75" customHeight="1">
      <c r="B842" s="2"/>
      <c r="I842" s="130"/>
    </row>
    <row r="843" ht="15.75" customHeight="1">
      <c r="B843" s="2"/>
      <c r="I843" s="130"/>
    </row>
    <row r="844" ht="15.75" customHeight="1">
      <c r="B844" s="2"/>
      <c r="I844" s="130"/>
    </row>
    <row r="845" ht="15.75" customHeight="1">
      <c r="B845" s="2"/>
      <c r="I845" s="130"/>
    </row>
    <row r="846" ht="15.75" customHeight="1">
      <c r="B846" s="2"/>
      <c r="I846" s="130"/>
    </row>
    <row r="847" ht="15.75" customHeight="1">
      <c r="B847" s="2"/>
      <c r="I847" s="130"/>
    </row>
    <row r="848" ht="15.75" customHeight="1">
      <c r="B848" s="2"/>
      <c r="I848" s="130"/>
    </row>
    <row r="849" ht="15.75" customHeight="1">
      <c r="B849" s="2"/>
      <c r="I849" s="130"/>
    </row>
    <row r="850" ht="15.75" customHeight="1">
      <c r="B850" s="2"/>
      <c r="I850" s="130"/>
    </row>
    <row r="851" ht="15.75" customHeight="1">
      <c r="B851" s="2"/>
      <c r="I851" s="130"/>
    </row>
    <row r="852" ht="15.75" customHeight="1">
      <c r="B852" s="2"/>
      <c r="I852" s="130"/>
    </row>
    <row r="853" ht="15.75" customHeight="1">
      <c r="B853" s="2"/>
      <c r="I853" s="130"/>
    </row>
    <row r="854" ht="15.75" customHeight="1">
      <c r="B854" s="2"/>
      <c r="I854" s="130"/>
    </row>
    <row r="855" ht="15.75" customHeight="1">
      <c r="B855" s="2"/>
      <c r="I855" s="130"/>
    </row>
    <row r="856" ht="15.75" customHeight="1">
      <c r="B856" s="2"/>
      <c r="I856" s="130"/>
    </row>
    <row r="857" ht="15.75" customHeight="1">
      <c r="B857" s="2"/>
      <c r="I857" s="130"/>
    </row>
    <row r="858" ht="15.75" customHeight="1">
      <c r="B858" s="2"/>
      <c r="I858" s="130"/>
    </row>
    <row r="859" ht="15.75" customHeight="1">
      <c r="B859" s="2"/>
      <c r="I859" s="130"/>
    </row>
    <row r="860" ht="15.75" customHeight="1">
      <c r="B860" s="2"/>
      <c r="I860" s="130"/>
    </row>
    <row r="861" ht="15.75" customHeight="1">
      <c r="B861" s="2"/>
      <c r="I861" s="130"/>
    </row>
    <row r="862" ht="15.75" customHeight="1">
      <c r="B862" s="2"/>
      <c r="I862" s="130"/>
    </row>
    <row r="863" ht="15.75" customHeight="1">
      <c r="B863" s="2"/>
      <c r="I863" s="130"/>
    </row>
    <row r="864" ht="15.75" customHeight="1">
      <c r="B864" s="2"/>
      <c r="I864" s="130"/>
    </row>
    <row r="865" ht="15.75" customHeight="1">
      <c r="B865" s="2"/>
      <c r="I865" s="130"/>
    </row>
    <row r="866" ht="15.75" customHeight="1">
      <c r="B866" s="2"/>
      <c r="I866" s="130"/>
    </row>
    <row r="867" ht="15.75" customHeight="1">
      <c r="B867" s="2"/>
      <c r="I867" s="130"/>
    </row>
    <row r="868" ht="15.75" customHeight="1">
      <c r="B868" s="2"/>
      <c r="I868" s="130"/>
    </row>
    <row r="869" ht="15.75" customHeight="1">
      <c r="B869" s="2"/>
      <c r="I869" s="130"/>
    </row>
    <row r="870" ht="15.75" customHeight="1">
      <c r="B870" s="2"/>
      <c r="I870" s="130"/>
    </row>
    <row r="871" ht="15.75" customHeight="1">
      <c r="B871" s="2"/>
      <c r="I871" s="130"/>
    </row>
    <row r="872" ht="15.75" customHeight="1">
      <c r="B872" s="2"/>
      <c r="I872" s="130"/>
    </row>
    <row r="873" ht="15.75" customHeight="1">
      <c r="B873" s="2"/>
      <c r="I873" s="130"/>
    </row>
    <row r="874" ht="15.75" customHeight="1">
      <c r="B874" s="2"/>
      <c r="I874" s="130"/>
    </row>
    <row r="875" ht="15.75" customHeight="1">
      <c r="B875" s="2"/>
      <c r="I875" s="130"/>
    </row>
    <row r="876" ht="15.75" customHeight="1">
      <c r="B876" s="2"/>
      <c r="I876" s="130"/>
    </row>
    <row r="877" ht="15.75" customHeight="1">
      <c r="B877" s="2"/>
      <c r="I877" s="130"/>
    </row>
    <row r="878" ht="15.75" customHeight="1">
      <c r="B878" s="2"/>
      <c r="I878" s="130"/>
    </row>
    <row r="879" ht="15.75" customHeight="1">
      <c r="B879" s="2"/>
      <c r="I879" s="130"/>
    </row>
    <row r="880" ht="15.75" customHeight="1">
      <c r="B880" s="2"/>
      <c r="I880" s="130"/>
    </row>
    <row r="881" ht="15.75" customHeight="1">
      <c r="B881" s="2"/>
      <c r="I881" s="130"/>
    </row>
    <row r="882" ht="15.75" customHeight="1">
      <c r="B882" s="2"/>
      <c r="I882" s="130"/>
    </row>
    <row r="883" ht="15.75" customHeight="1">
      <c r="B883" s="2"/>
      <c r="I883" s="130"/>
    </row>
    <row r="884" ht="15.75" customHeight="1">
      <c r="B884" s="2"/>
      <c r="I884" s="130"/>
    </row>
    <row r="885" ht="15.75" customHeight="1">
      <c r="B885" s="2"/>
      <c r="I885" s="130"/>
    </row>
    <row r="886" ht="15.75" customHeight="1">
      <c r="B886" s="2"/>
      <c r="I886" s="130"/>
    </row>
    <row r="887" ht="15.75" customHeight="1">
      <c r="B887" s="2"/>
      <c r="I887" s="130"/>
    </row>
    <row r="888" ht="15.75" customHeight="1">
      <c r="B888" s="2"/>
      <c r="I888" s="130"/>
    </row>
    <row r="889" ht="15.75" customHeight="1">
      <c r="B889" s="2"/>
      <c r="I889" s="130"/>
    </row>
    <row r="890" ht="15.75" customHeight="1">
      <c r="B890" s="2"/>
      <c r="I890" s="130"/>
    </row>
    <row r="891" ht="15.75" customHeight="1">
      <c r="B891" s="2"/>
      <c r="I891" s="130"/>
    </row>
    <row r="892" ht="15.75" customHeight="1">
      <c r="B892" s="2"/>
      <c r="I892" s="130"/>
    </row>
    <row r="893" ht="15.75" customHeight="1">
      <c r="B893" s="2"/>
      <c r="I893" s="130"/>
    </row>
    <row r="894" ht="15.75" customHeight="1">
      <c r="B894" s="2"/>
      <c r="I894" s="130"/>
    </row>
    <row r="895" ht="15.75" customHeight="1">
      <c r="B895" s="2"/>
      <c r="I895" s="130"/>
    </row>
    <row r="896" ht="15.75" customHeight="1">
      <c r="B896" s="2"/>
      <c r="I896" s="130"/>
    </row>
    <row r="897" ht="15.75" customHeight="1">
      <c r="B897" s="2"/>
      <c r="I897" s="130"/>
    </row>
    <row r="898" ht="15.75" customHeight="1">
      <c r="B898" s="2"/>
      <c r="I898" s="130"/>
    </row>
    <row r="899" ht="15.75" customHeight="1">
      <c r="B899" s="2"/>
      <c r="I899" s="130"/>
    </row>
    <row r="900" ht="15.75" customHeight="1">
      <c r="B900" s="2"/>
      <c r="I900" s="130"/>
    </row>
    <row r="901" ht="15.75" customHeight="1">
      <c r="B901" s="2"/>
      <c r="I901" s="130"/>
    </row>
    <row r="902" ht="15.75" customHeight="1">
      <c r="B902" s="2"/>
      <c r="I902" s="130"/>
    </row>
    <row r="903" ht="15.75" customHeight="1">
      <c r="B903" s="2"/>
      <c r="I903" s="130"/>
    </row>
    <row r="904" ht="15.75" customHeight="1">
      <c r="B904" s="2"/>
      <c r="I904" s="130"/>
    </row>
    <row r="905" ht="15.75" customHeight="1">
      <c r="B905" s="2"/>
      <c r="I905" s="130"/>
    </row>
    <row r="906" ht="15.75" customHeight="1">
      <c r="B906" s="2"/>
      <c r="I906" s="130"/>
    </row>
    <row r="907" ht="15.75" customHeight="1">
      <c r="B907" s="2"/>
      <c r="I907" s="130"/>
    </row>
    <row r="908" ht="15.75" customHeight="1">
      <c r="B908" s="2"/>
      <c r="I908" s="130"/>
    </row>
    <row r="909" ht="15.75" customHeight="1">
      <c r="B909" s="2"/>
      <c r="I909" s="130"/>
    </row>
    <row r="910" ht="15.75" customHeight="1">
      <c r="B910" s="2"/>
      <c r="I910" s="130"/>
    </row>
    <row r="911" ht="15.75" customHeight="1">
      <c r="B911" s="2"/>
      <c r="I911" s="130"/>
    </row>
    <row r="912" ht="15.75" customHeight="1">
      <c r="B912" s="2"/>
      <c r="I912" s="130"/>
    </row>
    <row r="913" ht="15.75" customHeight="1">
      <c r="B913" s="2"/>
      <c r="I913" s="130"/>
    </row>
    <row r="914" ht="15.75" customHeight="1">
      <c r="B914" s="2"/>
      <c r="I914" s="130"/>
    </row>
    <row r="915" ht="15.75" customHeight="1">
      <c r="B915" s="2"/>
      <c r="I915" s="130"/>
    </row>
    <row r="916" ht="15.75" customHeight="1">
      <c r="B916" s="2"/>
      <c r="I916" s="130"/>
    </row>
    <row r="917" ht="15.75" customHeight="1">
      <c r="B917" s="2"/>
      <c r="I917" s="130"/>
    </row>
    <row r="918" ht="15.75" customHeight="1">
      <c r="B918" s="2"/>
      <c r="I918" s="130"/>
    </row>
    <row r="919" ht="15.75" customHeight="1">
      <c r="B919" s="2"/>
      <c r="I919" s="130"/>
    </row>
    <row r="920" ht="15.75" customHeight="1">
      <c r="B920" s="2"/>
      <c r="I920" s="130"/>
    </row>
    <row r="921" ht="15.75" customHeight="1">
      <c r="B921" s="2"/>
      <c r="I921" s="130"/>
    </row>
    <row r="922" ht="15.75" customHeight="1">
      <c r="B922" s="2"/>
      <c r="I922" s="130"/>
    </row>
    <row r="923" ht="15.75" customHeight="1">
      <c r="B923" s="2"/>
      <c r="I923" s="130"/>
    </row>
    <row r="924" ht="15.75" customHeight="1">
      <c r="B924" s="2"/>
      <c r="I924" s="130"/>
    </row>
    <row r="925" ht="15.75" customHeight="1">
      <c r="B925" s="2"/>
      <c r="I925" s="130"/>
    </row>
    <row r="926" ht="15.75" customHeight="1">
      <c r="B926" s="2"/>
      <c r="I926" s="130"/>
    </row>
    <row r="927" ht="15.75" customHeight="1">
      <c r="B927" s="2"/>
      <c r="I927" s="130"/>
    </row>
    <row r="928" ht="15.75" customHeight="1">
      <c r="B928" s="2"/>
      <c r="I928" s="130"/>
    </row>
    <row r="929" ht="15.75" customHeight="1">
      <c r="B929" s="2"/>
      <c r="I929" s="130"/>
    </row>
    <row r="930" ht="15.75" customHeight="1">
      <c r="B930" s="2"/>
      <c r="I930" s="130"/>
    </row>
    <row r="931" ht="15.75" customHeight="1">
      <c r="B931" s="2"/>
      <c r="I931" s="130"/>
    </row>
    <row r="932" ht="15.75" customHeight="1">
      <c r="B932" s="2"/>
      <c r="I932" s="130"/>
    </row>
    <row r="933" ht="15.75" customHeight="1">
      <c r="B933" s="2"/>
      <c r="I933" s="130"/>
    </row>
    <row r="934" ht="15.75" customHeight="1">
      <c r="B934" s="2"/>
      <c r="I934" s="130"/>
    </row>
    <row r="935" ht="15.75" customHeight="1">
      <c r="B935" s="2"/>
      <c r="I935" s="130"/>
    </row>
    <row r="936" ht="15.75" customHeight="1">
      <c r="B936" s="2"/>
      <c r="I936" s="130"/>
    </row>
    <row r="937" ht="15.75" customHeight="1">
      <c r="B937" s="2"/>
      <c r="I937" s="130"/>
    </row>
    <row r="938" ht="15.75" customHeight="1">
      <c r="B938" s="2"/>
      <c r="I938" s="130"/>
    </row>
    <row r="939" ht="15.75" customHeight="1">
      <c r="B939" s="2"/>
      <c r="I939" s="130"/>
    </row>
    <row r="940" ht="15.75" customHeight="1">
      <c r="B940" s="2"/>
      <c r="I940" s="130"/>
    </row>
    <row r="941" ht="15.75" customHeight="1">
      <c r="B941" s="2"/>
      <c r="I941" s="130"/>
    </row>
    <row r="942" ht="15.75" customHeight="1">
      <c r="B942" s="2"/>
      <c r="I942" s="130"/>
    </row>
    <row r="943" ht="15.75" customHeight="1">
      <c r="B943" s="2"/>
      <c r="I943" s="130"/>
    </row>
    <row r="944" ht="15.75" customHeight="1">
      <c r="B944" s="2"/>
      <c r="I944" s="130"/>
    </row>
    <row r="945" ht="15.75" customHeight="1">
      <c r="B945" s="2"/>
      <c r="I945" s="130"/>
    </row>
    <row r="946" ht="15.75" customHeight="1">
      <c r="B946" s="2"/>
      <c r="I946" s="130"/>
    </row>
    <row r="947" ht="15.75" customHeight="1">
      <c r="B947" s="2"/>
      <c r="I947" s="130"/>
    </row>
    <row r="948" ht="15.75" customHeight="1">
      <c r="B948" s="2"/>
      <c r="I948" s="130"/>
    </row>
    <row r="949" ht="15.75" customHeight="1">
      <c r="B949" s="2"/>
      <c r="I949" s="130"/>
    </row>
    <row r="950" ht="15.75" customHeight="1">
      <c r="B950" s="2"/>
      <c r="I950" s="130"/>
    </row>
    <row r="951" ht="15.75" customHeight="1">
      <c r="B951" s="2"/>
      <c r="I951" s="130"/>
    </row>
    <row r="952" ht="15.75" customHeight="1">
      <c r="B952" s="2"/>
      <c r="I952" s="130"/>
    </row>
    <row r="953" ht="15.75" customHeight="1">
      <c r="B953" s="2"/>
      <c r="I953" s="130"/>
    </row>
    <row r="954" ht="15.75" customHeight="1">
      <c r="B954" s="2"/>
      <c r="I954" s="130"/>
    </row>
    <row r="955" ht="15.75" customHeight="1">
      <c r="B955" s="2"/>
      <c r="I955" s="130"/>
    </row>
    <row r="956" ht="15.75" customHeight="1">
      <c r="B956" s="2"/>
      <c r="I956" s="130"/>
    </row>
    <row r="957" ht="15.75" customHeight="1">
      <c r="B957" s="2"/>
      <c r="I957" s="130"/>
    </row>
    <row r="958" ht="15.75" customHeight="1">
      <c r="B958" s="2"/>
      <c r="I958" s="130"/>
    </row>
    <row r="959" ht="15.75" customHeight="1">
      <c r="B959" s="2"/>
      <c r="I959" s="130"/>
    </row>
    <row r="960" ht="15.75" customHeight="1">
      <c r="B960" s="2"/>
      <c r="I960" s="130"/>
    </row>
    <row r="961" ht="15.75" customHeight="1">
      <c r="B961" s="2"/>
      <c r="I961" s="130"/>
    </row>
    <row r="962" ht="15.75" customHeight="1">
      <c r="B962" s="2"/>
      <c r="I962" s="130"/>
    </row>
    <row r="963" ht="15.75" customHeight="1">
      <c r="B963" s="2"/>
      <c r="I963" s="130"/>
    </row>
    <row r="964" ht="15.75" customHeight="1">
      <c r="B964" s="2"/>
      <c r="I964" s="130"/>
    </row>
    <row r="965" ht="15.75" customHeight="1">
      <c r="B965" s="2"/>
      <c r="I965" s="130"/>
    </row>
    <row r="966" ht="15.75" customHeight="1">
      <c r="B966" s="2"/>
      <c r="I966" s="130"/>
    </row>
    <row r="967" ht="15.75" customHeight="1">
      <c r="B967" s="2"/>
      <c r="I967" s="130"/>
    </row>
    <row r="968" ht="15.75" customHeight="1">
      <c r="B968" s="2"/>
      <c r="I968" s="130"/>
    </row>
    <row r="969" ht="15.75" customHeight="1">
      <c r="B969" s="2"/>
      <c r="I969" s="130"/>
    </row>
    <row r="970" ht="15.75" customHeight="1">
      <c r="B970" s="2"/>
      <c r="I970" s="130"/>
    </row>
    <row r="971" ht="15.75" customHeight="1">
      <c r="B971" s="2"/>
      <c r="I971" s="130"/>
    </row>
    <row r="972" ht="15.75" customHeight="1">
      <c r="B972" s="2"/>
      <c r="I972" s="130"/>
    </row>
    <row r="973" ht="15.75" customHeight="1">
      <c r="B973" s="2"/>
      <c r="I973" s="130"/>
    </row>
    <row r="974" ht="15.75" customHeight="1">
      <c r="B974" s="2"/>
      <c r="I974" s="130"/>
    </row>
    <row r="975" ht="15.75" customHeight="1">
      <c r="B975" s="2"/>
      <c r="I975" s="130"/>
    </row>
    <row r="976" ht="15.75" customHeight="1">
      <c r="B976" s="2"/>
      <c r="I976" s="130"/>
    </row>
    <row r="977" ht="15.75" customHeight="1">
      <c r="B977" s="2"/>
      <c r="I977" s="130"/>
    </row>
    <row r="978" ht="15.75" customHeight="1">
      <c r="B978" s="2"/>
      <c r="I978" s="130"/>
    </row>
    <row r="979" ht="15.75" customHeight="1">
      <c r="B979" s="2"/>
      <c r="I979" s="130"/>
    </row>
    <row r="980" ht="15.75" customHeight="1">
      <c r="B980" s="2"/>
      <c r="I980" s="130"/>
    </row>
    <row r="981" ht="15.75" customHeight="1">
      <c r="B981" s="2"/>
      <c r="I981" s="130"/>
    </row>
    <row r="982" ht="15.75" customHeight="1">
      <c r="B982" s="2"/>
      <c r="I982" s="130"/>
    </row>
    <row r="983" ht="15.75" customHeight="1">
      <c r="B983" s="2"/>
      <c r="I983" s="130"/>
    </row>
    <row r="984" ht="15.75" customHeight="1">
      <c r="B984" s="2"/>
      <c r="I984" s="130"/>
    </row>
    <row r="985" ht="15.75" customHeight="1">
      <c r="B985" s="2"/>
      <c r="I985" s="130"/>
    </row>
    <row r="986" ht="15.75" customHeight="1">
      <c r="B986" s="2"/>
      <c r="I986" s="130"/>
    </row>
    <row r="987" ht="15.75" customHeight="1">
      <c r="B987" s="2"/>
      <c r="I987" s="130"/>
    </row>
    <row r="988" ht="15.75" customHeight="1">
      <c r="B988" s="2"/>
      <c r="I988" s="130"/>
    </row>
    <row r="989" ht="15.75" customHeight="1">
      <c r="B989" s="2"/>
      <c r="I989" s="130"/>
    </row>
    <row r="990" ht="15.75" customHeight="1">
      <c r="B990" s="2"/>
      <c r="I990" s="130"/>
    </row>
    <row r="991" ht="15.75" customHeight="1">
      <c r="B991" s="2"/>
      <c r="I991" s="130"/>
    </row>
    <row r="992" ht="15.75" customHeight="1">
      <c r="B992" s="2"/>
      <c r="I992" s="130"/>
    </row>
    <row r="993" ht="15.75" customHeight="1">
      <c r="B993" s="2"/>
      <c r="I993" s="130"/>
    </row>
    <row r="994" ht="15.75" customHeight="1">
      <c r="B994" s="2"/>
      <c r="I994" s="130"/>
    </row>
    <row r="995" ht="15.75" customHeight="1">
      <c r="B995" s="2"/>
      <c r="I995" s="130"/>
    </row>
    <row r="996" ht="15.75" customHeight="1">
      <c r="B996" s="2"/>
      <c r="I996" s="130"/>
    </row>
    <row r="997" ht="15.75" customHeight="1">
      <c r="B997" s="2"/>
      <c r="I997" s="130"/>
    </row>
    <row r="998" ht="15.75" customHeight="1">
      <c r="B998" s="2"/>
      <c r="I998" s="130"/>
    </row>
    <row r="999" ht="15.75" customHeight="1">
      <c r="B999" s="2"/>
      <c r="I999" s="130"/>
    </row>
    <row r="1000" ht="15.75" customHeight="1">
      <c r="B1000" s="2"/>
      <c r="I1000" s="130"/>
    </row>
    <row r="1001" ht="15.75" customHeight="1">
      <c r="B1001" s="2"/>
      <c r="I1001" s="130"/>
    </row>
    <row r="1002" ht="15.75" customHeight="1">
      <c r="B1002" s="2"/>
      <c r="I1002" s="130"/>
    </row>
    <row r="1003" ht="15.75" customHeight="1">
      <c r="B1003" s="2"/>
      <c r="I1003" s="130"/>
    </row>
    <row r="1004" ht="15.75" customHeight="1">
      <c r="B1004" s="2"/>
      <c r="I1004" s="130"/>
    </row>
    <row r="1005" ht="15.75" customHeight="1">
      <c r="B1005" s="2"/>
      <c r="I1005" s="130"/>
    </row>
    <row r="1006" ht="15.75" customHeight="1">
      <c r="B1006" s="2"/>
      <c r="I1006" s="130"/>
    </row>
    <row r="1007" ht="15.75" customHeight="1">
      <c r="B1007" s="2"/>
      <c r="I1007" s="130"/>
    </row>
    <row r="1008" ht="15.75" customHeight="1">
      <c r="B1008" s="2"/>
      <c r="I1008" s="130"/>
    </row>
    <row r="1009" ht="15.75" customHeight="1">
      <c r="B1009" s="2"/>
      <c r="I1009" s="130"/>
    </row>
    <row r="1010" ht="15.75" customHeight="1">
      <c r="B1010" s="2"/>
      <c r="I1010" s="130"/>
    </row>
    <row r="1011" ht="15.75" customHeight="1">
      <c r="B1011" s="2"/>
      <c r="I1011" s="130"/>
    </row>
    <row r="1012" ht="15.75" customHeight="1">
      <c r="B1012" s="2"/>
      <c r="I1012" s="130"/>
    </row>
    <row r="1013" ht="15.75" customHeight="1">
      <c r="B1013" s="2"/>
      <c r="I1013" s="130"/>
    </row>
    <row r="1014" ht="15.75" customHeight="1">
      <c r="B1014" s="2"/>
      <c r="I1014" s="130"/>
    </row>
    <row r="1015" ht="15.75" customHeight="1">
      <c r="B1015" s="2"/>
      <c r="I1015" s="130"/>
    </row>
    <row r="1016" ht="15.75" customHeight="1">
      <c r="B1016" s="2"/>
      <c r="I1016" s="130"/>
    </row>
    <row r="1017" ht="15.75" customHeight="1">
      <c r="B1017" s="2"/>
      <c r="I1017" s="130"/>
    </row>
    <row r="1018" ht="15.75" customHeight="1">
      <c r="B1018" s="2"/>
      <c r="I1018" s="130"/>
    </row>
    <row r="1019" ht="15.75" customHeight="1">
      <c r="B1019" s="2"/>
      <c r="I1019" s="130"/>
    </row>
    <row r="1020" ht="15.75" customHeight="1">
      <c r="B1020" s="2"/>
      <c r="I1020" s="130"/>
    </row>
    <row r="1021" ht="15.75" customHeight="1">
      <c r="B1021" s="2"/>
      <c r="I1021" s="130"/>
    </row>
    <row r="1022" ht="15.75" customHeight="1">
      <c r="B1022" s="2"/>
      <c r="I1022" s="130"/>
    </row>
    <row r="1023" ht="15.75" customHeight="1">
      <c r="B1023" s="2"/>
      <c r="I1023" s="130"/>
    </row>
    <row r="1024" ht="15.75" customHeight="1">
      <c r="B1024" s="2"/>
      <c r="I1024" s="130"/>
    </row>
    <row r="1025" ht="15.75" customHeight="1">
      <c r="B1025" s="2"/>
      <c r="I1025" s="130"/>
    </row>
    <row r="1026" ht="15.75" customHeight="1">
      <c r="B1026" s="2"/>
      <c r="I1026" s="130"/>
    </row>
    <row r="1027" ht="15.75" customHeight="1">
      <c r="B1027" s="2"/>
      <c r="I1027" s="130"/>
    </row>
    <row r="1028" ht="15.75" customHeight="1">
      <c r="B1028" s="2"/>
      <c r="I1028" s="130"/>
    </row>
    <row r="1029" ht="15.75" customHeight="1">
      <c r="B1029" s="2"/>
      <c r="I1029" s="130"/>
    </row>
    <row r="1030" ht="15.75" customHeight="1">
      <c r="B1030" s="2"/>
      <c r="I1030" s="130"/>
    </row>
    <row r="1031" ht="15.75" customHeight="1">
      <c r="B1031" s="2"/>
      <c r="I1031" s="130"/>
    </row>
    <row r="1032" ht="15.75" customHeight="1">
      <c r="B1032" s="2"/>
      <c r="I1032" s="130"/>
    </row>
    <row r="1033" ht="15.75" customHeight="1">
      <c r="B1033" s="2"/>
      <c r="I1033" s="130"/>
    </row>
    <row r="1034" ht="15.75" customHeight="1">
      <c r="B1034" s="2"/>
      <c r="I1034" s="130"/>
    </row>
    <row r="1035" ht="15.75" customHeight="1">
      <c r="B1035" s="2"/>
      <c r="I1035" s="130"/>
    </row>
    <row r="1036" ht="15.75" customHeight="1">
      <c r="B1036" s="2"/>
      <c r="I1036" s="130"/>
    </row>
    <row r="1037" ht="15.75" customHeight="1">
      <c r="B1037" s="2"/>
      <c r="I1037" s="130"/>
    </row>
    <row r="1038" ht="15.75" customHeight="1">
      <c r="B1038" s="2"/>
      <c r="I1038" s="130"/>
    </row>
    <row r="1039" ht="15.75" customHeight="1">
      <c r="B1039" s="2"/>
      <c r="I1039" s="130"/>
    </row>
    <row r="1040" ht="15.75" customHeight="1">
      <c r="B1040" s="2"/>
      <c r="I1040" s="130"/>
    </row>
    <row r="1041" ht="15.75" customHeight="1">
      <c r="B1041" s="2"/>
      <c r="I1041" s="130"/>
    </row>
    <row r="1042" ht="15.75" customHeight="1">
      <c r="B1042" s="2"/>
      <c r="I1042" s="130"/>
    </row>
    <row r="1043" ht="15.75" customHeight="1">
      <c r="B1043" s="2"/>
      <c r="I1043" s="130"/>
    </row>
    <row r="1044" ht="15.75" customHeight="1">
      <c r="B1044" s="2"/>
      <c r="I1044" s="130"/>
    </row>
    <row r="1045" ht="15.75" customHeight="1">
      <c r="B1045" s="2"/>
      <c r="I1045" s="130"/>
    </row>
    <row r="1046" ht="15.75" customHeight="1">
      <c r="B1046" s="2"/>
      <c r="I1046" s="130"/>
    </row>
    <row r="1047" ht="15.75" customHeight="1">
      <c r="B1047" s="2"/>
      <c r="I1047" s="130"/>
    </row>
    <row r="1048" ht="15.75" customHeight="1">
      <c r="B1048" s="2"/>
      <c r="I1048" s="130"/>
    </row>
  </sheetData>
  <mergeCells count="1">
    <mergeCell ref="B2:J5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9.86"/>
    <col customWidth="1" min="4" max="5" width="12.29"/>
    <col customWidth="1" min="6" max="6" width="15.71"/>
    <col customWidth="1" min="7" max="7" width="8.71"/>
    <col customWidth="1" min="8" max="8" width="10.29"/>
    <col customWidth="1" min="9" max="26" width="8.71"/>
  </cols>
  <sheetData>
    <row r="1"/>
    <row r="2" ht="15.0" customHeight="1">
      <c r="B2" s="149" t="s">
        <v>875</v>
      </c>
      <c r="C2" s="149" t="s">
        <v>876</v>
      </c>
      <c r="D2" s="149" t="s">
        <v>877</v>
      </c>
      <c r="E2" s="149" t="s">
        <v>878</v>
      </c>
      <c r="F2" s="149" t="s">
        <v>879</v>
      </c>
      <c r="G2" s="149" t="s">
        <v>880</v>
      </c>
      <c r="H2" s="149" t="s">
        <v>881</v>
      </c>
      <c r="I2" s="149" t="s">
        <v>9</v>
      </c>
    </row>
    <row r="3" ht="15.0" customHeight="1">
      <c r="B3" s="44"/>
      <c r="C3" s="150"/>
      <c r="D3" s="150"/>
      <c r="E3" s="150"/>
      <c r="F3" s="150">
        <f t="shared" ref="F3:F16" si="1">SUM(D3-C3)-(E3)</f>
        <v>0</v>
      </c>
      <c r="G3" s="44"/>
      <c r="H3" s="44"/>
      <c r="I3" s="44"/>
    </row>
    <row r="4" ht="15.0" customHeight="1">
      <c r="B4" s="151">
        <v>45810.0</v>
      </c>
      <c r="C4" s="150">
        <v>0.375</v>
      </c>
      <c r="D4" s="150">
        <v>0.75</v>
      </c>
      <c r="E4" s="150">
        <v>0.041666666666666664</v>
      </c>
      <c r="F4" s="150">
        <f t="shared" si="1"/>
        <v>0.3333333333</v>
      </c>
      <c r="G4" s="44" t="s">
        <v>67</v>
      </c>
      <c r="H4" s="44" t="s">
        <v>36</v>
      </c>
      <c r="I4" s="44">
        <v>150.0</v>
      </c>
    </row>
    <row r="5" ht="15.0" customHeight="1">
      <c r="B5" s="151">
        <v>45811.0</v>
      </c>
      <c r="C5" s="150">
        <v>0.2916666666666667</v>
      </c>
      <c r="D5" s="150">
        <v>0.75</v>
      </c>
      <c r="E5" s="150">
        <v>0.041666666666666664</v>
      </c>
      <c r="F5" s="150">
        <f t="shared" si="1"/>
        <v>0.4166666667</v>
      </c>
      <c r="G5" s="44" t="s">
        <v>67</v>
      </c>
      <c r="H5" s="44" t="s">
        <v>36</v>
      </c>
      <c r="I5" s="44">
        <v>150.0</v>
      </c>
    </row>
    <row r="6" ht="15.0" customHeight="1">
      <c r="B6" s="151">
        <v>45812.0</v>
      </c>
      <c r="C6" s="150">
        <v>0.5416666666666666</v>
      </c>
      <c r="D6" s="150">
        <v>0.6666666666666666</v>
      </c>
      <c r="E6" s="150">
        <v>0.041666666666666664</v>
      </c>
      <c r="F6" s="150">
        <f t="shared" si="1"/>
        <v>0.08333333333</v>
      </c>
      <c r="G6" s="44" t="s">
        <v>67</v>
      </c>
      <c r="H6" s="44" t="s">
        <v>36</v>
      </c>
      <c r="I6" s="44">
        <v>231.0</v>
      </c>
    </row>
    <row r="7" ht="15.0" customHeight="1">
      <c r="B7" s="151">
        <v>45813.0</v>
      </c>
      <c r="C7" s="150">
        <v>0.2916666666666667</v>
      </c>
      <c r="D7" s="150">
        <v>0.7152777777777778</v>
      </c>
      <c r="E7" s="150">
        <v>0.041666666666666664</v>
      </c>
      <c r="F7" s="150">
        <f t="shared" si="1"/>
        <v>0.3819444444</v>
      </c>
      <c r="G7" s="44" t="s">
        <v>67</v>
      </c>
      <c r="H7" s="44" t="s">
        <v>36</v>
      </c>
      <c r="I7" s="44"/>
    </row>
    <row r="8" ht="15.0" customHeight="1">
      <c r="B8" s="151">
        <v>45824.0</v>
      </c>
      <c r="C8" s="150">
        <v>0.3333333333333333</v>
      </c>
      <c r="D8" s="150">
        <v>0.7659722222222223</v>
      </c>
      <c r="E8" s="150">
        <v>0.041666666666666664</v>
      </c>
      <c r="F8" s="150">
        <f t="shared" si="1"/>
        <v>0.3909722222</v>
      </c>
      <c r="G8" s="44" t="s">
        <v>67</v>
      </c>
      <c r="H8" s="44" t="s">
        <v>36</v>
      </c>
      <c r="I8" s="44"/>
    </row>
    <row r="9" ht="15.0" customHeight="1">
      <c r="B9" s="151">
        <v>45825.0</v>
      </c>
      <c r="C9" s="150">
        <v>0.3333333333333333</v>
      </c>
      <c r="D9" s="150">
        <v>0.75</v>
      </c>
      <c r="E9" s="150">
        <v>0.041666666666666664</v>
      </c>
      <c r="F9" s="150">
        <f t="shared" si="1"/>
        <v>0.375</v>
      </c>
      <c r="G9" s="44" t="s">
        <v>67</v>
      </c>
      <c r="H9" s="44" t="s">
        <v>36</v>
      </c>
      <c r="I9" s="44"/>
    </row>
    <row r="10" ht="15.0" customHeight="1">
      <c r="B10" s="151">
        <v>45826.0</v>
      </c>
      <c r="C10" s="150">
        <v>0.3333333333333333</v>
      </c>
      <c r="D10" s="150">
        <v>0.7638888888888888</v>
      </c>
      <c r="E10" s="150">
        <v>0.041666666666666664</v>
      </c>
      <c r="F10" s="150">
        <f t="shared" si="1"/>
        <v>0.3888888889</v>
      </c>
      <c r="G10" s="44" t="s">
        <v>67</v>
      </c>
      <c r="H10" s="44" t="s">
        <v>36</v>
      </c>
      <c r="I10" s="44"/>
    </row>
    <row r="11" ht="15.0" customHeight="1">
      <c r="B11" s="151">
        <v>45827.0</v>
      </c>
      <c r="C11" s="150">
        <v>0.3125</v>
      </c>
      <c r="D11" s="150">
        <v>0.6388888888888888</v>
      </c>
      <c r="E11" s="150">
        <v>0.041666666666666664</v>
      </c>
      <c r="F11" s="150">
        <f t="shared" si="1"/>
        <v>0.2847222222</v>
      </c>
      <c r="G11" s="44" t="s">
        <v>67</v>
      </c>
      <c r="H11" s="44" t="s">
        <v>36</v>
      </c>
      <c r="I11" s="44"/>
    </row>
    <row r="12" ht="15.0" customHeight="1">
      <c r="B12" s="151">
        <v>45832.0</v>
      </c>
      <c r="C12" s="150">
        <v>0.2916666666666667</v>
      </c>
      <c r="D12" s="150">
        <v>0.75</v>
      </c>
      <c r="E12" s="150">
        <v>0.041666666666666664</v>
      </c>
      <c r="F12" s="150">
        <f t="shared" si="1"/>
        <v>0.4166666667</v>
      </c>
      <c r="G12" s="44" t="s">
        <v>67</v>
      </c>
      <c r="H12" s="44" t="s">
        <v>36</v>
      </c>
      <c r="I12" s="44"/>
    </row>
    <row r="13" ht="15.0" customHeight="1">
      <c r="B13" s="151">
        <v>45833.0</v>
      </c>
      <c r="C13" s="150">
        <v>0.3333333333333333</v>
      </c>
      <c r="D13" s="150">
        <v>0.5833333333333334</v>
      </c>
      <c r="E13" s="150">
        <v>0.041666666666666664</v>
      </c>
      <c r="F13" s="150">
        <f t="shared" si="1"/>
        <v>0.2083333333</v>
      </c>
      <c r="G13" s="44" t="s">
        <v>67</v>
      </c>
      <c r="H13" s="44" t="s">
        <v>36</v>
      </c>
      <c r="I13" s="44"/>
    </row>
    <row r="14" ht="15.0" customHeight="1">
      <c r="B14" s="151">
        <v>45834.0</v>
      </c>
      <c r="C14" s="150">
        <v>0.5416666666666666</v>
      </c>
      <c r="D14" s="150">
        <v>0.75</v>
      </c>
      <c r="E14" s="150">
        <v>0.041666666666666664</v>
      </c>
      <c r="F14" s="150">
        <f t="shared" si="1"/>
        <v>0.1666666667</v>
      </c>
      <c r="G14" s="44" t="s">
        <v>67</v>
      </c>
      <c r="H14" s="44" t="s">
        <v>36</v>
      </c>
      <c r="I14" s="44"/>
    </row>
    <row r="15" ht="15.0" customHeight="1">
      <c r="B15" s="151">
        <v>45835.0</v>
      </c>
      <c r="C15" s="150">
        <v>0.2916666666666667</v>
      </c>
      <c r="D15" s="150">
        <v>0.7638888888888888</v>
      </c>
      <c r="E15" s="150">
        <v>0.041666666666666664</v>
      </c>
      <c r="F15" s="150">
        <f t="shared" si="1"/>
        <v>0.4305555556</v>
      </c>
      <c r="G15" s="44" t="s">
        <v>67</v>
      </c>
      <c r="H15" s="44" t="s">
        <v>36</v>
      </c>
      <c r="I15" s="44"/>
    </row>
    <row r="16" ht="15.0" customHeight="1">
      <c r="B16" s="151">
        <v>45836.0</v>
      </c>
      <c r="C16" s="150">
        <v>0.2777777777777778</v>
      </c>
      <c r="D16" s="150">
        <v>0.5416666666666666</v>
      </c>
      <c r="E16" s="150">
        <v>0.041666666666666664</v>
      </c>
      <c r="F16" s="150">
        <f t="shared" si="1"/>
        <v>0.2222222222</v>
      </c>
      <c r="G16" s="44" t="s">
        <v>67</v>
      </c>
      <c r="H16" s="44" t="s">
        <v>36</v>
      </c>
      <c r="I16" s="44"/>
    </row>
    <row r="17" ht="15.0" customHeight="1">
      <c r="B17" s="151">
        <v>45840.0</v>
      </c>
      <c r="C17" s="150">
        <v>0.375</v>
      </c>
      <c r="D17" s="150">
        <v>0.75</v>
      </c>
      <c r="E17" s="150">
        <v>0.041666666666666664</v>
      </c>
      <c r="F17" s="150" t="str">
        <f>SUM('[1]Valdeci Prucina '!$F$32-'[1]Valdeci Prucina '!$E$32)</f>
        <v>#REF!</v>
      </c>
      <c r="G17" s="44" t="s">
        <v>67</v>
      </c>
      <c r="H17" s="44" t="s">
        <v>36</v>
      </c>
      <c r="I17" s="44"/>
    </row>
    <row r="18" ht="15.0" customHeight="1">
      <c r="B18" s="151">
        <v>45841.0</v>
      </c>
      <c r="C18" s="150">
        <v>0.2777777777777778</v>
      </c>
      <c r="D18" s="150">
        <v>0.5</v>
      </c>
      <c r="E18" s="150">
        <v>0.041666666666666664</v>
      </c>
      <c r="F18" s="150">
        <f t="shared" ref="F18:F247" si="2">SUM(D18-C18)-(E18)</f>
        <v>0.1805555556</v>
      </c>
      <c r="G18" s="44" t="s">
        <v>67</v>
      </c>
      <c r="H18" s="44" t="s">
        <v>36</v>
      </c>
      <c r="I18" s="44"/>
    </row>
    <row r="19" ht="15.0" customHeight="1">
      <c r="B19" s="151">
        <v>45842.0</v>
      </c>
      <c r="C19" s="150">
        <v>0.2916666666666667</v>
      </c>
      <c r="D19" s="150">
        <v>0.7347222222222223</v>
      </c>
      <c r="E19" s="150">
        <v>0.041666666666666664</v>
      </c>
      <c r="F19" s="150">
        <f t="shared" si="2"/>
        <v>0.4013888889</v>
      </c>
      <c r="G19" s="44" t="s">
        <v>67</v>
      </c>
      <c r="H19" s="44" t="s">
        <v>36</v>
      </c>
      <c r="I19" s="44"/>
    </row>
    <row r="20" ht="15.0" customHeight="1">
      <c r="B20" s="151">
        <v>45845.0</v>
      </c>
      <c r="C20" s="150">
        <v>0.3333333333333333</v>
      </c>
      <c r="D20" s="150">
        <v>0.7534722222222222</v>
      </c>
      <c r="E20" s="150">
        <v>0.041666666666666664</v>
      </c>
      <c r="F20" s="150">
        <f t="shared" si="2"/>
        <v>0.3784722222</v>
      </c>
      <c r="G20" s="44" t="s">
        <v>67</v>
      </c>
      <c r="H20" s="44" t="s">
        <v>36</v>
      </c>
      <c r="I20" s="44"/>
    </row>
    <row r="21" ht="15.0" customHeight="1">
      <c r="B21" s="151">
        <v>45845.0</v>
      </c>
      <c r="C21" s="150">
        <v>0.2847222222222222</v>
      </c>
      <c r="D21" s="150">
        <v>0.75</v>
      </c>
      <c r="E21" s="150">
        <v>0.041666666666666664</v>
      </c>
      <c r="F21" s="150">
        <f t="shared" si="2"/>
        <v>0.4236111111</v>
      </c>
      <c r="G21" s="44" t="s">
        <v>67</v>
      </c>
      <c r="H21" s="44" t="s">
        <v>36</v>
      </c>
      <c r="I21" s="44"/>
    </row>
    <row r="22" ht="15.0" customHeight="1">
      <c r="B22" s="151">
        <v>45847.0</v>
      </c>
      <c r="C22" s="150">
        <v>0.2916666666666667</v>
      </c>
      <c r="D22" s="150">
        <v>0.75</v>
      </c>
      <c r="E22" s="150">
        <v>0.041666666666666664</v>
      </c>
      <c r="F22" s="150">
        <f t="shared" si="2"/>
        <v>0.4166666667</v>
      </c>
      <c r="G22" s="44" t="s">
        <v>67</v>
      </c>
      <c r="H22" s="44" t="s">
        <v>36</v>
      </c>
      <c r="I22" s="44">
        <v>200.0</v>
      </c>
    </row>
    <row r="23" ht="15.0" customHeight="1">
      <c r="B23" s="151">
        <v>45848.0</v>
      </c>
      <c r="C23" s="150">
        <v>0.2916666666666667</v>
      </c>
      <c r="D23" s="150">
        <v>0.7361111111111112</v>
      </c>
      <c r="E23" s="150">
        <v>0.041666666666666664</v>
      </c>
      <c r="F23" s="150">
        <f t="shared" si="2"/>
        <v>0.4027777778</v>
      </c>
      <c r="G23" s="44" t="s">
        <v>67</v>
      </c>
      <c r="H23" s="44" t="s">
        <v>36</v>
      </c>
      <c r="I23" s="44"/>
    </row>
    <row r="24" ht="15.0" customHeight="1">
      <c r="B24" s="151">
        <v>45849.0</v>
      </c>
      <c r="C24" s="150">
        <v>0.2916666666666667</v>
      </c>
      <c r="D24" s="150">
        <v>0.7291666666666666</v>
      </c>
      <c r="E24" s="150">
        <v>0.041666666666666664</v>
      </c>
      <c r="F24" s="150">
        <f t="shared" si="2"/>
        <v>0.3958333333</v>
      </c>
      <c r="G24" s="44" t="s">
        <v>67</v>
      </c>
      <c r="H24" s="44" t="s">
        <v>36</v>
      </c>
      <c r="I24" s="44"/>
    </row>
    <row r="25" ht="15.0" customHeight="1">
      <c r="B25" s="151">
        <v>45856.0</v>
      </c>
      <c r="C25" s="150">
        <v>0.3333333333333333</v>
      </c>
      <c r="D25" s="150">
        <v>0.75</v>
      </c>
      <c r="E25" s="150">
        <v>0.041666666666666664</v>
      </c>
      <c r="F25" s="150">
        <f t="shared" si="2"/>
        <v>0.375</v>
      </c>
      <c r="G25" s="44" t="s">
        <v>67</v>
      </c>
      <c r="H25" s="44" t="s">
        <v>36</v>
      </c>
      <c r="I25" s="44"/>
    </row>
    <row r="26" ht="15.0" customHeight="1">
      <c r="B26" s="151">
        <v>45857.0</v>
      </c>
      <c r="C26" s="150">
        <v>0.2916666666666667</v>
      </c>
      <c r="D26" s="150">
        <v>0.5416666666666666</v>
      </c>
      <c r="E26" s="150">
        <v>0.041666666666666664</v>
      </c>
      <c r="F26" s="150">
        <f t="shared" si="2"/>
        <v>0.2083333333</v>
      </c>
      <c r="G26" s="44" t="s">
        <v>67</v>
      </c>
      <c r="H26" s="44" t="s">
        <v>36</v>
      </c>
      <c r="I26" s="44"/>
    </row>
    <row r="27" ht="15.0" customHeight="1">
      <c r="B27" s="151">
        <v>45859.0</v>
      </c>
      <c r="C27" s="150">
        <v>0.2916666666666667</v>
      </c>
      <c r="D27" s="150">
        <v>0.7083333333333334</v>
      </c>
      <c r="E27" s="150">
        <v>0.041666666666666664</v>
      </c>
      <c r="F27" s="150">
        <f t="shared" si="2"/>
        <v>0.375</v>
      </c>
      <c r="G27" s="44" t="s">
        <v>67</v>
      </c>
      <c r="H27" s="44" t="s">
        <v>36</v>
      </c>
      <c r="I27" s="44">
        <v>200.0</v>
      </c>
    </row>
    <row r="28" ht="15.0" customHeight="1">
      <c r="B28" s="151">
        <v>45876.0</v>
      </c>
      <c r="C28" s="150">
        <v>0.5</v>
      </c>
      <c r="D28" s="150">
        <v>0.7083333333333334</v>
      </c>
      <c r="E28" s="150">
        <v>0.041666666666666664</v>
      </c>
      <c r="F28" s="150">
        <f t="shared" si="2"/>
        <v>0.1666666667</v>
      </c>
      <c r="G28" s="44" t="s">
        <v>882</v>
      </c>
      <c r="H28" s="44" t="s">
        <v>71</v>
      </c>
      <c r="I28" s="44"/>
    </row>
    <row r="29" ht="15.0" customHeight="1">
      <c r="B29" s="151">
        <v>45877.0</v>
      </c>
      <c r="C29" s="150">
        <v>0.2916666666666667</v>
      </c>
      <c r="D29" s="150">
        <v>0.7083333333333334</v>
      </c>
      <c r="E29" s="150">
        <v>0.041666666666666664</v>
      </c>
      <c r="F29" s="150">
        <f t="shared" si="2"/>
        <v>0.375</v>
      </c>
      <c r="G29" s="44" t="s">
        <v>882</v>
      </c>
      <c r="H29" s="44" t="s">
        <v>71</v>
      </c>
      <c r="I29" s="44"/>
    </row>
    <row r="30" ht="15.0" customHeight="1">
      <c r="B30" s="151">
        <v>45878.0</v>
      </c>
      <c r="C30" s="150">
        <v>0.3402777777777778</v>
      </c>
      <c r="D30" s="150">
        <v>0.6666666666666666</v>
      </c>
      <c r="E30" s="150">
        <v>0.041666666666666664</v>
      </c>
      <c r="F30" s="150">
        <f t="shared" si="2"/>
        <v>0.2847222222</v>
      </c>
      <c r="G30" s="44" t="s">
        <v>882</v>
      </c>
      <c r="H30" s="44" t="s">
        <v>71</v>
      </c>
      <c r="I30" s="44"/>
    </row>
    <row r="31" ht="15.0" customHeight="1">
      <c r="B31" s="151">
        <v>45880.0</v>
      </c>
      <c r="C31" s="150">
        <v>0.3333333333333333</v>
      </c>
      <c r="D31" s="150">
        <v>0.7083333333333334</v>
      </c>
      <c r="E31" s="150">
        <v>0.041666666666666664</v>
      </c>
      <c r="F31" s="150">
        <f t="shared" si="2"/>
        <v>0.3333333333</v>
      </c>
      <c r="G31" s="44" t="s">
        <v>882</v>
      </c>
      <c r="H31" s="44" t="s">
        <v>71</v>
      </c>
      <c r="I31" s="44"/>
    </row>
    <row r="32" ht="15.0" customHeight="1">
      <c r="B32" s="151">
        <v>45881.0</v>
      </c>
      <c r="C32" s="150">
        <v>0.2916666666666667</v>
      </c>
      <c r="D32" s="150">
        <v>0.7152777777777778</v>
      </c>
      <c r="E32" s="150">
        <v>0.041666666666666664</v>
      </c>
      <c r="F32" s="150">
        <f t="shared" si="2"/>
        <v>0.3819444444</v>
      </c>
      <c r="G32" s="44" t="s">
        <v>882</v>
      </c>
      <c r="H32" s="44" t="s">
        <v>71</v>
      </c>
      <c r="I32" s="44"/>
    </row>
    <row r="33" ht="15.0" customHeight="1">
      <c r="B33" s="151">
        <v>45882.0</v>
      </c>
      <c r="C33" s="150">
        <v>0.3055555555555556</v>
      </c>
      <c r="D33" s="150">
        <v>0.7083333333333334</v>
      </c>
      <c r="E33" s="150">
        <v>0.041666666666666664</v>
      </c>
      <c r="F33" s="150">
        <f t="shared" si="2"/>
        <v>0.3611111111</v>
      </c>
      <c r="G33" s="44" t="s">
        <v>882</v>
      </c>
      <c r="H33" s="44" t="s">
        <v>71</v>
      </c>
      <c r="I33" s="44"/>
    </row>
    <row r="34" ht="15.0" customHeight="1">
      <c r="B34" s="151">
        <v>45883.0</v>
      </c>
      <c r="C34" s="150">
        <v>0.2916666666666667</v>
      </c>
      <c r="D34" s="150">
        <v>0.6875</v>
      </c>
      <c r="E34" s="150">
        <v>0.041666666666666664</v>
      </c>
      <c r="F34" s="150">
        <f t="shared" si="2"/>
        <v>0.3541666667</v>
      </c>
      <c r="G34" s="44" t="s">
        <v>882</v>
      </c>
      <c r="H34" s="44" t="s">
        <v>71</v>
      </c>
      <c r="I34" s="44"/>
    </row>
    <row r="35" ht="15.0" customHeight="1">
      <c r="B35" s="151">
        <v>45887.0</v>
      </c>
      <c r="C35" s="150">
        <v>0.375</v>
      </c>
      <c r="D35" s="150">
        <v>0.7083333333333334</v>
      </c>
      <c r="E35" s="150">
        <v>0.041666666666666664</v>
      </c>
      <c r="F35" s="150">
        <f t="shared" si="2"/>
        <v>0.2916666667</v>
      </c>
      <c r="G35" s="44" t="s">
        <v>883</v>
      </c>
      <c r="H35" s="44" t="s">
        <v>884</v>
      </c>
      <c r="I35" s="44"/>
    </row>
    <row r="36" ht="15.0" customHeight="1">
      <c r="B36" s="151">
        <v>45888.0</v>
      </c>
      <c r="C36" s="150">
        <v>0.6041666666666666</v>
      </c>
      <c r="D36" s="150">
        <v>0.7083333333333334</v>
      </c>
      <c r="E36" s="150">
        <v>0.041666666666666664</v>
      </c>
      <c r="F36" s="150">
        <f t="shared" si="2"/>
        <v>0.0625</v>
      </c>
      <c r="G36" s="44" t="s">
        <v>883</v>
      </c>
      <c r="H36" s="44" t="s">
        <v>884</v>
      </c>
      <c r="I36" s="44"/>
    </row>
    <row r="37" ht="15.0" customHeight="1">
      <c r="B37" s="151">
        <v>45889.0</v>
      </c>
      <c r="C37" s="150">
        <v>0.4722222222222222</v>
      </c>
      <c r="D37" s="150">
        <v>0.7083333333333334</v>
      </c>
      <c r="E37" s="150">
        <v>0.041666666666666664</v>
      </c>
      <c r="F37" s="150">
        <f t="shared" si="2"/>
        <v>0.1944444444</v>
      </c>
      <c r="G37" s="44" t="s">
        <v>883</v>
      </c>
      <c r="H37" s="44" t="s">
        <v>884</v>
      </c>
      <c r="I37" s="44"/>
    </row>
    <row r="38" ht="15.0" customHeight="1">
      <c r="B38" s="151">
        <v>45897.0</v>
      </c>
      <c r="C38" s="150">
        <v>0.3333333333333333</v>
      </c>
      <c r="D38" s="150">
        <v>0.7083333333333334</v>
      </c>
      <c r="E38" s="150">
        <v>0.041666666666666664</v>
      </c>
      <c r="F38" s="150">
        <f t="shared" si="2"/>
        <v>0.3333333333</v>
      </c>
      <c r="G38" s="44" t="s">
        <v>621</v>
      </c>
      <c r="H38" s="44" t="s">
        <v>885</v>
      </c>
      <c r="I38" s="44"/>
    </row>
    <row r="39" ht="15.0" customHeight="1">
      <c r="B39" s="151">
        <v>45898.0</v>
      </c>
      <c r="C39" s="150">
        <v>0.2916666666666667</v>
      </c>
      <c r="D39" s="150">
        <v>0.5</v>
      </c>
      <c r="E39" s="150">
        <v>0.041666666666666664</v>
      </c>
      <c r="F39" s="150">
        <f t="shared" si="2"/>
        <v>0.1666666667</v>
      </c>
      <c r="G39" s="44" t="s">
        <v>621</v>
      </c>
      <c r="H39" s="44"/>
      <c r="I39" s="44"/>
    </row>
    <row r="40" ht="15.0" customHeight="1">
      <c r="B40" s="151">
        <v>45899.0</v>
      </c>
      <c r="C40" s="150">
        <v>0.2916666666666667</v>
      </c>
      <c r="D40" s="150">
        <v>16.680555555555557</v>
      </c>
      <c r="E40" s="150">
        <v>0.041666666666666664</v>
      </c>
      <c r="F40" s="150">
        <f t="shared" si="2"/>
        <v>16.34722222</v>
      </c>
      <c r="G40" s="44"/>
      <c r="H40" s="44"/>
      <c r="I40" s="44"/>
    </row>
    <row r="41" ht="15.0" customHeight="1">
      <c r="B41" s="151">
        <v>45901.0</v>
      </c>
      <c r="C41" s="150">
        <v>0.2916666666666667</v>
      </c>
      <c r="D41" s="150">
        <v>0.7291666666666666</v>
      </c>
      <c r="E41" s="150">
        <v>0.041666666666666664</v>
      </c>
      <c r="F41" s="150">
        <f t="shared" si="2"/>
        <v>0.3958333333</v>
      </c>
      <c r="G41" s="44"/>
      <c r="H41" s="44"/>
      <c r="I41" s="44"/>
    </row>
    <row r="42" ht="15.0" customHeight="1">
      <c r="B42" s="151">
        <v>45871.0</v>
      </c>
      <c r="C42" s="150">
        <v>0.2916666666666667</v>
      </c>
      <c r="D42" s="150">
        <v>0.7083333333333334</v>
      </c>
      <c r="E42" s="150">
        <v>0.041666666666666664</v>
      </c>
      <c r="F42" s="150">
        <f t="shared" si="2"/>
        <v>0.375</v>
      </c>
      <c r="G42" s="44"/>
      <c r="H42" s="44"/>
      <c r="I42" s="44"/>
    </row>
    <row r="43" ht="15.0" customHeight="1">
      <c r="B43" s="151">
        <v>45872.0</v>
      </c>
      <c r="C43" s="150">
        <v>0.2916666666666667</v>
      </c>
      <c r="D43" s="150">
        <v>0.7083333333333334</v>
      </c>
      <c r="E43" s="150">
        <v>0.041666666666666664</v>
      </c>
      <c r="F43" s="150">
        <f t="shared" si="2"/>
        <v>0.375</v>
      </c>
      <c r="G43" s="44"/>
      <c r="H43" s="44"/>
      <c r="I43" s="44"/>
    </row>
    <row r="44" ht="15.0" customHeight="1">
      <c r="B44" s="151">
        <v>45876.0</v>
      </c>
      <c r="C44" s="150">
        <v>0.2916666666666667</v>
      </c>
      <c r="D44" s="150">
        <v>0.71875</v>
      </c>
      <c r="E44" s="150">
        <v>0.041666666666666664</v>
      </c>
      <c r="F44" s="150">
        <f t="shared" si="2"/>
        <v>0.3854166667</v>
      </c>
      <c r="G44" s="44"/>
      <c r="H44" s="44"/>
      <c r="I44" s="44"/>
    </row>
    <row r="45" ht="15.0" customHeight="1">
      <c r="B45" s="44"/>
      <c r="C45" s="150"/>
      <c r="D45" s="150"/>
      <c r="E45" s="150">
        <v>0.041666666666666664</v>
      </c>
      <c r="F45" s="150">
        <f t="shared" si="2"/>
        <v>-0.04166666667</v>
      </c>
      <c r="G45" s="44"/>
      <c r="H45" s="44"/>
      <c r="I45" s="44"/>
    </row>
    <row r="46" ht="15.0" customHeight="1">
      <c r="B46" s="44"/>
      <c r="C46" s="150"/>
      <c r="D46" s="150"/>
      <c r="E46" s="150">
        <v>0.041666666666666664</v>
      </c>
      <c r="F46" s="150">
        <f t="shared" si="2"/>
        <v>-0.04166666667</v>
      </c>
      <c r="G46" s="44"/>
      <c r="H46" s="44"/>
      <c r="I46" s="44"/>
    </row>
    <row r="47" ht="15.0" customHeight="1">
      <c r="B47" s="44"/>
      <c r="C47" s="150"/>
      <c r="D47" s="150"/>
      <c r="E47" s="150">
        <v>0.0833333333333333</v>
      </c>
      <c r="F47" s="150">
        <f t="shared" si="2"/>
        <v>-0.08333333333</v>
      </c>
      <c r="G47" s="44"/>
      <c r="H47" s="44"/>
      <c r="I47" s="44"/>
    </row>
    <row r="48" ht="15.0" customHeight="1">
      <c r="B48" s="44"/>
      <c r="C48" s="150"/>
      <c r="D48" s="150"/>
      <c r="E48" s="150">
        <v>0.125</v>
      </c>
      <c r="F48" s="150">
        <f t="shared" si="2"/>
        <v>-0.125</v>
      </c>
      <c r="G48" s="44"/>
      <c r="H48" s="44"/>
      <c r="I48" s="44"/>
    </row>
    <row r="49" ht="15.0" customHeight="1">
      <c r="B49" s="44"/>
      <c r="C49" s="150"/>
      <c r="D49" s="150"/>
      <c r="E49" s="150">
        <v>0.166666666666667</v>
      </c>
      <c r="F49" s="150">
        <f t="shared" si="2"/>
        <v>-0.1666666667</v>
      </c>
      <c r="G49" s="44"/>
      <c r="H49" s="44"/>
      <c r="I49" s="44"/>
    </row>
    <row r="50" ht="15.0" customHeight="1">
      <c r="B50" s="44"/>
      <c r="C50" s="150"/>
      <c r="D50" s="150"/>
      <c r="E50" s="150">
        <v>0.041666666666666664</v>
      </c>
      <c r="F50" s="150">
        <f t="shared" si="2"/>
        <v>-0.04166666667</v>
      </c>
      <c r="G50" s="44"/>
      <c r="H50" s="44"/>
      <c r="I50" s="44"/>
    </row>
    <row r="51" ht="15.0" customHeight="1">
      <c r="B51" s="44"/>
      <c r="C51" s="150"/>
      <c r="D51" s="150"/>
      <c r="E51" s="150">
        <v>0.041666666666666664</v>
      </c>
      <c r="F51" s="150">
        <f t="shared" si="2"/>
        <v>-0.04166666667</v>
      </c>
      <c r="G51" s="44"/>
      <c r="H51" s="44"/>
      <c r="I51" s="44"/>
    </row>
    <row r="52" ht="15.0" customHeight="1">
      <c r="B52" s="44"/>
      <c r="C52" s="150"/>
      <c r="D52" s="150"/>
      <c r="E52" s="150">
        <v>0.041666666666666664</v>
      </c>
      <c r="F52" s="150">
        <f t="shared" si="2"/>
        <v>-0.04166666667</v>
      </c>
      <c r="G52" s="44"/>
      <c r="H52" s="44"/>
      <c r="I52" s="44"/>
    </row>
    <row r="53" ht="15.0" customHeight="1">
      <c r="B53" s="44"/>
      <c r="C53" s="150"/>
      <c r="D53" s="150"/>
      <c r="E53" s="150">
        <v>0.041666666666666664</v>
      </c>
      <c r="F53" s="150">
        <f t="shared" si="2"/>
        <v>-0.04166666667</v>
      </c>
      <c r="G53" s="44"/>
      <c r="H53" s="44"/>
      <c r="I53" s="44"/>
    </row>
    <row r="54" ht="15.0" customHeight="1">
      <c r="B54" s="44"/>
      <c r="C54" s="150"/>
      <c r="D54" s="150"/>
      <c r="E54" s="150">
        <v>0.041666666666666664</v>
      </c>
      <c r="F54" s="150">
        <f t="shared" si="2"/>
        <v>-0.04166666667</v>
      </c>
      <c r="G54" s="44"/>
      <c r="H54" s="44"/>
      <c r="I54" s="44"/>
    </row>
    <row r="55" ht="15.0" customHeight="1">
      <c r="B55" s="44"/>
      <c r="C55" s="150"/>
      <c r="D55" s="150"/>
      <c r="E55" s="150">
        <v>0.041666666666666664</v>
      </c>
      <c r="F55" s="150">
        <f t="shared" si="2"/>
        <v>-0.04166666667</v>
      </c>
      <c r="G55" s="44"/>
      <c r="H55" s="44"/>
      <c r="I55" s="44"/>
    </row>
    <row r="56" ht="15.0" customHeight="1">
      <c r="B56" s="44"/>
      <c r="C56" s="150"/>
      <c r="D56" s="150"/>
      <c r="E56" s="150">
        <v>0.041666666666666664</v>
      </c>
      <c r="F56" s="150">
        <f t="shared" si="2"/>
        <v>-0.04166666667</v>
      </c>
      <c r="G56" s="44"/>
      <c r="H56" s="44"/>
      <c r="I56" s="44"/>
    </row>
    <row r="57" ht="15.0" customHeight="1">
      <c r="B57" s="44"/>
      <c r="C57" s="150"/>
      <c r="D57" s="150"/>
      <c r="E57" s="150">
        <v>0.041666666666666664</v>
      </c>
      <c r="F57" s="150">
        <f t="shared" si="2"/>
        <v>-0.04166666667</v>
      </c>
      <c r="G57" s="44"/>
      <c r="H57" s="44"/>
      <c r="I57" s="44"/>
    </row>
    <row r="58" ht="15.0" customHeight="1">
      <c r="B58" s="44"/>
      <c r="C58" s="150"/>
      <c r="D58" s="150"/>
      <c r="E58" s="150">
        <v>0.041666666666666664</v>
      </c>
      <c r="F58" s="150">
        <f t="shared" si="2"/>
        <v>-0.04166666667</v>
      </c>
      <c r="G58" s="44"/>
      <c r="H58" s="44"/>
      <c r="I58" s="44"/>
    </row>
    <row r="59" ht="15.0" customHeight="1">
      <c r="B59" s="44"/>
      <c r="C59" s="150"/>
      <c r="D59" s="150"/>
      <c r="E59" s="150">
        <v>0.041666666666666664</v>
      </c>
      <c r="F59" s="150">
        <f t="shared" si="2"/>
        <v>-0.04166666667</v>
      </c>
      <c r="G59" s="44"/>
      <c r="H59" s="44"/>
      <c r="I59" s="44"/>
    </row>
    <row r="60" ht="15.0" customHeight="1">
      <c r="B60" s="44"/>
      <c r="C60" s="150"/>
      <c r="D60" s="150"/>
      <c r="E60" s="150">
        <v>0.041666666666666664</v>
      </c>
      <c r="F60" s="150">
        <f t="shared" si="2"/>
        <v>-0.04166666667</v>
      </c>
      <c r="G60" s="44"/>
      <c r="H60" s="44"/>
      <c r="I60" s="44"/>
    </row>
    <row r="61" ht="15.0" customHeight="1">
      <c r="B61" s="44"/>
      <c r="C61" s="150"/>
      <c r="D61" s="150"/>
      <c r="E61" s="150">
        <v>0.041666666666666664</v>
      </c>
      <c r="F61" s="150">
        <f t="shared" si="2"/>
        <v>-0.04166666667</v>
      </c>
      <c r="G61" s="44"/>
      <c r="H61" s="44"/>
      <c r="I61" s="44"/>
    </row>
    <row r="62" ht="15.0" customHeight="1">
      <c r="B62" s="44"/>
      <c r="C62" s="150"/>
      <c r="D62" s="150"/>
      <c r="E62" s="150">
        <v>0.041666666666666664</v>
      </c>
      <c r="F62" s="150">
        <f t="shared" si="2"/>
        <v>-0.04166666667</v>
      </c>
      <c r="G62" s="44"/>
      <c r="H62" s="44"/>
      <c r="I62" s="44"/>
    </row>
    <row r="63" ht="15.0" customHeight="1">
      <c r="B63" s="44"/>
      <c r="C63" s="150"/>
      <c r="D63" s="150"/>
      <c r="E63" s="150">
        <v>0.041666666666666664</v>
      </c>
      <c r="F63" s="150">
        <f t="shared" si="2"/>
        <v>-0.04166666667</v>
      </c>
      <c r="G63" s="44"/>
      <c r="H63" s="44"/>
      <c r="I63" s="44"/>
    </row>
    <row r="64" ht="15.0" customHeight="1">
      <c r="B64" s="44"/>
      <c r="C64" s="150"/>
      <c r="D64" s="150"/>
      <c r="E64" s="150">
        <v>0.041666666666666664</v>
      </c>
      <c r="F64" s="150">
        <f t="shared" si="2"/>
        <v>-0.04166666667</v>
      </c>
      <c r="G64" s="44"/>
      <c r="H64" s="44"/>
      <c r="I64" s="44"/>
    </row>
    <row r="65" ht="15.0" customHeight="1">
      <c r="B65" s="44"/>
      <c r="C65" s="150"/>
      <c r="D65" s="150"/>
      <c r="E65" s="150">
        <v>0.041666666666666664</v>
      </c>
      <c r="F65" s="150">
        <f t="shared" si="2"/>
        <v>-0.04166666667</v>
      </c>
      <c r="G65" s="44"/>
      <c r="H65" s="44"/>
      <c r="I65" s="44"/>
    </row>
    <row r="66" ht="15.0" customHeight="1">
      <c r="B66" s="44"/>
      <c r="C66" s="150"/>
      <c r="D66" s="150"/>
      <c r="E66" s="150">
        <v>0.041666666666666664</v>
      </c>
      <c r="F66" s="150">
        <f t="shared" si="2"/>
        <v>-0.04166666667</v>
      </c>
      <c r="G66" s="44"/>
      <c r="H66" s="44"/>
      <c r="I66" s="44"/>
    </row>
    <row r="67" ht="15.0" customHeight="1">
      <c r="B67" s="44"/>
      <c r="C67" s="150"/>
      <c r="D67" s="150"/>
      <c r="E67" s="150">
        <v>0.041666666666666664</v>
      </c>
      <c r="F67" s="150">
        <f t="shared" si="2"/>
        <v>-0.04166666667</v>
      </c>
      <c r="G67" s="44"/>
      <c r="H67" s="44"/>
      <c r="I67" s="44"/>
    </row>
    <row r="68" ht="15.0" customHeight="1">
      <c r="B68" s="44"/>
      <c r="C68" s="150"/>
      <c r="D68" s="150"/>
      <c r="E68" s="150">
        <v>0.041666666666666664</v>
      </c>
      <c r="F68" s="150">
        <f t="shared" si="2"/>
        <v>-0.04166666667</v>
      </c>
      <c r="G68" s="44"/>
      <c r="H68" s="44"/>
      <c r="I68" s="44"/>
    </row>
    <row r="69" ht="15.0" customHeight="1">
      <c r="B69" s="44"/>
      <c r="C69" s="150"/>
      <c r="D69" s="150"/>
      <c r="E69" s="150">
        <v>0.041666666666666664</v>
      </c>
      <c r="F69" s="150">
        <f t="shared" si="2"/>
        <v>-0.04166666667</v>
      </c>
      <c r="G69" s="44"/>
      <c r="H69" s="44"/>
      <c r="I69" s="44"/>
    </row>
    <row r="70" ht="15.0" customHeight="1">
      <c r="B70" s="44"/>
      <c r="C70" s="150"/>
      <c r="D70" s="150"/>
      <c r="E70" s="150">
        <v>0.041666666666666664</v>
      </c>
      <c r="F70" s="150">
        <f t="shared" si="2"/>
        <v>-0.04166666667</v>
      </c>
      <c r="G70" s="44"/>
      <c r="H70" s="44"/>
      <c r="I70" s="44"/>
    </row>
    <row r="71" ht="15.0" customHeight="1">
      <c r="B71" s="44"/>
      <c r="C71" s="150"/>
      <c r="D71" s="150"/>
      <c r="E71" s="150">
        <v>0.041666666666666664</v>
      </c>
      <c r="F71" s="150">
        <f t="shared" si="2"/>
        <v>-0.04166666667</v>
      </c>
      <c r="G71" s="44"/>
      <c r="H71" s="44"/>
      <c r="I71" s="44"/>
    </row>
    <row r="72" ht="15.0" customHeight="1">
      <c r="B72" s="44"/>
      <c r="C72" s="150"/>
      <c r="D72" s="150"/>
      <c r="E72" s="150">
        <v>0.041666666666666664</v>
      </c>
      <c r="F72" s="150">
        <f t="shared" si="2"/>
        <v>-0.04166666667</v>
      </c>
      <c r="G72" s="44"/>
      <c r="H72" s="44"/>
      <c r="I72" s="44"/>
    </row>
    <row r="73" ht="15.0" customHeight="1">
      <c r="B73" s="44"/>
      <c r="C73" s="150"/>
      <c r="D73" s="150"/>
      <c r="E73" s="150">
        <v>0.041666666666666664</v>
      </c>
      <c r="F73" s="150">
        <f t="shared" si="2"/>
        <v>-0.04166666667</v>
      </c>
      <c r="G73" s="44"/>
      <c r="H73" s="44"/>
      <c r="I73" s="44"/>
    </row>
    <row r="74" ht="15.0" customHeight="1">
      <c r="B74" s="44"/>
      <c r="C74" s="150"/>
      <c r="D74" s="150"/>
      <c r="E74" s="150">
        <v>0.041666666666666664</v>
      </c>
      <c r="F74" s="150">
        <f t="shared" si="2"/>
        <v>-0.04166666667</v>
      </c>
      <c r="G74" s="44"/>
      <c r="H74" s="44"/>
      <c r="I74" s="44"/>
    </row>
    <row r="75" ht="15.0" customHeight="1">
      <c r="B75" s="44"/>
      <c r="C75" s="150"/>
      <c r="D75" s="150"/>
      <c r="E75" s="150">
        <v>0.041666666666666664</v>
      </c>
      <c r="F75" s="150">
        <f t="shared" si="2"/>
        <v>-0.04166666667</v>
      </c>
      <c r="G75" s="44"/>
      <c r="H75" s="44"/>
      <c r="I75" s="44"/>
    </row>
    <row r="76" ht="15.0" customHeight="1">
      <c r="B76" s="44"/>
      <c r="C76" s="150"/>
      <c r="D76" s="150"/>
      <c r="E76" s="150">
        <v>0.041666666666666664</v>
      </c>
      <c r="F76" s="150">
        <f t="shared" si="2"/>
        <v>-0.04166666667</v>
      </c>
      <c r="G76" s="44"/>
      <c r="H76" s="44"/>
      <c r="I76" s="44"/>
    </row>
    <row r="77" ht="15.0" customHeight="1">
      <c r="B77" s="44"/>
      <c r="C77" s="150"/>
      <c r="D77" s="150"/>
      <c r="E77" s="150">
        <v>0.041666666666666664</v>
      </c>
      <c r="F77" s="150">
        <f t="shared" si="2"/>
        <v>-0.04166666667</v>
      </c>
      <c r="G77" s="44"/>
      <c r="H77" s="44"/>
      <c r="I77" s="44"/>
    </row>
    <row r="78" ht="15.0" customHeight="1">
      <c r="B78" s="44"/>
      <c r="C78" s="150"/>
      <c r="D78" s="150"/>
      <c r="E78" s="150">
        <v>0.041666666666666664</v>
      </c>
      <c r="F78" s="150">
        <f t="shared" si="2"/>
        <v>-0.04166666667</v>
      </c>
      <c r="G78" s="44"/>
      <c r="H78" s="44"/>
      <c r="I78" s="44"/>
    </row>
    <row r="79" ht="15.0" customHeight="1">
      <c r="B79" s="44"/>
      <c r="C79" s="150"/>
      <c r="D79" s="150"/>
      <c r="E79" s="150">
        <v>0.041666666666666664</v>
      </c>
      <c r="F79" s="150">
        <f t="shared" si="2"/>
        <v>-0.04166666667</v>
      </c>
      <c r="G79" s="44"/>
      <c r="H79" s="44"/>
      <c r="I79" s="44"/>
    </row>
    <row r="80" ht="15.0" customHeight="1">
      <c r="B80" s="44"/>
      <c r="C80" s="150"/>
      <c r="D80" s="150"/>
      <c r="E80" s="150">
        <v>0.041666666666666664</v>
      </c>
      <c r="F80" s="150">
        <f t="shared" si="2"/>
        <v>-0.04166666667</v>
      </c>
      <c r="G80" s="44"/>
      <c r="H80" s="44"/>
      <c r="I80" s="44"/>
    </row>
    <row r="81" ht="15.0" customHeight="1">
      <c r="B81" s="44"/>
      <c r="C81" s="150"/>
      <c r="D81" s="150"/>
      <c r="E81" s="150">
        <v>0.041666666666666664</v>
      </c>
      <c r="F81" s="150">
        <f t="shared" si="2"/>
        <v>-0.04166666667</v>
      </c>
      <c r="G81" s="44"/>
      <c r="H81" s="44"/>
      <c r="I81" s="44"/>
    </row>
    <row r="82" ht="15.0" customHeight="1">
      <c r="B82" s="44"/>
      <c r="C82" s="150"/>
      <c r="D82" s="150"/>
      <c r="E82" s="150">
        <v>0.041666666666666664</v>
      </c>
      <c r="F82" s="150">
        <f t="shared" si="2"/>
        <v>-0.04166666667</v>
      </c>
      <c r="G82" s="44"/>
      <c r="H82" s="44"/>
      <c r="I82" s="44"/>
    </row>
    <row r="83" ht="15.0" customHeight="1">
      <c r="B83" s="44"/>
      <c r="C83" s="150"/>
      <c r="D83" s="150"/>
      <c r="E83" s="150">
        <v>0.041666666666666664</v>
      </c>
      <c r="F83" s="150">
        <f t="shared" si="2"/>
        <v>-0.04166666667</v>
      </c>
      <c r="G83" s="44"/>
      <c r="H83" s="44"/>
      <c r="I83" s="44"/>
    </row>
    <row r="84" ht="15.0" customHeight="1">
      <c r="B84" s="44"/>
      <c r="C84" s="150"/>
      <c r="D84" s="150"/>
      <c r="E84" s="150">
        <v>0.041666666666666664</v>
      </c>
      <c r="F84" s="150">
        <f t="shared" si="2"/>
        <v>-0.04166666667</v>
      </c>
      <c r="G84" s="44"/>
      <c r="H84" s="44"/>
      <c r="I84" s="44"/>
    </row>
    <row r="85" ht="15.0" customHeight="1">
      <c r="B85" s="44"/>
      <c r="C85" s="150"/>
      <c r="D85" s="150"/>
      <c r="E85" s="150">
        <v>0.041666666666666664</v>
      </c>
      <c r="F85" s="150">
        <f t="shared" si="2"/>
        <v>-0.04166666667</v>
      </c>
      <c r="G85" s="44"/>
      <c r="H85" s="44"/>
      <c r="I85" s="44"/>
    </row>
    <row r="86" ht="15.0" customHeight="1">
      <c r="B86" s="44"/>
      <c r="C86" s="150"/>
      <c r="D86" s="150"/>
      <c r="E86" s="150">
        <v>0.041666666666666664</v>
      </c>
      <c r="F86" s="150">
        <f t="shared" si="2"/>
        <v>-0.04166666667</v>
      </c>
      <c r="G86" s="44"/>
      <c r="H86" s="44"/>
      <c r="I86" s="44"/>
    </row>
    <row r="87" ht="15.0" customHeight="1">
      <c r="B87" s="44"/>
      <c r="C87" s="150"/>
      <c r="D87" s="150"/>
      <c r="E87" s="150">
        <v>0.041666666666666664</v>
      </c>
      <c r="F87" s="150">
        <f t="shared" si="2"/>
        <v>-0.04166666667</v>
      </c>
      <c r="G87" s="44"/>
      <c r="H87" s="44"/>
      <c r="I87" s="44"/>
    </row>
    <row r="88" ht="15.0" customHeight="1">
      <c r="B88" s="44"/>
      <c r="C88" s="150"/>
      <c r="D88" s="150"/>
      <c r="E88" s="150">
        <v>0.041666666666666664</v>
      </c>
      <c r="F88" s="150">
        <f t="shared" si="2"/>
        <v>-0.04166666667</v>
      </c>
      <c r="G88" s="44"/>
      <c r="H88" s="44"/>
      <c r="I88" s="44"/>
    </row>
    <row r="89" ht="15.0" customHeight="1">
      <c r="B89" s="44"/>
      <c r="C89" s="150"/>
      <c r="D89" s="150"/>
      <c r="E89" s="150">
        <v>0.041666666666666664</v>
      </c>
      <c r="F89" s="150">
        <f t="shared" si="2"/>
        <v>-0.04166666667</v>
      </c>
      <c r="G89" s="44"/>
      <c r="H89" s="44"/>
      <c r="I89" s="44"/>
    </row>
    <row r="90" ht="15.0" customHeight="1">
      <c r="B90" s="44"/>
      <c r="C90" s="150"/>
      <c r="D90" s="150"/>
      <c r="E90" s="150">
        <v>0.041666666666666664</v>
      </c>
      <c r="F90" s="150">
        <f t="shared" si="2"/>
        <v>-0.04166666667</v>
      </c>
      <c r="G90" s="44"/>
      <c r="H90" s="44"/>
      <c r="I90" s="44"/>
    </row>
    <row r="91" ht="15.0" customHeight="1">
      <c r="B91" s="44"/>
      <c r="C91" s="150"/>
      <c r="D91" s="150"/>
      <c r="E91" s="150">
        <v>0.041666666666666664</v>
      </c>
      <c r="F91" s="150">
        <f t="shared" si="2"/>
        <v>-0.04166666667</v>
      </c>
      <c r="G91" s="44"/>
      <c r="H91" s="44"/>
      <c r="I91" s="44"/>
    </row>
    <row r="92" ht="15.0" customHeight="1">
      <c r="B92" s="44"/>
      <c r="C92" s="150"/>
      <c r="D92" s="150"/>
      <c r="E92" s="150">
        <v>0.041666666666666664</v>
      </c>
      <c r="F92" s="150">
        <f t="shared" si="2"/>
        <v>-0.04166666667</v>
      </c>
      <c r="G92" s="44"/>
      <c r="H92" s="44"/>
      <c r="I92" s="44"/>
    </row>
    <row r="93" ht="15.0" customHeight="1">
      <c r="B93" s="44"/>
      <c r="C93" s="150"/>
      <c r="D93" s="150"/>
      <c r="E93" s="150">
        <v>0.041666666666666664</v>
      </c>
      <c r="F93" s="150">
        <f t="shared" si="2"/>
        <v>-0.04166666667</v>
      </c>
      <c r="G93" s="44"/>
      <c r="H93" s="44"/>
      <c r="I93" s="44"/>
    </row>
    <row r="94" ht="15.0" customHeight="1">
      <c r="B94" s="44"/>
      <c r="C94" s="150"/>
      <c r="D94" s="150"/>
      <c r="E94" s="150">
        <v>0.041666666666666664</v>
      </c>
      <c r="F94" s="150">
        <f t="shared" si="2"/>
        <v>-0.04166666667</v>
      </c>
      <c r="G94" s="44"/>
      <c r="H94" s="44"/>
      <c r="I94" s="44"/>
    </row>
    <row r="95" ht="15.0" customHeight="1">
      <c r="B95" s="44"/>
      <c r="C95" s="150"/>
      <c r="D95" s="150"/>
      <c r="E95" s="150">
        <v>0.041666666666666664</v>
      </c>
      <c r="F95" s="150">
        <f t="shared" si="2"/>
        <v>-0.04166666667</v>
      </c>
      <c r="G95" s="44"/>
      <c r="H95" s="44"/>
      <c r="I95" s="44"/>
    </row>
    <row r="96" ht="15.0" customHeight="1">
      <c r="B96" s="44"/>
      <c r="C96" s="150"/>
      <c r="D96" s="150"/>
      <c r="E96" s="150">
        <v>0.041666666666666664</v>
      </c>
      <c r="F96" s="150">
        <f t="shared" si="2"/>
        <v>-0.04166666667</v>
      </c>
      <c r="G96" s="44"/>
      <c r="H96" s="44"/>
      <c r="I96" s="44"/>
    </row>
    <row r="97" ht="15.0" customHeight="1">
      <c r="B97" s="44"/>
      <c r="C97" s="150"/>
      <c r="D97" s="150"/>
      <c r="E97" s="150">
        <v>0.041666666666666664</v>
      </c>
      <c r="F97" s="150">
        <f t="shared" si="2"/>
        <v>-0.04166666667</v>
      </c>
      <c r="G97" s="44"/>
      <c r="H97" s="44"/>
      <c r="I97" s="44"/>
    </row>
    <row r="98" ht="15.0" customHeight="1">
      <c r="B98" s="44"/>
      <c r="C98" s="150"/>
      <c r="D98" s="150"/>
      <c r="E98" s="150">
        <v>0.041666666666666664</v>
      </c>
      <c r="F98" s="150">
        <f t="shared" si="2"/>
        <v>-0.04166666667</v>
      </c>
      <c r="G98" s="44"/>
      <c r="H98" s="44"/>
      <c r="I98" s="44"/>
    </row>
    <row r="99" ht="15.0" customHeight="1">
      <c r="B99" s="44"/>
      <c r="C99" s="150"/>
      <c r="D99" s="150"/>
      <c r="E99" s="150">
        <v>0.041666666666666664</v>
      </c>
      <c r="F99" s="150">
        <f t="shared" si="2"/>
        <v>-0.04166666667</v>
      </c>
      <c r="G99" s="44"/>
      <c r="H99" s="44"/>
      <c r="I99" s="44"/>
    </row>
    <row r="100" ht="15.0" customHeight="1">
      <c r="B100" s="44"/>
      <c r="C100" s="150"/>
      <c r="D100" s="150"/>
      <c r="E100" s="150">
        <v>0.041666666666666664</v>
      </c>
      <c r="F100" s="150">
        <f t="shared" si="2"/>
        <v>-0.04166666667</v>
      </c>
      <c r="G100" s="44"/>
      <c r="H100" s="44"/>
      <c r="I100" s="44"/>
    </row>
    <row r="101" ht="15.0" customHeight="1">
      <c r="B101" s="44"/>
      <c r="C101" s="150"/>
      <c r="D101" s="150"/>
      <c r="E101" s="150">
        <v>0.041666666666666664</v>
      </c>
      <c r="F101" s="150">
        <f t="shared" si="2"/>
        <v>-0.04166666667</v>
      </c>
      <c r="G101" s="44"/>
      <c r="H101" s="44"/>
      <c r="I101" s="44"/>
    </row>
    <row r="102" ht="15.0" customHeight="1">
      <c r="B102" s="44"/>
      <c r="C102" s="150"/>
      <c r="D102" s="150"/>
      <c r="E102" s="150">
        <v>0.041666666666666664</v>
      </c>
      <c r="F102" s="150">
        <f t="shared" si="2"/>
        <v>-0.04166666667</v>
      </c>
      <c r="G102" s="44"/>
      <c r="H102" s="44"/>
      <c r="I102" s="44"/>
    </row>
    <row r="103" ht="15.0" customHeight="1">
      <c r="B103" s="44"/>
      <c r="C103" s="150"/>
      <c r="D103" s="150"/>
      <c r="E103" s="150">
        <v>0.041666666666666664</v>
      </c>
      <c r="F103" s="150">
        <f t="shared" si="2"/>
        <v>-0.04166666667</v>
      </c>
      <c r="G103" s="44"/>
      <c r="H103" s="44"/>
      <c r="I103" s="44"/>
    </row>
    <row r="104" ht="15.0" customHeight="1">
      <c r="B104" s="44"/>
      <c r="C104" s="150"/>
      <c r="D104" s="150"/>
      <c r="E104" s="150">
        <v>0.041666666666666664</v>
      </c>
      <c r="F104" s="150">
        <f t="shared" si="2"/>
        <v>-0.04166666667</v>
      </c>
      <c r="G104" s="44"/>
      <c r="H104" s="44"/>
      <c r="I104" s="44"/>
    </row>
    <row r="105" ht="15.0" customHeight="1">
      <c r="B105" s="44"/>
      <c r="C105" s="150"/>
      <c r="D105" s="150"/>
      <c r="E105" s="150">
        <v>0.041666666666666664</v>
      </c>
      <c r="F105" s="150">
        <f t="shared" si="2"/>
        <v>-0.04166666667</v>
      </c>
      <c r="G105" s="44"/>
      <c r="H105" s="44"/>
      <c r="I105" s="44"/>
    </row>
    <row r="106" ht="15.0" customHeight="1">
      <c r="B106" s="44"/>
      <c r="C106" s="150"/>
      <c r="D106" s="150"/>
      <c r="E106" s="150">
        <v>0.041666666666666664</v>
      </c>
      <c r="F106" s="150">
        <f t="shared" si="2"/>
        <v>-0.04166666667</v>
      </c>
      <c r="G106" s="44"/>
      <c r="H106" s="44"/>
      <c r="I106" s="44"/>
    </row>
    <row r="107" ht="15.0" customHeight="1">
      <c r="B107" s="44"/>
      <c r="C107" s="150"/>
      <c r="D107" s="150"/>
      <c r="E107" s="150">
        <v>0.041666666666666664</v>
      </c>
      <c r="F107" s="150">
        <f t="shared" si="2"/>
        <v>-0.04166666667</v>
      </c>
      <c r="G107" s="44"/>
      <c r="H107" s="44"/>
      <c r="I107" s="44"/>
    </row>
    <row r="108" ht="15.0" customHeight="1">
      <c r="B108" s="44"/>
      <c r="C108" s="150"/>
      <c r="D108" s="150"/>
      <c r="E108" s="150">
        <v>0.041666666666666664</v>
      </c>
      <c r="F108" s="150">
        <f t="shared" si="2"/>
        <v>-0.04166666667</v>
      </c>
      <c r="G108" s="44"/>
      <c r="H108" s="44"/>
      <c r="I108" s="44"/>
    </row>
    <row r="109" ht="15.0" customHeight="1">
      <c r="B109" s="44"/>
      <c r="C109" s="150"/>
      <c r="D109" s="150"/>
      <c r="E109" s="150">
        <v>0.041666666666666664</v>
      </c>
      <c r="F109" s="150">
        <f t="shared" si="2"/>
        <v>-0.04166666667</v>
      </c>
      <c r="G109" s="44"/>
      <c r="H109" s="44"/>
      <c r="I109" s="44"/>
    </row>
    <row r="110" ht="15.0" customHeight="1">
      <c r="B110" s="44"/>
      <c r="C110" s="150"/>
      <c r="D110" s="150"/>
      <c r="E110" s="150">
        <v>0.041666666666666664</v>
      </c>
      <c r="F110" s="150">
        <f t="shared" si="2"/>
        <v>-0.04166666667</v>
      </c>
      <c r="G110" s="44"/>
      <c r="H110" s="44"/>
      <c r="I110" s="44"/>
    </row>
    <row r="111" ht="15.0" customHeight="1">
      <c r="B111" s="44"/>
      <c r="C111" s="150"/>
      <c r="D111" s="150"/>
      <c r="E111" s="150">
        <v>0.041666666666666664</v>
      </c>
      <c r="F111" s="150">
        <f t="shared" si="2"/>
        <v>-0.04166666667</v>
      </c>
      <c r="G111" s="44"/>
      <c r="H111" s="44"/>
      <c r="I111" s="44"/>
    </row>
    <row r="112" ht="15.0" customHeight="1">
      <c r="B112" s="44"/>
      <c r="C112" s="150"/>
      <c r="D112" s="150"/>
      <c r="E112" s="150">
        <v>0.041666666666666664</v>
      </c>
      <c r="F112" s="150">
        <f t="shared" si="2"/>
        <v>-0.04166666667</v>
      </c>
      <c r="G112" s="44"/>
      <c r="H112" s="44"/>
      <c r="I112" s="44"/>
    </row>
    <row r="113" ht="15.0" customHeight="1">
      <c r="B113" s="44"/>
      <c r="C113" s="150"/>
      <c r="D113" s="150"/>
      <c r="E113" s="150">
        <v>0.041666666666666664</v>
      </c>
      <c r="F113" s="150">
        <f t="shared" si="2"/>
        <v>-0.04166666667</v>
      </c>
      <c r="G113" s="44"/>
      <c r="H113" s="44"/>
      <c r="I113" s="44"/>
    </row>
    <row r="114" ht="15.0" customHeight="1">
      <c r="B114" s="44"/>
      <c r="C114" s="150"/>
      <c r="D114" s="150"/>
      <c r="E114" s="150">
        <v>0.041666666666666664</v>
      </c>
      <c r="F114" s="150">
        <f t="shared" si="2"/>
        <v>-0.04166666667</v>
      </c>
      <c r="G114" s="44"/>
      <c r="H114" s="44"/>
      <c r="I114" s="44"/>
    </row>
    <row r="115" ht="15.0" customHeight="1">
      <c r="B115" s="44"/>
      <c r="C115" s="150"/>
      <c r="D115" s="150"/>
      <c r="E115" s="150">
        <v>0.041666666666666664</v>
      </c>
      <c r="F115" s="150">
        <f t="shared" si="2"/>
        <v>-0.04166666667</v>
      </c>
      <c r="G115" s="44"/>
      <c r="H115" s="44"/>
      <c r="I115" s="44"/>
    </row>
    <row r="116" ht="15.0" customHeight="1">
      <c r="B116" s="44"/>
      <c r="C116" s="150"/>
      <c r="D116" s="150"/>
      <c r="E116" s="150">
        <v>0.041666666666666664</v>
      </c>
      <c r="F116" s="150">
        <f t="shared" si="2"/>
        <v>-0.04166666667</v>
      </c>
      <c r="G116" s="44"/>
      <c r="H116" s="44"/>
      <c r="I116" s="44"/>
    </row>
    <row r="117" ht="15.0" customHeight="1">
      <c r="B117" s="44"/>
      <c r="C117" s="150"/>
      <c r="D117" s="150"/>
      <c r="E117" s="150">
        <v>0.041666666666666664</v>
      </c>
      <c r="F117" s="150">
        <f t="shared" si="2"/>
        <v>-0.04166666667</v>
      </c>
      <c r="G117" s="44"/>
      <c r="H117" s="44"/>
      <c r="I117" s="44"/>
    </row>
    <row r="118" ht="15.0" customHeight="1">
      <c r="B118" s="44"/>
      <c r="C118" s="150"/>
      <c r="D118" s="150"/>
      <c r="E118" s="150">
        <v>0.041666666666666664</v>
      </c>
      <c r="F118" s="150">
        <f t="shared" si="2"/>
        <v>-0.04166666667</v>
      </c>
      <c r="G118" s="44"/>
      <c r="H118" s="44"/>
      <c r="I118" s="44"/>
    </row>
    <row r="119" ht="15.0" customHeight="1">
      <c r="B119" s="44"/>
      <c r="C119" s="150"/>
      <c r="D119" s="150"/>
      <c r="E119" s="150">
        <v>0.041666666666666664</v>
      </c>
      <c r="F119" s="150">
        <f t="shared" si="2"/>
        <v>-0.04166666667</v>
      </c>
      <c r="G119" s="44"/>
      <c r="H119" s="44"/>
      <c r="I119" s="44"/>
    </row>
    <row r="120" ht="15.0" customHeight="1">
      <c r="B120" s="44"/>
      <c r="C120" s="150"/>
      <c r="D120" s="150"/>
      <c r="E120" s="150">
        <v>0.041666666666666664</v>
      </c>
      <c r="F120" s="150">
        <f t="shared" si="2"/>
        <v>-0.04166666667</v>
      </c>
      <c r="G120" s="44"/>
      <c r="H120" s="44"/>
      <c r="I120" s="44"/>
    </row>
    <row r="121" ht="15.0" customHeight="1">
      <c r="B121" s="44"/>
      <c r="C121" s="150"/>
      <c r="D121" s="150"/>
      <c r="E121" s="150">
        <v>0.041666666666666664</v>
      </c>
      <c r="F121" s="150">
        <f t="shared" si="2"/>
        <v>-0.04166666667</v>
      </c>
      <c r="G121" s="44"/>
      <c r="H121" s="44"/>
      <c r="I121" s="44"/>
    </row>
    <row r="122" ht="15.0" customHeight="1">
      <c r="B122" s="44"/>
      <c r="C122" s="150"/>
      <c r="D122" s="150"/>
      <c r="E122" s="150">
        <v>0.041666666666666664</v>
      </c>
      <c r="F122" s="150">
        <f t="shared" si="2"/>
        <v>-0.04166666667</v>
      </c>
      <c r="G122" s="44"/>
      <c r="H122" s="44"/>
      <c r="I122" s="44"/>
    </row>
    <row r="123" ht="15.0" customHeight="1">
      <c r="B123" s="44"/>
      <c r="C123" s="150"/>
      <c r="D123" s="150"/>
      <c r="E123" s="150">
        <v>0.041666666666666664</v>
      </c>
      <c r="F123" s="150">
        <f t="shared" si="2"/>
        <v>-0.04166666667</v>
      </c>
      <c r="G123" s="44"/>
      <c r="H123" s="44"/>
      <c r="I123" s="44"/>
    </row>
    <row r="124" ht="15.0" customHeight="1">
      <c r="B124" s="44"/>
      <c r="C124" s="150"/>
      <c r="D124" s="150"/>
      <c r="E124" s="150">
        <v>0.041666666666666664</v>
      </c>
      <c r="F124" s="150">
        <f t="shared" si="2"/>
        <v>-0.04166666667</v>
      </c>
      <c r="G124" s="44"/>
      <c r="H124" s="44"/>
      <c r="I124" s="44"/>
    </row>
    <row r="125" ht="15.0" customHeight="1">
      <c r="B125" s="44"/>
      <c r="C125" s="150"/>
      <c r="D125" s="150"/>
      <c r="E125" s="150">
        <v>0.041666666666666664</v>
      </c>
      <c r="F125" s="150">
        <f t="shared" si="2"/>
        <v>-0.04166666667</v>
      </c>
      <c r="G125" s="44"/>
      <c r="H125" s="44"/>
      <c r="I125" s="44"/>
    </row>
    <row r="126" ht="15.0" customHeight="1">
      <c r="B126" s="44"/>
      <c r="C126" s="150"/>
      <c r="D126" s="150"/>
      <c r="E126" s="150">
        <v>0.041666666666666664</v>
      </c>
      <c r="F126" s="150">
        <f t="shared" si="2"/>
        <v>-0.04166666667</v>
      </c>
      <c r="G126" s="44"/>
      <c r="H126" s="44"/>
      <c r="I126" s="44"/>
    </row>
    <row r="127" ht="15.0" customHeight="1">
      <c r="B127" s="44"/>
      <c r="C127" s="150"/>
      <c r="D127" s="150"/>
      <c r="E127" s="150">
        <v>0.041666666666666664</v>
      </c>
      <c r="F127" s="150">
        <f t="shared" si="2"/>
        <v>-0.04166666667</v>
      </c>
      <c r="G127" s="44"/>
      <c r="H127" s="44"/>
      <c r="I127" s="44"/>
    </row>
    <row r="128" ht="15.0" customHeight="1">
      <c r="B128" s="44"/>
      <c r="C128" s="150"/>
      <c r="D128" s="150"/>
      <c r="E128" s="150">
        <v>0.041666666666666664</v>
      </c>
      <c r="F128" s="150">
        <f t="shared" si="2"/>
        <v>-0.04166666667</v>
      </c>
      <c r="G128" s="44"/>
      <c r="H128" s="44"/>
      <c r="I128" s="44"/>
    </row>
    <row r="129" ht="15.0" customHeight="1">
      <c r="B129" s="44"/>
      <c r="C129" s="150"/>
      <c r="D129" s="150"/>
      <c r="E129" s="150">
        <v>0.041666666666666664</v>
      </c>
      <c r="F129" s="150">
        <f t="shared" si="2"/>
        <v>-0.04166666667</v>
      </c>
      <c r="G129" s="44"/>
      <c r="H129" s="44"/>
      <c r="I129" s="44"/>
    </row>
    <row r="130" ht="15.0" customHeight="1">
      <c r="B130" s="44"/>
      <c r="C130" s="150"/>
      <c r="D130" s="150"/>
      <c r="E130" s="150">
        <v>0.041666666666666664</v>
      </c>
      <c r="F130" s="150">
        <f t="shared" si="2"/>
        <v>-0.04166666667</v>
      </c>
      <c r="G130" s="44"/>
      <c r="H130" s="44"/>
      <c r="I130" s="44"/>
    </row>
    <row r="131" ht="15.0" customHeight="1">
      <c r="B131" s="44"/>
      <c r="C131" s="150"/>
      <c r="D131" s="150"/>
      <c r="E131" s="150">
        <v>0.041666666666666664</v>
      </c>
      <c r="F131" s="150">
        <f t="shared" si="2"/>
        <v>-0.04166666667</v>
      </c>
      <c r="G131" s="44"/>
      <c r="H131" s="44"/>
      <c r="I131" s="44"/>
    </row>
    <row r="132" ht="15.0" customHeight="1">
      <c r="B132" s="44"/>
      <c r="C132" s="150"/>
      <c r="D132" s="150"/>
      <c r="E132" s="150">
        <v>0.041666666666666664</v>
      </c>
      <c r="F132" s="150">
        <f t="shared" si="2"/>
        <v>-0.04166666667</v>
      </c>
      <c r="G132" s="44"/>
      <c r="H132" s="44"/>
      <c r="I132" s="44"/>
    </row>
    <row r="133" ht="15.0" customHeight="1">
      <c r="B133" s="44"/>
      <c r="C133" s="150"/>
      <c r="D133" s="150"/>
      <c r="E133" s="150">
        <v>0.041666666666666664</v>
      </c>
      <c r="F133" s="150">
        <f t="shared" si="2"/>
        <v>-0.04166666667</v>
      </c>
      <c r="G133" s="44"/>
      <c r="H133" s="44"/>
      <c r="I133" s="44"/>
    </row>
    <row r="134" ht="15.0" customHeight="1">
      <c r="B134" s="44"/>
      <c r="C134" s="150"/>
      <c r="D134" s="150"/>
      <c r="E134" s="150">
        <v>0.041666666666666664</v>
      </c>
      <c r="F134" s="150">
        <f t="shared" si="2"/>
        <v>-0.04166666667</v>
      </c>
      <c r="G134" s="44"/>
      <c r="H134" s="44"/>
      <c r="I134" s="44"/>
    </row>
    <row r="135" ht="15.0" customHeight="1">
      <c r="B135" s="44"/>
      <c r="C135" s="150"/>
      <c r="D135" s="150"/>
      <c r="E135" s="150">
        <v>0.041666666666666664</v>
      </c>
      <c r="F135" s="150">
        <f t="shared" si="2"/>
        <v>-0.04166666667</v>
      </c>
      <c r="G135" s="44"/>
      <c r="H135" s="44"/>
      <c r="I135" s="44"/>
    </row>
    <row r="136" ht="15.0" customHeight="1">
      <c r="B136" s="44"/>
      <c r="C136" s="150"/>
      <c r="D136" s="150"/>
      <c r="E136" s="150">
        <v>0.041666666666666664</v>
      </c>
      <c r="F136" s="150">
        <f t="shared" si="2"/>
        <v>-0.04166666667</v>
      </c>
      <c r="G136" s="44"/>
      <c r="H136" s="44"/>
      <c r="I136" s="44"/>
    </row>
    <row r="137" ht="15.0" customHeight="1">
      <c r="B137" s="44"/>
      <c r="C137" s="150"/>
      <c r="D137" s="150"/>
      <c r="E137" s="150">
        <v>0.041666666666666664</v>
      </c>
      <c r="F137" s="150">
        <f t="shared" si="2"/>
        <v>-0.04166666667</v>
      </c>
      <c r="G137" s="44"/>
      <c r="H137" s="44"/>
      <c r="I137" s="44"/>
    </row>
    <row r="138" ht="15.0" customHeight="1">
      <c r="B138" s="44"/>
      <c r="C138" s="150"/>
      <c r="D138" s="150"/>
      <c r="E138" s="150">
        <v>0.041666666666666664</v>
      </c>
      <c r="F138" s="150">
        <f t="shared" si="2"/>
        <v>-0.04166666667</v>
      </c>
      <c r="G138" s="44"/>
      <c r="H138" s="44"/>
      <c r="I138" s="44"/>
    </row>
    <row r="139" ht="15.0" customHeight="1">
      <c r="B139" s="44"/>
      <c r="C139" s="150"/>
      <c r="D139" s="150"/>
      <c r="E139" s="150">
        <v>0.041666666666666664</v>
      </c>
      <c r="F139" s="150">
        <f t="shared" si="2"/>
        <v>-0.04166666667</v>
      </c>
      <c r="G139" s="44"/>
      <c r="H139" s="44"/>
      <c r="I139" s="44"/>
    </row>
    <row r="140" ht="15.0" customHeight="1">
      <c r="B140" s="44"/>
      <c r="C140" s="150"/>
      <c r="D140" s="150"/>
      <c r="E140" s="150">
        <v>0.041666666666666664</v>
      </c>
      <c r="F140" s="150">
        <f t="shared" si="2"/>
        <v>-0.04166666667</v>
      </c>
      <c r="G140" s="44"/>
      <c r="H140" s="44"/>
      <c r="I140" s="44"/>
    </row>
    <row r="141" ht="15.0" customHeight="1">
      <c r="B141" s="44"/>
      <c r="C141" s="150"/>
      <c r="D141" s="150"/>
      <c r="E141" s="150">
        <v>0.041666666666666664</v>
      </c>
      <c r="F141" s="150">
        <f t="shared" si="2"/>
        <v>-0.04166666667</v>
      </c>
      <c r="G141" s="44"/>
      <c r="H141" s="44"/>
      <c r="I141" s="44"/>
    </row>
    <row r="142" ht="15.0" customHeight="1">
      <c r="B142" s="44"/>
      <c r="C142" s="150"/>
      <c r="D142" s="150"/>
      <c r="E142" s="150">
        <v>0.041666666666666664</v>
      </c>
      <c r="F142" s="150">
        <f t="shared" si="2"/>
        <v>-0.04166666667</v>
      </c>
      <c r="G142" s="44"/>
      <c r="H142" s="44"/>
      <c r="I142" s="44"/>
    </row>
    <row r="143" ht="15.0" customHeight="1">
      <c r="B143" s="44"/>
      <c r="C143" s="150"/>
      <c r="D143" s="150"/>
      <c r="E143" s="150">
        <v>0.041666666666666664</v>
      </c>
      <c r="F143" s="150">
        <f t="shared" si="2"/>
        <v>-0.04166666667</v>
      </c>
      <c r="G143" s="44"/>
      <c r="H143" s="44"/>
      <c r="I143" s="44"/>
    </row>
    <row r="144" ht="15.0" customHeight="1">
      <c r="B144" s="44"/>
      <c r="C144" s="150"/>
      <c r="D144" s="150"/>
      <c r="E144" s="150">
        <v>0.041666666666666664</v>
      </c>
      <c r="F144" s="150">
        <f t="shared" si="2"/>
        <v>-0.04166666667</v>
      </c>
      <c r="G144" s="44"/>
      <c r="H144" s="44"/>
      <c r="I144" s="44"/>
    </row>
    <row r="145" ht="15.0" customHeight="1">
      <c r="B145" s="44"/>
      <c r="C145" s="150"/>
      <c r="D145" s="150"/>
      <c r="E145" s="150">
        <v>0.041666666666666664</v>
      </c>
      <c r="F145" s="150">
        <f t="shared" si="2"/>
        <v>-0.04166666667</v>
      </c>
      <c r="G145" s="44"/>
      <c r="H145" s="44"/>
      <c r="I145" s="44"/>
    </row>
    <row r="146" ht="15.0" customHeight="1">
      <c r="B146" s="44"/>
      <c r="C146" s="150"/>
      <c r="D146" s="150"/>
      <c r="E146" s="150">
        <v>0.041666666666666664</v>
      </c>
      <c r="F146" s="150">
        <f t="shared" si="2"/>
        <v>-0.04166666667</v>
      </c>
      <c r="G146" s="44"/>
      <c r="H146" s="44"/>
      <c r="I146" s="44"/>
    </row>
    <row r="147" ht="15.0" customHeight="1">
      <c r="B147" s="44"/>
      <c r="C147" s="150"/>
      <c r="D147" s="150"/>
      <c r="E147" s="150">
        <v>0.041666666666666664</v>
      </c>
      <c r="F147" s="150">
        <f t="shared" si="2"/>
        <v>-0.04166666667</v>
      </c>
      <c r="G147" s="44"/>
      <c r="H147" s="44"/>
      <c r="I147" s="44"/>
    </row>
    <row r="148" ht="15.0" customHeight="1">
      <c r="B148" s="44"/>
      <c r="C148" s="150"/>
      <c r="D148" s="150"/>
      <c r="E148" s="150">
        <v>0.041666666666666664</v>
      </c>
      <c r="F148" s="150">
        <f t="shared" si="2"/>
        <v>-0.04166666667</v>
      </c>
      <c r="G148" s="44"/>
      <c r="H148" s="44"/>
      <c r="I148" s="44"/>
    </row>
    <row r="149" ht="15.0" customHeight="1">
      <c r="B149" s="44"/>
      <c r="C149" s="150"/>
      <c r="D149" s="150"/>
      <c r="E149" s="150">
        <v>0.041666666666666664</v>
      </c>
      <c r="F149" s="150">
        <f t="shared" si="2"/>
        <v>-0.04166666667</v>
      </c>
      <c r="G149" s="44"/>
      <c r="H149" s="44"/>
      <c r="I149" s="44"/>
    </row>
    <row r="150" ht="15.0" customHeight="1">
      <c r="B150" s="44"/>
      <c r="C150" s="150"/>
      <c r="D150" s="150"/>
      <c r="E150" s="150">
        <v>0.041666666666666664</v>
      </c>
      <c r="F150" s="150">
        <f t="shared" si="2"/>
        <v>-0.04166666667</v>
      </c>
      <c r="G150" s="44"/>
      <c r="H150" s="44"/>
      <c r="I150" s="44"/>
    </row>
    <row r="151" ht="15.0" customHeight="1">
      <c r="B151" s="44"/>
      <c r="C151" s="150"/>
      <c r="D151" s="150"/>
      <c r="E151" s="150">
        <v>0.041666666666666664</v>
      </c>
      <c r="F151" s="150">
        <f t="shared" si="2"/>
        <v>-0.04166666667</v>
      </c>
      <c r="G151" s="44"/>
      <c r="H151" s="44"/>
      <c r="I151" s="44"/>
    </row>
    <row r="152" ht="15.0" customHeight="1">
      <c r="B152" s="44"/>
      <c r="C152" s="150"/>
      <c r="D152" s="150"/>
      <c r="E152" s="150">
        <v>0.041666666666666664</v>
      </c>
      <c r="F152" s="150">
        <f t="shared" si="2"/>
        <v>-0.04166666667</v>
      </c>
      <c r="G152" s="44"/>
      <c r="H152" s="44"/>
      <c r="I152" s="44"/>
    </row>
    <row r="153" ht="15.0" customHeight="1">
      <c r="B153" s="44"/>
      <c r="C153" s="150"/>
      <c r="D153" s="150"/>
      <c r="E153" s="150">
        <v>0.041666666666666664</v>
      </c>
      <c r="F153" s="150">
        <f t="shared" si="2"/>
        <v>-0.04166666667</v>
      </c>
      <c r="G153" s="44"/>
      <c r="H153" s="44"/>
      <c r="I153" s="44"/>
    </row>
    <row r="154" ht="15.0" customHeight="1">
      <c r="B154" s="44"/>
      <c r="C154" s="150"/>
      <c r="D154" s="150"/>
      <c r="E154" s="150">
        <v>0.041666666666666664</v>
      </c>
      <c r="F154" s="150">
        <f t="shared" si="2"/>
        <v>-0.04166666667</v>
      </c>
      <c r="G154" s="44"/>
      <c r="H154" s="44"/>
      <c r="I154" s="44"/>
    </row>
    <row r="155" ht="15.0" customHeight="1">
      <c r="B155" s="44"/>
      <c r="C155" s="150"/>
      <c r="D155" s="150"/>
      <c r="E155" s="150">
        <v>0.041666666666666664</v>
      </c>
      <c r="F155" s="150">
        <f t="shared" si="2"/>
        <v>-0.04166666667</v>
      </c>
      <c r="G155" s="44"/>
      <c r="H155" s="44"/>
      <c r="I155" s="44"/>
    </row>
    <row r="156" ht="15.0" customHeight="1">
      <c r="B156" s="44"/>
      <c r="C156" s="150"/>
      <c r="D156" s="150"/>
      <c r="E156" s="150">
        <v>0.041666666666666664</v>
      </c>
      <c r="F156" s="150">
        <f t="shared" si="2"/>
        <v>-0.04166666667</v>
      </c>
      <c r="G156" s="44"/>
      <c r="H156" s="44"/>
      <c r="I156" s="44"/>
    </row>
    <row r="157" ht="15.0" customHeight="1">
      <c r="B157" s="44"/>
      <c r="C157" s="150"/>
      <c r="D157" s="150"/>
      <c r="E157" s="150">
        <v>0.041666666666666664</v>
      </c>
      <c r="F157" s="150">
        <f t="shared" si="2"/>
        <v>-0.04166666667</v>
      </c>
      <c r="G157" s="44"/>
      <c r="H157" s="44"/>
      <c r="I157" s="44"/>
    </row>
    <row r="158" ht="15.0" customHeight="1">
      <c r="B158" s="44"/>
      <c r="C158" s="150"/>
      <c r="D158" s="150"/>
      <c r="E158" s="150">
        <v>0.041666666666666664</v>
      </c>
      <c r="F158" s="150">
        <f t="shared" si="2"/>
        <v>-0.04166666667</v>
      </c>
      <c r="G158" s="44"/>
      <c r="H158" s="44"/>
      <c r="I158" s="44"/>
    </row>
    <row r="159" ht="15.0" customHeight="1">
      <c r="B159" s="44"/>
      <c r="C159" s="150"/>
      <c r="D159" s="150"/>
      <c r="E159" s="150">
        <v>0.041666666666666664</v>
      </c>
      <c r="F159" s="150">
        <f t="shared" si="2"/>
        <v>-0.04166666667</v>
      </c>
      <c r="G159" s="44"/>
      <c r="H159" s="44"/>
      <c r="I159" s="44"/>
    </row>
    <row r="160" ht="15.0" customHeight="1">
      <c r="B160" s="44"/>
      <c r="C160" s="150"/>
      <c r="D160" s="150"/>
      <c r="E160" s="150">
        <v>0.041666666666666664</v>
      </c>
      <c r="F160" s="150">
        <f t="shared" si="2"/>
        <v>-0.04166666667</v>
      </c>
      <c r="G160" s="44"/>
      <c r="H160" s="44"/>
      <c r="I160" s="44"/>
    </row>
    <row r="161" ht="15.0" customHeight="1">
      <c r="B161" s="44"/>
      <c r="C161" s="150"/>
      <c r="D161" s="150"/>
      <c r="E161" s="150">
        <v>0.041666666666666664</v>
      </c>
      <c r="F161" s="150">
        <f t="shared" si="2"/>
        <v>-0.04166666667</v>
      </c>
      <c r="G161" s="44"/>
      <c r="H161" s="44"/>
      <c r="I161" s="44"/>
    </row>
    <row r="162" ht="15.0" customHeight="1">
      <c r="B162" s="44"/>
      <c r="C162" s="150"/>
      <c r="D162" s="150"/>
      <c r="E162" s="150">
        <v>0.041666666666666664</v>
      </c>
      <c r="F162" s="150">
        <f t="shared" si="2"/>
        <v>-0.04166666667</v>
      </c>
      <c r="G162" s="44"/>
      <c r="H162" s="44"/>
      <c r="I162" s="44"/>
    </row>
    <row r="163" ht="15.0" customHeight="1">
      <c r="B163" s="44"/>
      <c r="C163" s="150"/>
      <c r="D163" s="150"/>
      <c r="E163" s="150">
        <v>0.041666666666666664</v>
      </c>
      <c r="F163" s="150">
        <f t="shared" si="2"/>
        <v>-0.04166666667</v>
      </c>
      <c r="G163" s="44"/>
      <c r="H163" s="44"/>
      <c r="I163" s="44"/>
    </row>
    <row r="164" ht="15.0" customHeight="1">
      <c r="B164" s="44"/>
      <c r="C164" s="150"/>
      <c r="D164" s="150"/>
      <c r="E164" s="150">
        <v>0.041666666666666664</v>
      </c>
      <c r="F164" s="150">
        <f t="shared" si="2"/>
        <v>-0.04166666667</v>
      </c>
      <c r="G164" s="44"/>
      <c r="H164" s="44"/>
      <c r="I164" s="44"/>
    </row>
    <row r="165" ht="15.0" customHeight="1">
      <c r="B165" s="44"/>
      <c r="C165" s="150"/>
      <c r="D165" s="150"/>
      <c r="E165" s="150">
        <v>0.041666666666666664</v>
      </c>
      <c r="F165" s="150">
        <f t="shared" si="2"/>
        <v>-0.04166666667</v>
      </c>
      <c r="G165" s="44"/>
      <c r="H165" s="44"/>
      <c r="I165" s="44"/>
    </row>
    <row r="166" ht="15.0" customHeight="1">
      <c r="B166" s="44"/>
      <c r="C166" s="150"/>
      <c r="D166" s="150"/>
      <c r="E166" s="150">
        <v>0.041666666666666664</v>
      </c>
      <c r="F166" s="150">
        <f t="shared" si="2"/>
        <v>-0.04166666667</v>
      </c>
      <c r="G166" s="44"/>
      <c r="H166" s="44"/>
      <c r="I166" s="44"/>
    </row>
    <row r="167" ht="15.0" customHeight="1">
      <c r="B167" s="44"/>
      <c r="C167" s="150"/>
      <c r="D167" s="150"/>
      <c r="E167" s="150">
        <v>0.041666666666666664</v>
      </c>
      <c r="F167" s="150">
        <f t="shared" si="2"/>
        <v>-0.04166666667</v>
      </c>
      <c r="G167" s="44"/>
      <c r="H167" s="44"/>
      <c r="I167" s="44"/>
    </row>
    <row r="168" ht="15.0" customHeight="1">
      <c r="B168" s="44"/>
      <c r="C168" s="150"/>
      <c r="D168" s="150"/>
      <c r="E168" s="150">
        <v>0.041666666666666664</v>
      </c>
      <c r="F168" s="150">
        <f t="shared" si="2"/>
        <v>-0.04166666667</v>
      </c>
      <c r="G168" s="44"/>
      <c r="H168" s="44"/>
      <c r="I168" s="44"/>
    </row>
    <row r="169" ht="15.0" customHeight="1">
      <c r="B169" s="44"/>
      <c r="C169" s="150"/>
      <c r="D169" s="150"/>
      <c r="E169" s="150">
        <v>0.041666666666666664</v>
      </c>
      <c r="F169" s="150">
        <f t="shared" si="2"/>
        <v>-0.04166666667</v>
      </c>
      <c r="G169" s="44"/>
      <c r="H169" s="44"/>
      <c r="I169" s="44"/>
    </row>
    <row r="170" ht="15.0" customHeight="1">
      <c r="B170" s="44"/>
      <c r="C170" s="150"/>
      <c r="D170" s="150"/>
      <c r="E170" s="150">
        <v>0.041666666666666664</v>
      </c>
      <c r="F170" s="150">
        <f t="shared" si="2"/>
        <v>-0.04166666667</v>
      </c>
      <c r="G170" s="44"/>
      <c r="H170" s="44"/>
      <c r="I170" s="44"/>
    </row>
    <row r="171" ht="15.0" customHeight="1">
      <c r="B171" s="44"/>
      <c r="C171" s="150"/>
      <c r="D171" s="150"/>
      <c r="E171" s="150">
        <v>0.041666666666666664</v>
      </c>
      <c r="F171" s="150">
        <f t="shared" si="2"/>
        <v>-0.04166666667</v>
      </c>
      <c r="G171" s="44"/>
      <c r="H171" s="44"/>
      <c r="I171" s="44"/>
    </row>
    <row r="172" ht="15.0" customHeight="1">
      <c r="B172" s="44"/>
      <c r="C172" s="150"/>
      <c r="D172" s="150"/>
      <c r="E172" s="150">
        <v>0.041666666666666664</v>
      </c>
      <c r="F172" s="150">
        <f t="shared" si="2"/>
        <v>-0.04166666667</v>
      </c>
      <c r="G172" s="44"/>
      <c r="H172" s="44"/>
      <c r="I172" s="44"/>
    </row>
    <row r="173" ht="15.0" customHeight="1">
      <c r="B173" s="44"/>
      <c r="C173" s="150"/>
      <c r="D173" s="150"/>
      <c r="E173" s="150">
        <v>0.041666666666666664</v>
      </c>
      <c r="F173" s="150">
        <f t="shared" si="2"/>
        <v>-0.04166666667</v>
      </c>
      <c r="G173" s="44"/>
      <c r="H173" s="44"/>
      <c r="I173" s="44"/>
    </row>
    <row r="174" ht="15.0" customHeight="1">
      <c r="B174" s="44"/>
      <c r="C174" s="150"/>
      <c r="D174" s="150"/>
      <c r="E174" s="150">
        <v>0.041666666666666664</v>
      </c>
      <c r="F174" s="150">
        <f t="shared" si="2"/>
        <v>-0.04166666667</v>
      </c>
      <c r="G174" s="44"/>
      <c r="H174" s="44"/>
      <c r="I174" s="44"/>
    </row>
    <row r="175" ht="15.0" customHeight="1">
      <c r="B175" s="44"/>
      <c r="C175" s="150"/>
      <c r="D175" s="150"/>
      <c r="E175" s="150">
        <v>0.041666666666666664</v>
      </c>
      <c r="F175" s="150">
        <f t="shared" si="2"/>
        <v>-0.04166666667</v>
      </c>
      <c r="G175" s="44"/>
      <c r="H175" s="44"/>
      <c r="I175" s="44"/>
    </row>
    <row r="176" ht="15.0" customHeight="1">
      <c r="B176" s="44"/>
      <c r="C176" s="150"/>
      <c r="D176" s="150"/>
      <c r="E176" s="150">
        <v>0.041666666666666664</v>
      </c>
      <c r="F176" s="150">
        <f t="shared" si="2"/>
        <v>-0.04166666667</v>
      </c>
      <c r="G176" s="44"/>
      <c r="H176" s="44"/>
      <c r="I176" s="44"/>
    </row>
    <row r="177" ht="15.0" customHeight="1">
      <c r="B177" s="44"/>
      <c r="C177" s="150"/>
      <c r="D177" s="150"/>
      <c r="E177" s="150">
        <v>0.041666666666666664</v>
      </c>
      <c r="F177" s="150">
        <f t="shared" si="2"/>
        <v>-0.04166666667</v>
      </c>
      <c r="G177" s="44"/>
      <c r="H177" s="44"/>
      <c r="I177" s="44"/>
    </row>
    <row r="178" ht="15.0" customHeight="1">
      <c r="B178" s="44"/>
      <c r="C178" s="150"/>
      <c r="D178" s="150"/>
      <c r="E178" s="150">
        <v>0.041666666666666664</v>
      </c>
      <c r="F178" s="150">
        <f t="shared" si="2"/>
        <v>-0.04166666667</v>
      </c>
      <c r="G178" s="44"/>
      <c r="H178" s="44"/>
      <c r="I178" s="44"/>
    </row>
    <row r="179" ht="15.0" customHeight="1">
      <c r="B179" s="44"/>
      <c r="C179" s="150"/>
      <c r="D179" s="150"/>
      <c r="E179" s="150">
        <v>0.041666666666666664</v>
      </c>
      <c r="F179" s="150">
        <f t="shared" si="2"/>
        <v>-0.04166666667</v>
      </c>
      <c r="G179" s="44"/>
      <c r="H179" s="44"/>
      <c r="I179" s="44"/>
    </row>
    <row r="180" ht="15.0" customHeight="1">
      <c r="B180" s="44"/>
      <c r="C180" s="150"/>
      <c r="D180" s="150"/>
      <c r="E180" s="150">
        <v>0.041666666666666664</v>
      </c>
      <c r="F180" s="150">
        <f t="shared" si="2"/>
        <v>-0.04166666667</v>
      </c>
      <c r="G180" s="44"/>
      <c r="H180" s="44"/>
      <c r="I180" s="44"/>
    </row>
    <row r="181" ht="15.0" customHeight="1">
      <c r="B181" s="44"/>
      <c r="C181" s="150"/>
      <c r="D181" s="150"/>
      <c r="E181" s="150">
        <v>0.041666666666666664</v>
      </c>
      <c r="F181" s="150">
        <f t="shared" si="2"/>
        <v>-0.04166666667</v>
      </c>
      <c r="G181" s="44"/>
      <c r="H181" s="44"/>
      <c r="I181" s="44"/>
    </row>
    <row r="182" ht="15.0" customHeight="1">
      <c r="B182" s="44"/>
      <c r="C182" s="150"/>
      <c r="D182" s="150"/>
      <c r="E182" s="150">
        <v>0.041666666666666664</v>
      </c>
      <c r="F182" s="150">
        <f t="shared" si="2"/>
        <v>-0.04166666667</v>
      </c>
      <c r="G182" s="44"/>
      <c r="H182" s="44"/>
      <c r="I182" s="44"/>
    </row>
    <row r="183" ht="15.0" customHeight="1">
      <c r="B183" s="44"/>
      <c r="C183" s="150"/>
      <c r="D183" s="150"/>
      <c r="E183" s="150">
        <v>0.041666666666666664</v>
      </c>
      <c r="F183" s="150">
        <f t="shared" si="2"/>
        <v>-0.04166666667</v>
      </c>
      <c r="G183" s="44"/>
      <c r="H183" s="44"/>
      <c r="I183" s="44"/>
    </row>
    <row r="184" ht="15.0" customHeight="1">
      <c r="B184" s="44"/>
      <c r="C184" s="150"/>
      <c r="D184" s="150"/>
      <c r="E184" s="150">
        <v>0.041666666666666664</v>
      </c>
      <c r="F184" s="150">
        <f t="shared" si="2"/>
        <v>-0.04166666667</v>
      </c>
      <c r="G184" s="44"/>
      <c r="H184" s="44"/>
      <c r="I184" s="44"/>
    </row>
    <row r="185" ht="15.0" customHeight="1">
      <c r="B185" s="44"/>
      <c r="C185" s="150"/>
      <c r="D185" s="150"/>
      <c r="E185" s="150">
        <v>0.041666666666666664</v>
      </c>
      <c r="F185" s="150">
        <f t="shared" si="2"/>
        <v>-0.04166666667</v>
      </c>
      <c r="G185" s="44"/>
      <c r="H185" s="44"/>
      <c r="I185" s="44"/>
    </row>
    <row r="186" ht="15.0" customHeight="1">
      <c r="B186" s="44"/>
      <c r="C186" s="150"/>
      <c r="D186" s="150"/>
      <c r="E186" s="150">
        <v>0.041666666666666664</v>
      </c>
      <c r="F186" s="150">
        <f t="shared" si="2"/>
        <v>-0.04166666667</v>
      </c>
      <c r="G186" s="44"/>
      <c r="H186" s="44"/>
      <c r="I186" s="44"/>
    </row>
    <row r="187" ht="15.0" customHeight="1">
      <c r="B187" s="44"/>
      <c r="C187" s="150"/>
      <c r="D187" s="150"/>
      <c r="E187" s="150">
        <v>0.041666666666666664</v>
      </c>
      <c r="F187" s="150">
        <f t="shared" si="2"/>
        <v>-0.04166666667</v>
      </c>
      <c r="G187" s="44"/>
      <c r="H187" s="44"/>
      <c r="I187" s="44"/>
    </row>
    <row r="188" ht="15.0" customHeight="1">
      <c r="B188" s="44"/>
      <c r="C188" s="150"/>
      <c r="D188" s="150"/>
      <c r="E188" s="150">
        <v>0.041666666666666664</v>
      </c>
      <c r="F188" s="150">
        <f t="shared" si="2"/>
        <v>-0.04166666667</v>
      </c>
      <c r="G188" s="44"/>
      <c r="H188" s="44"/>
      <c r="I188" s="44"/>
    </row>
    <row r="189" ht="15.0" customHeight="1">
      <c r="B189" s="44"/>
      <c r="C189" s="150"/>
      <c r="D189" s="150"/>
      <c r="E189" s="150">
        <v>0.041666666666666664</v>
      </c>
      <c r="F189" s="150">
        <f t="shared" si="2"/>
        <v>-0.04166666667</v>
      </c>
      <c r="G189" s="44"/>
      <c r="H189" s="44"/>
      <c r="I189" s="44"/>
    </row>
    <row r="190" ht="15.0" customHeight="1">
      <c r="B190" s="44"/>
      <c r="C190" s="150"/>
      <c r="D190" s="150"/>
      <c r="E190" s="150">
        <v>0.041666666666666664</v>
      </c>
      <c r="F190" s="150">
        <f t="shared" si="2"/>
        <v>-0.04166666667</v>
      </c>
      <c r="G190" s="44"/>
      <c r="H190" s="44"/>
      <c r="I190" s="44"/>
    </row>
    <row r="191" ht="15.0" customHeight="1">
      <c r="B191" s="44"/>
      <c r="C191" s="150"/>
      <c r="D191" s="150"/>
      <c r="E191" s="150">
        <v>0.041666666666666664</v>
      </c>
      <c r="F191" s="150">
        <f t="shared" si="2"/>
        <v>-0.04166666667</v>
      </c>
      <c r="G191" s="44"/>
      <c r="H191" s="44"/>
      <c r="I191" s="44"/>
    </row>
    <row r="192" ht="15.0" customHeight="1">
      <c r="B192" s="44"/>
      <c r="C192" s="150"/>
      <c r="D192" s="150"/>
      <c r="E192" s="150">
        <v>0.041666666666666664</v>
      </c>
      <c r="F192" s="150">
        <f t="shared" si="2"/>
        <v>-0.04166666667</v>
      </c>
      <c r="G192" s="44"/>
      <c r="H192" s="44"/>
      <c r="I192" s="44"/>
    </row>
    <row r="193" ht="15.0" customHeight="1">
      <c r="B193" s="44"/>
      <c r="C193" s="150"/>
      <c r="D193" s="150"/>
      <c r="E193" s="150">
        <v>0.041666666666666664</v>
      </c>
      <c r="F193" s="150">
        <f t="shared" si="2"/>
        <v>-0.04166666667</v>
      </c>
      <c r="G193" s="44"/>
      <c r="H193" s="44"/>
      <c r="I193" s="44"/>
    </row>
    <row r="194" ht="15.0" customHeight="1">
      <c r="B194" s="44"/>
      <c r="C194" s="150"/>
      <c r="D194" s="150"/>
      <c r="E194" s="150">
        <v>0.041666666666666664</v>
      </c>
      <c r="F194" s="150">
        <f t="shared" si="2"/>
        <v>-0.04166666667</v>
      </c>
      <c r="G194" s="44"/>
      <c r="H194" s="44"/>
      <c r="I194" s="44"/>
    </row>
    <row r="195" ht="15.0" customHeight="1">
      <c r="B195" s="44"/>
      <c r="C195" s="150"/>
      <c r="D195" s="150"/>
      <c r="E195" s="150">
        <v>0.041666666666666664</v>
      </c>
      <c r="F195" s="150">
        <f t="shared" si="2"/>
        <v>-0.04166666667</v>
      </c>
      <c r="G195" s="44"/>
      <c r="H195" s="44"/>
      <c r="I195" s="44"/>
    </row>
    <row r="196" ht="15.0" customHeight="1">
      <c r="B196" s="44"/>
      <c r="C196" s="150"/>
      <c r="D196" s="150"/>
      <c r="E196" s="150">
        <v>0.041666666666666664</v>
      </c>
      <c r="F196" s="150">
        <f t="shared" si="2"/>
        <v>-0.04166666667</v>
      </c>
      <c r="G196" s="44"/>
      <c r="H196" s="44"/>
      <c r="I196" s="44"/>
    </row>
    <row r="197" ht="15.0" customHeight="1">
      <c r="B197" s="44"/>
      <c r="C197" s="150"/>
      <c r="D197" s="150"/>
      <c r="E197" s="150">
        <v>0.041666666666666664</v>
      </c>
      <c r="F197" s="150">
        <f t="shared" si="2"/>
        <v>-0.04166666667</v>
      </c>
      <c r="G197" s="44"/>
      <c r="H197" s="44"/>
      <c r="I197" s="44"/>
    </row>
    <row r="198" ht="15.0" customHeight="1">
      <c r="B198" s="44"/>
      <c r="C198" s="150"/>
      <c r="D198" s="150"/>
      <c r="E198" s="150">
        <v>0.041666666666666664</v>
      </c>
      <c r="F198" s="150">
        <f t="shared" si="2"/>
        <v>-0.04166666667</v>
      </c>
      <c r="G198" s="44"/>
      <c r="H198" s="44"/>
      <c r="I198" s="44"/>
    </row>
    <row r="199" ht="15.0" customHeight="1">
      <c r="B199" s="44"/>
      <c r="C199" s="150"/>
      <c r="D199" s="150"/>
      <c r="E199" s="150">
        <v>0.041666666666666664</v>
      </c>
      <c r="F199" s="150">
        <f t="shared" si="2"/>
        <v>-0.04166666667</v>
      </c>
      <c r="G199" s="44"/>
      <c r="H199" s="44"/>
      <c r="I199" s="44"/>
    </row>
    <row r="200" ht="15.0" customHeight="1">
      <c r="B200" s="44"/>
      <c r="C200" s="150"/>
      <c r="D200" s="150"/>
      <c r="E200" s="150">
        <v>0.041666666666666664</v>
      </c>
      <c r="F200" s="150">
        <f t="shared" si="2"/>
        <v>-0.04166666667</v>
      </c>
      <c r="G200" s="44"/>
      <c r="H200" s="44"/>
      <c r="I200" s="44"/>
    </row>
    <row r="201" ht="15.0" customHeight="1">
      <c r="B201" s="44"/>
      <c r="C201" s="150"/>
      <c r="D201" s="150"/>
      <c r="E201" s="150">
        <v>0.041666666666666664</v>
      </c>
      <c r="F201" s="150">
        <f t="shared" si="2"/>
        <v>-0.04166666667</v>
      </c>
      <c r="G201" s="44"/>
      <c r="H201" s="44"/>
      <c r="I201" s="44"/>
    </row>
    <row r="202" ht="15.0" customHeight="1">
      <c r="B202" s="44"/>
      <c r="C202" s="150"/>
      <c r="D202" s="150"/>
      <c r="E202" s="150">
        <v>0.041666666666666664</v>
      </c>
      <c r="F202" s="150">
        <f t="shared" si="2"/>
        <v>-0.04166666667</v>
      </c>
      <c r="G202" s="44"/>
      <c r="H202" s="44"/>
      <c r="I202" s="44"/>
    </row>
    <row r="203" ht="15.0" customHeight="1">
      <c r="B203" s="44"/>
      <c r="C203" s="150"/>
      <c r="D203" s="150"/>
      <c r="E203" s="150">
        <v>0.041666666666666664</v>
      </c>
      <c r="F203" s="150">
        <f t="shared" si="2"/>
        <v>-0.04166666667</v>
      </c>
      <c r="G203" s="44"/>
      <c r="H203" s="44"/>
      <c r="I203" s="44"/>
    </row>
    <row r="204" ht="15.0" customHeight="1">
      <c r="B204" s="44"/>
      <c r="C204" s="150"/>
      <c r="D204" s="150"/>
      <c r="E204" s="150">
        <v>0.041666666666666664</v>
      </c>
      <c r="F204" s="150">
        <f t="shared" si="2"/>
        <v>-0.04166666667</v>
      </c>
      <c r="G204" s="44"/>
      <c r="H204" s="44"/>
      <c r="I204" s="44"/>
    </row>
    <row r="205" ht="15.0" customHeight="1">
      <c r="B205" s="44"/>
      <c r="C205" s="150"/>
      <c r="D205" s="150"/>
      <c r="E205" s="150">
        <v>0.041666666666666664</v>
      </c>
      <c r="F205" s="150">
        <f t="shared" si="2"/>
        <v>-0.04166666667</v>
      </c>
      <c r="G205" s="44"/>
      <c r="H205" s="44"/>
      <c r="I205" s="44"/>
    </row>
    <row r="206" ht="15.0" customHeight="1">
      <c r="B206" s="44"/>
      <c r="C206" s="150"/>
      <c r="D206" s="150"/>
      <c r="E206" s="150">
        <v>0.041666666666666664</v>
      </c>
      <c r="F206" s="150">
        <f t="shared" si="2"/>
        <v>-0.04166666667</v>
      </c>
      <c r="G206" s="44"/>
      <c r="H206" s="44"/>
      <c r="I206" s="44"/>
    </row>
    <row r="207" ht="15.0" customHeight="1">
      <c r="B207" s="44"/>
      <c r="C207" s="150"/>
      <c r="D207" s="150"/>
      <c r="E207" s="150">
        <v>0.041666666666666664</v>
      </c>
      <c r="F207" s="150">
        <f t="shared" si="2"/>
        <v>-0.04166666667</v>
      </c>
      <c r="G207" s="44"/>
      <c r="H207" s="44"/>
      <c r="I207" s="44"/>
    </row>
    <row r="208" ht="15.0" customHeight="1">
      <c r="B208" s="44"/>
      <c r="C208" s="150"/>
      <c r="D208" s="150"/>
      <c r="E208" s="150">
        <v>0.041666666666666664</v>
      </c>
      <c r="F208" s="150">
        <f t="shared" si="2"/>
        <v>-0.04166666667</v>
      </c>
      <c r="G208" s="44"/>
      <c r="H208" s="44"/>
      <c r="I208" s="44"/>
    </row>
    <row r="209" ht="15.0" customHeight="1">
      <c r="B209" s="44"/>
      <c r="C209" s="150"/>
      <c r="D209" s="150"/>
      <c r="E209" s="150">
        <v>0.041666666666666664</v>
      </c>
      <c r="F209" s="150">
        <f t="shared" si="2"/>
        <v>-0.04166666667</v>
      </c>
      <c r="G209" s="44"/>
      <c r="H209" s="44"/>
      <c r="I209" s="44"/>
    </row>
    <row r="210" ht="15.0" customHeight="1">
      <c r="B210" s="44"/>
      <c r="C210" s="150"/>
      <c r="D210" s="150"/>
      <c r="E210" s="150">
        <v>0.041666666666666664</v>
      </c>
      <c r="F210" s="150">
        <f t="shared" si="2"/>
        <v>-0.04166666667</v>
      </c>
      <c r="G210" s="44"/>
      <c r="H210" s="44"/>
      <c r="I210" s="44"/>
    </row>
    <row r="211" ht="15.0" customHeight="1">
      <c r="B211" s="44"/>
      <c r="C211" s="150"/>
      <c r="D211" s="150"/>
      <c r="E211" s="150">
        <v>0.041666666666666664</v>
      </c>
      <c r="F211" s="150">
        <f t="shared" si="2"/>
        <v>-0.04166666667</v>
      </c>
      <c r="G211" s="44"/>
      <c r="H211" s="44"/>
      <c r="I211" s="44"/>
    </row>
    <row r="212" ht="15.0" customHeight="1">
      <c r="B212" s="44"/>
      <c r="C212" s="150"/>
      <c r="D212" s="150"/>
      <c r="E212" s="150">
        <v>0.041666666666666664</v>
      </c>
      <c r="F212" s="150">
        <f t="shared" si="2"/>
        <v>-0.04166666667</v>
      </c>
      <c r="G212" s="44"/>
      <c r="H212" s="44"/>
      <c r="I212" s="44"/>
    </row>
    <row r="213" ht="15.0" customHeight="1">
      <c r="B213" s="44"/>
      <c r="C213" s="150"/>
      <c r="D213" s="150"/>
      <c r="E213" s="150">
        <v>0.041666666666666664</v>
      </c>
      <c r="F213" s="150">
        <f t="shared" si="2"/>
        <v>-0.04166666667</v>
      </c>
      <c r="G213" s="44"/>
      <c r="H213" s="44"/>
      <c r="I213" s="44"/>
    </row>
    <row r="214" ht="15.0" customHeight="1">
      <c r="B214" s="44"/>
      <c r="C214" s="150"/>
      <c r="D214" s="150"/>
      <c r="E214" s="150">
        <v>0.041666666666666664</v>
      </c>
      <c r="F214" s="150">
        <f t="shared" si="2"/>
        <v>-0.04166666667</v>
      </c>
      <c r="G214" s="44"/>
      <c r="H214" s="44"/>
      <c r="I214" s="44"/>
    </row>
    <row r="215" ht="15.0" customHeight="1">
      <c r="B215" s="44"/>
      <c r="C215" s="150"/>
      <c r="D215" s="150"/>
      <c r="E215" s="150">
        <v>0.041666666666666664</v>
      </c>
      <c r="F215" s="150">
        <f t="shared" si="2"/>
        <v>-0.04166666667</v>
      </c>
      <c r="G215" s="44"/>
      <c r="H215" s="44"/>
      <c r="I215" s="44"/>
    </row>
    <row r="216" ht="15.0" customHeight="1">
      <c r="B216" s="44"/>
      <c r="C216" s="150"/>
      <c r="D216" s="150"/>
      <c r="E216" s="150">
        <v>0.041666666666666664</v>
      </c>
      <c r="F216" s="150">
        <f t="shared" si="2"/>
        <v>-0.04166666667</v>
      </c>
      <c r="G216" s="44"/>
      <c r="H216" s="44"/>
      <c r="I216" s="44"/>
    </row>
    <row r="217" ht="15.0" customHeight="1">
      <c r="B217" s="44"/>
      <c r="C217" s="150"/>
      <c r="D217" s="150"/>
      <c r="E217" s="150">
        <v>0.041666666666666664</v>
      </c>
      <c r="F217" s="150">
        <f t="shared" si="2"/>
        <v>-0.04166666667</v>
      </c>
      <c r="G217" s="44"/>
      <c r="H217" s="44"/>
      <c r="I217" s="44"/>
    </row>
    <row r="218" ht="15.0" customHeight="1">
      <c r="B218" s="44"/>
      <c r="C218" s="150"/>
      <c r="D218" s="150"/>
      <c r="E218" s="150">
        <v>0.041666666666666664</v>
      </c>
      <c r="F218" s="150">
        <f t="shared" si="2"/>
        <v>-0.04166666667</v>
      </c>
      <c r="G218" s="44"/>
      <c r="H218" s="44"/>
      <c r="I218" s="44"/>
    </row>
    <row r="219" ht="15.0" customHeight="1">
      <c r="B219" s="44"/>
      <c r="C219" s="150"/>
      <c r="D219" s="150"/>
      <c r="E219" s="150">
        <v>0.041666666666666664</v>
      </c>
      <c r="F219" s="150">
        <f t="shared" si="2"/>
        <v>-0.04166666667</v>
      </c>
      <c r="G219" s="44"/>
      <c r="H219" s="44"/>
      <c r="I219" s="44"/>
    </row>
    <row r="220" ht="15.0" customHeight="1">
      <c r="B220" s="44"/>
      <c r="C220" s="150"/>
      <c r="D220" s="150"/>
      <c r="E220" s="150">
        <v>0.041666666666666664</v>
      </c>
      <c r="F220" s="150">
        <f t="shared" si="2"/>
        <v>-0.04166666667</v>
      </c>
      <c r="G220" s="44"/>
      <c r="H220" s="44"/>
      <c r="I220" s="44"/>
    </row>
    <row r="221" ht="15.0" customHeight="1">
      <c r="B221" s="44"/>
      <c r="C221" s="150"/>
      <c r="D221" s="150"/>
      <c r="E221" s="150">
        <v>0.041666666666666664</v>
      </c>
      <c r="F221" s="150">
        <f t="shared" si="2"/>
        <v>-0.04166666667</v>
      </c>
      <c r="G221" s="44"/>
      <c r="H221" s="44"/>
      <c r="I221" s="44"/>
    </row>
    <row r="222" ht="15.0" customHeight="1">
      <c r="B222" s="44"/>
      <c r="C222" s="150"/>
      <c r="D222" s="150"/>
      <c r="E222" s="150">
        <v>0.041666666666666664</v>
      </c>
      <c r="F222" s="150">
        <f t="shared" si="2"/>
        <v>-0.04166666667</v>
      </c>
      <c r="G222" s="44"/>
      <c r="H222" s="44"/>
      <c r="I222" s="44"/>
    </row>
    <row r="223" ht="15.0" customHeight="1">
      <c r="B223" s="44"/>
      <c r="C223" s="150"/>
      <c r="D223" s="150"/>
      <c r="E223" s="150">
        <v>0.041666666666666664</v>
      </c>
      <c r="F223" s="150">
        <f t="shared" si="2"/>
        <v>-0.04166666667</v>
      </c>
      <c r="G223" s="44"/>
      <c r="H223" s="44"/>
      <c r="I223" s="44"/>
    </row>
    <row r="224" ht="15.0" customHeight="1">
      <c r="B224" s="44"/>
      <c r="C224" s="150"/>
      <c r="D224" s="150"/>
      <c r="E224" s="150">
        <v>0.041666666666666664</v>
      </c>
      <c r="F224" s="150">
        <f t="shared" si="2"/>
        <v>-0.04166666667</v>
      </c>
      <c r="G224" s="44"/>
      <c r="H224" s="44"/>
      <c r="I224" s="44"/>
    </row>
    <row r="225" ht="15.0" customHeight="1">
      <c r="B225" s="44"/>
      <c r="C225" s="150"/>
      <c r="D225" s="150"/>
      <c r="E225" s="150">
        <v>0.041666666666666664</v>
      </c>
      <c r="F225" s="150">
        <f t="shared" si="2"/>
        <v>-0.04166666667</v>
      </c>
      <c r="G225" s="44"/>
      <c r="H225" s="44"/>
      <c r="I225" s="44"/>
    </row>
    <row r="226" ht="15.0" customHeight="1">
      <c r="B226" s="44"/>
      <c r="C226" s="150"/>
      <c r="D226" s="150"/>
      <c r="E226" s="150">
        <v>0.041666666666666664</v>
      </c>
      <c r="F226" s="150">
        <f t="shared" si="2"/>
        <v>-0.04166666667</v>
      </c>
      <c r="G226" s="44"/>
      <c r="H226" s="44"/>
      <c r="I226" s="44"/>
    </row>
    <row r="227" ht="15.0" customHeight="1">
      <c r="B227" s="44"/>
      <c r="C227" s="150"/>
      <c r="D227" s="150"/>
      <c r="E227" s="150">
        <v>0.041666666666666664</v>
      </c>
      <c r="F227" s="150">
        <f t="shared" si="2"/>
        <v>-0.04166666667</v>
      </c>
      <c r="G227" s="44"/>
      <c r="H227" s="44"/>
      <c r="I227" s="44"/>
    </row>
    <row r="228" ht="15.0" customHeight="1">
      <c r="B228" s="44"/>
      <c r="C228" s="150"/>
      <c r="D228" s="150"/>
      <c r="E228" s="150">
        <v>0.041666666666666664</v>
      </c>
      <c r="F228" s="150">
        <f t="shared" si="2"/>
        <v>-0.04166666667</v>
      </c>
      <c r="G228" s="44"/>
      <c r="H228" s="44"/>
      <c r="I228" s="44"/>
    </row>
    <row r="229" ht="15.0" customHeight="1">
      <c r="B229" s="44"/>
      <c r="C229" s="150"/>
      <c r="D229" s="150"/>
      <c r="E229" s="150">
        <v>0.041666666666666664</v>
      </c>
      <c r="F229" s="150">
        <f t="shared" si="2"/>
        <v>-0.04166666667</v>
      </c>
      <c r="G229" s="44"/>
      <c r="H229" s="44"/>
      <c r="I229" s="44"/>
    </row>
    <row r="230" ht="15.0" customHeight="1">
      <c r="B230" s="44"/>
      <c r="C230" s="150"/>
      <c r="D230" s="150"/>
      <c r="E230" s="150">
        <v>0.041666666666666664</v>
      </c>
      <c r="F230" s="150">
        <f t="shared" si="2"/>
        <v>-0.04166666667</v>
      </c>
      <c r="G230" s="44"/>
      <c r="H230" s="44"/>
      <c r="I230" s="44"/>
    </row>
    <row r="231" ht="15.0" customHeight="1">
      <c r="B231" s="44"/>
      <c r="C231" s="150"/>
      <c r="D231" s="150"/>
      <c r="E231" s="150">
        <v>0.041666666666666664</v>
      </c>
      <c r="F231" s="150">
        <f t="shared" si="2"/>
        <v>-0.04166666667</v>
      </c>
      <c r="G231" s="44"/>
      <c r="H231" s="44"/>
      <c r="I231" s="44"/>
    </row>
    <row r="232" ht="15.0" customHeight="1">
      <c r="B232" s="44"/>
      <c r="C232" s="150"/>
      <c r="D232" s="150"/>
      <c r="E232" s="150">
        <v>0.041666666666666664</v>
      </c>
      <c r="F232" s="150">
        <f t="shared" si="2"/>
        <v>-0.04166666667</v>
      </c>
      <c r="G232" s="44"/>
      <c r="H232" s="44"/>
      <c r="I232" s="44"/>
    </row>
    <row r="233" ht="15.0" customHeight="1">
      <c r="B233" s="44"/>
      <c r="C233" s="150"/>
      <c r="D233" s="150"/>
      <c r="E233" s="150">
        <v>0.041666666666666664</v>
      </c>
      <c r="F233" s="150">
        <f t="shared" si="2"/>
        <v>-0.04166666667</v>
      </c>
      <c r="G233" s="44"/>
      <c r="H233" s="44"/>
      <c r="I233" s="44"/>
    </row>
    <row r="234" ht="15.0" customHeight="1">
      <c r="B234" s="44"/>
      <c r="C234" s="150"/>
      <c r="D234" s="150"/>
      <c r="E234" s="150">
        <v>0.041666666666666664</v>
      </c>
      <c r="F234" s="150">
        <f t="shared" si="2"/>
        <v>-0.04166666667</v>
      </c>
      <c r="G234" s="44"/>
      <c r="H234" s="44"/>
      <c r="I234" s="44"/>
    </row>
    <row r="235" ht="15.0" customHeight="1">
      <c r="B235" s="44"/>
      <c r="C235" s="150"/>
      <c r="D235" s="150"/>
      <c r="E235" s="150"/>
      <c r="F235" s="150">
        <f t="shared" si="2"/>
        <v>0</v>
      </c>
      <c r="G235" s="44"/>
      <c r="H235" s="44"/>
      <c r="I235" s="44"/>
    </row>
    <row r="236" ht="15.0" customHeight="1">
      <c r="B236" s="44"/>
      <c r="C236" s="150"/>
      <c r="D236" s="150"/>
      <c r="E236" s="150"/>
      <c r="F236" s="150">
        <f t="shared" si="2"/>
        <v>0</v>
      </c>
      <c r="G236" s="44"/>
      <c r="H236" s="44"/>
      <c r="I236" s="44"/>
    </row>
    <row r="237" ht="15.0" customHeight="1">
      <c r="B237" s="44"/>
      <c r="C237" s="150"/>
      <c r="D237" s="150"/>
      <c r="E237" s="150"/>
      <c r="F237" s="150">
        <f t="shared" si="2"/>
        <v>0</v>
      </c>
      <c r="G237" s="44"/>
      <c r="H237" s="44"/>
      <c r="I237" s="44"/>
    </row>
    <row r="238" ht="15.0" customHeight="1">
      <c r="B238" s="44"/>
      <c r="C238" s="150"/>
      <c r="D238" s="150"/>
      <c r="E238" s="150"/>
      <c r="F238" s="150">
        <f t="shared" si="2"/>
        <v>0</v>
      </c>
      <c r="G238" s="44"/>
      <c r="H238" s="44"/>
      <c r="I238" s="44"/>
    </row>
    <row r="239" ht="15.0" customHeight="1">
      <c r="B239" s="44"/>
      <c r="C239" s="150"/>
      <c r="D239" s="150"/>
      <c r="E239" s="150"/>
      <c r="F239" s="150">
        <f t="shared" si="2"/>
        <v>0</v>
      </c>
      <c r="G239" s="44"/>
      <c r="H239" s="44"/>
      <c r="I239" s="44"/>
    </row>
    <row r="240" ht="15.0" customHeight="1">
      <c r="B240" s="44"/>
      <c r="C240" s="150"/>
      <c r="D240" s="150"/>
      <c r="E240" s="150"/>
      <c r="F240" s="150">
        <f t="shared" si="2"/>
        <v>0</v>
      </c>
      <c r="G240" s="44"/>
      <c r="H240" s="44"/>
      <c r="I240" s="44"/>
    </row>
    <row r="241" ht="15.0" customHeight="1">
      <c r="B241" s="44"/>
      <c r="C241" s="150"/>
      <c r="D241" s="150"/>
      <c r="E241" s="150"/>
      <c r="F241" s="150">
        <f t="shared" si="2"/>
        <v>0</v>
      </c>
      <c r="G241" s="44"/>
      <c r="H241" s="44"/>
      <c r="I241" s="44"/>
    </row>
    <row r="242" ht="15.0" customHeight="1">
      <c r="B242" s="44"/>
      <c r="C242" s="150"/>
      <c r="D242" s="150"/>
      <c r="E242" s="150"/>
      <c r="F242" s="150">
        <f t="shared" si="2"/>
        <v>0</v>
      </c>
      <c r="G242" s="44"/>
      <c r="H242" s="44"/>
      <c r="I242" s="44"/>
    </row>
    <row r="243" ht="15.0" customHeight="1">
      <c r="B243" s="44"/>
      <c r="C243" s="150"/>
      <c r="D243" s="150"/>
      <c r="E243" s="150"/>
      <c r="F243" s="150">
        <f t="shared" si="2"/>
        <v>0</v>
      </c>
      <c r="G243" s="44"/>
      <c r="H243" s="44"/>
      <c r="I243" s="44"/>
    </row>
    <row r="244" ht="15.0" customHeight="1">
      <c r="B244" s="44"/>
      <c r="C244" s="150"/>
      <c r="D244" s="150"/>
      <c r="E244" s="150"/>
      <c r="F244" s="150">
        <f t="shared" si="2"/>
        <v>0</v>
      </c>
      <c r="G244" s="44"/>
      <c r="H244" s="44"/>
      <c r="I244" s="44"/>
    </row>
    <row r="245" ht="15.0" customHeight="1">
      <c r="B245" s="44"/>
      <c r="C245" s="150"/>
      <c r="D245" s="150"/>
      <c r="E245" s="150"/>
      <c r="F245" s="150">
        <f t="shared" si="2"/>
        <v>0</v>
      </c>
      <c r="G245" s="44"/>
      <c r="H245" s="44"/>
      <c r="I245" s="44"/>
    </row>
    <row r="246" ht="15.0" customHeight="1">
      <c r="B246" s="44"/>
      <c r="C246" s="150"/>
      <c r="D246" s="150"/>
      <c r="E246" s="150"/>
      <c r="F246" s="150">
        <f t="shared" si="2"/>
        <v>0</v>
      </c>
      <c r="G246" s="44"/>
      <c r="H246" s="44"/>
      <c r="I246" s="44"/>
    </row>
    <row r="247" ht="15.0" customHeight="1">
      <c r="B247" s="44"/>
      <c r="C247" s="150"/>
      <c r="D247" s="150"/>
      <c r="E247" s="150"/>
      <c r="F247" s="150">
        <f t="shared" si="2"/>
        <v>0</v>
      </c>
      <c r="G247" s="44"/>
      <c r="H247" s="44"/>
      <c r="I247" s="44"/>
    </row>
    <row r="248" ht="15.0" customHeight="1">
      <c r="B248" s="44"/>
      <c r="C248" s="150"/>
      <c r="D248" s="150"/>
      <c r="E248" s="150"/>
      <c r="F248" s="150" t="str">
        <f>F17</f>
        <v>#REF!</v>
      </c>
      <c r="G248" s="44"/>
      <c r="H248" s="44"/>
      <c r="I248" s="4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4" width="16.71"/>
    <col customWidth="1" min="5" max="5" width="6.14"/>
    <col customWidth="1" min="6" max="6" width="16.71"/>
    <col customWidth="1" min="7" max="7" width="13.43"/>
    <col customWidth="1" min="8" max="8" width="16.0"/>
    <col customWidth="1" min="9" max="9" width="18.14"/>
    <col customWidth="1" min="10" max="10" width="17.14"/>
    <col customWidth="1" min="11" max="11" width="9.71"/>
    <col customWidth="1" min="12" max="12" width="39.29"/>
    <col customWidth="1" min="13" max="13" width="14.43"/>
    <col customWidth="1" hidden="1" min="14" max="14" width="12.29"/>
    <col customWidth="1" min="15" max="15" width="42.43"/>
    <col customWidth="1" min="16" max="16" width="14.71"/>
    <col customWidth="1" min="17" max="17" width="17.71"/>
    <col customWidth="1" min="18" max="24" width="8.86"/>
  </cols>
  <sheetData>
    <row r="1" ht="14.25" customHeight="1"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ht="21.0" customHeight="1">
      <c r="B2" s="152" t="s">
        <v>886</v>
      </c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  <c r="Q2" s="6"/>
    </row>
    <row r="3" ht="21.0" customHeight="1">
      <c r="B3" s="7"/>
      <c r="L3" s="8"/>
      <c r="M3" s="6"/>
      <c r="N3" s="6"/>
      <c r="O3" s="6"/>
      <c r="P3" s="6"/>
      <c r="Q3" s="6"/>
      <c r="T3" s="9"/>
      <c r="U3" s="9"/>
      <c r="V3" s="9"/>
      <c r="W3" s="9"/>
      <c r="X3" s="9"/>
    </row>
    <row r="4" ht="15.0" customHeight="1">
      <c r="B4" s="7"/>
      <c r="L4" s="8"/>
      <c r="M4" s="6"/>
      <c r="N4" s="6"/>
      <c r="O4" s="6"/>
      <c r="P4" s="6"/>
      <c r="Q4" s="6"/>
      <c r="T4" s="9"/>
      <c r="U4" s="9"/>
      <c r="V4" s="9"/>
      <c r="W4" s="9"/>
      <c r="X4" s="9"/>
    </row>
    <row r="5" ht="15.0" customHeight="1"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6"/>
      <c r="N5" s="6"/>
      <c r="O5" s="6"/>
      <c r="P5" s="6"/>
      <c r="Q5" s="6"/>
      <c r="U5" s="9"/>
      <c r="V5" s="9"/>
      <c r="W5" s="9"/>
      <c r="X5" s="9"/>
    </row>
    <row r="6" ht="14.25" customHeight="1">
      <c r="B6" s="153" t="s">
        <v>1</v>
      </c>
      <c r="C6" s="103" t="s">
        <v>269</v>
      </c>
      <c r="D6" s="103" t="s">
        <v>880</v>
      </c>
      <c r="E6" s="103"/>
      <c r="F6" s="103" t="s">
        <v>4</v>
      </c>
      <c r="G6" s="103" t="s">
        <v>5</v>
      </c>
      <c r="H6" s="103" t="s">
        <v>270</v>
      </c>
      <c r="I6" s="103" t="s">
        <v>271</v>
      </c>
      <c r="J6" s="103" t="s">
        <v>272</v>
      </c>
      <c r="K6" s="103" t="s">
        <v>155</v>
      </c>
      <c r="L6" s="103" t="s">
        <v>10</v>
      </c>
      <c r="O6" s="16"/>
      <c r="P6" s="9"/>
      <c r="Q6" s="9"/>
      <c r="R6" s="9"/>
    </row>
    <row r="7" ht="14.25" customHeight="1">
      <c r="B7" s="154">
        <v>44986.0</v>
      </c>
      <c r="C7" s="104">
        <v>45013.0</v>
      </c>
      <c r="D7" s="40" t="s">
        <v>887</v>
      </c>
      <c r="E7" s="40"/>
      <c r="F7" s="40"/>
      <c r="G7" s="40" t="s">
        <v>888</v>
      </c>
      <c r="H7" s="40">
        <v>211.0</v>
      </c>
      <c r="I7" s="40">
        <v>312.7</v>
      </c>
      <c r="J7" s="40">
        <f>I7-H7</f>
        <v>101.7</v>
      </c>
      <c r="K7" s="40">
        <v>475.0</v>
      </c>
      <c r="L7" s="40" t="s">
        <v>889</v>
      </c>
      <c r="M7" s="16"/>
      <c r="O7" s="16"/>
      <c r="P7" s="9"/>
      <c r="Q7" s="9"/>
      <c r="R7" s="9"/>
    </row>
    <row r="8" ht="14.25" customHeight="1">
      <c r="B8" s="154">
        <v>45013.0</v>
      </c>
      <c r="C8" s="104">
        <v>45016.0</v>
      </c>
      <c r="D8" s="104" t="s">
        <v>890</v>
      </c>
      <c r="E8" s="104"/>
      <c r="F8" s="104"/>
      <c r="G8" s="40" t="s">
        <v>888</v>
      </c>
      <c r="H8" s="40">
        <v>312.7</v>
      </c>
      <c r="I8" s="40">
        <v>326.7</v>
      </c>
      <c r="J8" s="40">
        <v>49.5</v>
      </c>
      <c r="K8" s="40"/>
      <c r="L8" s="40" t="s">
        <v>891</v>
      </c>
      <c r="O8" s="16"/>
      <c r="P8" s="9"/>
      <c r="Q8" s="9"/>
      <c r="R8" s="9"/>
    </row>
    <row r="9" ht="14.25" customHeight="1">
      <c r="B9" s="154">
        <v>45016.0</v>
      </c>
      <c r="C9" s="104">
        <v>45020.0</v>
      </c>
      <c r="D9" s="104" t="s">
        <v>892</v>
      </c>
      <c r="E9" s="104"/>
      <c r="F9" s="104"/>
      <c r="G9" s="40" t="s">
        <v>888</v>
      </c>
      <c r="H9" s="40">
        <v>326.7</v>
      </c>
      <c r="I9" s="40">
        <v>336.7</v>
      </c>
      <c r="J9" s="40">
        <f t="shared" ref="J9:J16" si="1">I9-H9</f>
        <v>10</v>
      </c>
      <c r="K9" s="40"/>
      <c r="L9" s="40" t="s">
        <v>893</v>
      </c>
      <c r="O9" s="16"/>
      <c r="P9" s="9"/>
      <c r="Q9" s="9"/>
      <c r="R9" s="9"/>
    </row>
    <row r="10" ht="14.25" customHeight="1">
      <c r="A10" s="105"/>
      <c r="B10" s="155">
        <v>45020.0</v>
      </c>
      <c r="C10" s="156">
        <v>45046.0</v>
      </c>
      <c r="D10" s="40" t="s">
        <v>187</v>
      </c>
      <c r="E10" s="40"/>
      <c r="F10" s="156" t="s">
        <v>188</v>
      </c>
      <c r="G10" s="108" t="s">
        <v>894</v>
      </c>
      <c r="H10" s="108">
        <v>336.7</v>
      </c>
      <c r="I10" s="108">
        <v>464.3</v>
      </c>
      <c r="J10" s="108">
        <f t="shared" si="1"/>
        <v>127.6</v>
      </c>
      <c r="K10" s="108"/>
      <c r="L10" s="108" t="s">
        <v>41</v>
      </c>
      <c r="M10" s="105"/>
      <c r="N10" s="105"/>
      <c r="O10" s="157"/>
      <c r="P10" s="158"/>
      <c r="Q10" s="158"/>
      <c r="R10" s="158"/>
      <c r="S10" s="105"/>
      <c r="T10" s="105"/>
      <c r="U10" s="105"/>
      <c r="V10" s="105"/>
      <c r="W10" s="105"/>
      <c r="X10" s="105"/>
    </row>
    <row r="11" ht="14.25" customHeight="1">
      <c r="A11" s="105"/>
      <c r="B11" s="155">
        <v>45047.0</v>
      </c>
      <c r="C11" s="156">
        <v>45074.0</v>
      </c>
      <c r="D11" s="40" t="s">
        <v>187</v>
      </c>
      <c r="E11" s="40"/>
      <c r="F11" s="156" t="s">
        <v>188</v>
      </c>
      <c r="G11" s="108" t="s">
        <v>895</v>
      </c>
      <c r="H11" s="108">
        <v>464.3</v>
      </c>
      <c r="I11" s="108">
        <v>591.9</v>
      </c>
      <c r="J11" s="108">
        <f t="shared" si="1"/>
        <v>127.6</v>
      </c>
      <c r="K11" s="108"/>
      <c r="L11" s="108" t="s">
        <v>41</v>
      </c>
      <c r="M11" s="105"/>
      <c r="N11" s="105"/>
      <c r="O11" s="157"/>
      <c r="P11" s="158"/>
      <c r="Q11" s="158"/>
      <c r="R11" s="158"/>
      <c r="S11" s="105"/>
      <c r="T11" s="105"/>
      <c r="U11" s="105"/>
      <c r="V11" s="105"/>
      <c r="W11" s="105"/>
      <c r="X11" s="105"/>
    </row>
    <row r="12" ht="14.25" customHeight="1">
      <c r="A12" s="105"/>
      <c r="B12" s="155">
        <v>45074.0</v>
      </c>
      <c r="C12" s="156">
        <v>45077.0</v>
      </c>
      <c r="D12" s="40" t="s">
        <v>187</v>
      </c>
      <c r="E12" s="40"/>
      <c r="F12" s="156" t="s">
        <v>188</v>
      </c>
      <c r="G12" s="108" t="s">
        <v>895</v>
      </c>
      <c r="H12" s="108">
        <v>591.9</v>
      </c>
      <c r="I12" s="108">
        <v>619.8</v>
      </c>
      <c r="J12" s="108">
        <f t="shared" si="1"/>
        <v>27.9</v>
      </c>
      <c r="K12" s="108"/>
      <c r="L12" s="108" t="s">
        <v>41</v>
      </c>
      <c r="M12" s="105"/>
      <c r="N12" s="105"/>
      <c r="O12" s="157"/>
      <c r="P12" s="158"/>
      <c r="Q12" s="158"/>
      <c r="R12" s="158"/>
      <c r="S12" s="105"/>
      <c r="T12" s="105"/>
      <c r="U12" s="105"/>
      <c r="V12" s="105"/>
      <c r="W12" s="105"/>
      <c r="X12" s="105"/>
    </row>
    <row r="13" ht="14.25" customHeight="1">
      <c r="B13" s="154">
        <v>45078.0</v>
      </c>
      <c r="C13" s="104">
        <v>45100.0</v>
      </c>
      <c r="D13" s="40" t="s">
        <v>187</v>
      </c>
      <c r="E13" s="40"/>
      <c r="F13" s="156" t="s">
        <v>188</v>
      </c>
      <c r="G13" s="40" t="s">
        <v>895</v>
      </c>
      <c r="H13" s="40">
        <v>619.8</v>
      </c>
      <c r="I13" s="40">
        <v>762.5</v>
      </c>
      <c r="J13" s="40">
        <f t="shared" si="1"/>
        <v>142.7</v>
      </c>
      <c r="K13" s="108"/>
      <c r="L13" s="108" t="s">
        <v>896</v>
      </c>
    </row>
    <row r="14" ht="14.25" customHeight="1">
      <c r="B14" s="154">
        <v>45101.0</v>
      </c>
      <c r="C14" s="104">
        <v>45105.0</v>
      </c>
      <c r="D14" s="40" t="s">
        <v>51</v>
      </c>
      <c r="E14" s="40"/>
      <c r="F14" s="40"/>
      <c r="G14" s="40" t="s">
        <v>895</v>
      </c>
      <c r="H14" s="40">
        <v>776.8</v>
      </c>
      <c r="I14" s="40">
        <v>796.4</v>
      </c>
      <c r="J14" s="40">
        <f t="shared" si="1"/>
        <v>19.6</v>
      </c>
      <c r="K14" s="40">
        <v>152.88</v>
      </c>
      <c r="L14" s="40" t="s">
        <v>897</v>
      </c>
    </row>
    <row r="15" ht="14.25" customHeight="1">
      <c r="B15" s="154">
        <v>45109.0</v>
      </c>
      <c r="C15" s="104">
        <v>45111.0</v>
      </c>
      <c r="D15" s="40" t="s">
        <v>51</v>
      </c>
      <c r="E15" s="40"/>
      <c r="F15" s="40"/>
      <c r="G15" s="40" t="s">
        <v>895</v>
      </c>
      <c r="H15" s="40">
        <v>6651.6</v>
      </c>
      <c r="I15" s="40">
        <v>6667.6</v>
      </c>
      <c r="J15" s="40">
        <f t="shared" si="1"/>
        <v>16</v>
      </c>
      <c r="K15" s="40">
        <v>124.8</v>
      </c>
      <c r="L15" s="40" t="s">
        <v>897</v>
      </c>
    </row>
    <row r="16" ht="14.25" customHeight="1">
      <c r="B16" s="154">
        <v>45120.0</v>
      </c>
      <c r="C16" s="104">
        <v>45138.0</v>
      </c>
      <c r="D16" s="40" t="s">
        <v>187</v>
      </c>
      <c r="E16" s="40"/>
      <c r="F16" s="156" t="s">
        <v>188</v>
      </c>
      <c r="G16" s="40" t="s">
        <v>895</v>
      </c>
      <c r="H16" s="40">
        <v>808.8</v>
      </c>
      <c r="I16" s="40">
        <v>941.3</v>
      </c>
      <c r="J16" s="40">
        <f t="shared" si="1"/>
        <v>132.5</v>
      </c>
      <c r="K16" s="108">
        <v>1085.0</v>
      </c>
      <c r="L16" s="108" t="s">
        <v>896</v>
      </c>
    </row>
    <row r="17" ht="14.25" customHeight="1">
      <c r="B17" s="154">
        <v>45139.0</v>
      </c>
      <c r="C17" s="104">
        <v>45169.0</v>
      </c>
      <c r="D17" s="40" t="s">
        <v>187</v>
      </c>
      <c r="E17" s="40"/>
      <c r="F17" s="156" t="s">
        <v>188</v>
      </c>
      <c r="G17" s="40" t="s">
        <v>894</v>
      </c>
      <c r="H17" s="40">
        <v>941.3</v>
      </c>
      <c r="I17" s="40">
        <v>1147.4</v>
      </c>
      <c r="J17" s="40">
        <v>199.8</v>
      </c>
      <c r="K17" s="40">
        <v>1460.0</v>
      </c>
      <c r="L17" s="108" t="s">
        <v>896</v>
      </c>
    </row>
    <row r="18" ht="14.25" customHeight="1">
      <c r="B18" s="154">
        <v>45170.0</v>
      </c>
      <c r="C18" s="104">
        <v>45184.0</v>
      </c>
      <c r="D18" s="40" t="s">
        <v>187</v>
      </c>
      <c r="E18" s="40"/>
      <c r="F18" s="40" t="s">
        <v>188</v>
      </c>
      <c r="G18" s="40" t="s">
        <v>895</v>
      </c>
      <c r="H18" s="40">
        <v>1147.4</v>
      </c>
      <c r="I18" s="40">
        <v>1252.0</v>
      </c>
      <c r="J18" s="40">
        <f t="shared" ref="J18:J68" si="2">I18-H18</f>
        <v>104.6</v>
      </c>
      <c r="K18" s="40">
        <v>400.0</v>
      </c>
      <c r="L18" s="108" t="s">
        <v>896</v>
      </c>
    </row>
    <row r="19" ht="14.25" customHeight="1">
      <c r="B19" s="154">
        <v>45191.0</v>
      </c>
      <c r="C19" s="104">
        <v>45198.0</v>
      </c>
      <c r="D19" s="40" t="s">
        <v>187</v>
      </c>
      <c r="E19" s="40"/>
      <c r="F19" s="40" t="s">
        <v>284</v>
      </c>
      <c r="G19" s="40" t="s">
        <v>895</v>
      </c>
      <c r="H19" s="40">
        <v>1253.6</v>
      </c>
      <c r="I19" s="40">
        <v>1304.4</v>
      </c>
      <c r="J19" s="40">
        <f t="shared" si="2"/>
        <v>50.8</v>
      </c>
      <c r="K19" s="40">
        <v>440.0</v>
      </c>
      <c r="L19" s="40"/>
    </row>
    <row r="20" ht="14.25" customHeight="1">
      <c r="B20" s="154">
        <v>45199.0</v>
      </c>
      <c r="C20" s="159">
        <v>45223.0</v>
      </c>
      <c r="D20" s="40" t="s">
        <v>187</v>
      </c>
      <c r="E20" s="40"/>
      <c r="F20" s="40" t="s">
        <v>284</v>
      </c>
      <c r="G20" s="40" t="s">
        <v>895</v>
      </c>
      <c r="H20" s="40">
        <v>1304.4</v>
      </c>
      <c r="I20" s="40">
        <v>1467.0</v>
      </c>
      <c r="J20" s="40">
        <f t="shared" si="2"/>
        <v>162.6</v>
      </c>
      <c r="K20" s="40"/>
      <c r="L20" s="40"/>
    </row>
    <row r="21" ht="14.25" customHeight="1">
      <c r="B21" s="160">
        <v>45224.0</v>
      </c>
      <c r="C21" s="159">
        <v>45230.0</v>
      </c>
      <c r="D21" s="40" t="s">
        <v>187</v>
      </c>
      <c r="E21" s="40"/>
      <c r="F21" s="40" t="s">
        <v>345</v>
      </c>
      <c r="G21" s="40" t="s">
        <v>895</v>
      </c>
      <c r="H21" s="40">
        <v>1471.4</v>
      </c>
      <c r="I21" s="40">
        <v>1516.0</v>
      </c>
      <c r="J21" s="40">
        <f t="shared" si="2"/>
        <v>44.6</v>
      </c>
      <c r="K21" s="40"/>
      <c r="L21" s="40"/>
    </row>
    <row r="22" ht="14.25" customHeight="1">
      <c r="B22" s="154">
        <v>45231.0</v>
      </c>
      <c r="C22" s="159">
        <v>45260.0</v>
      </c>
      <c r="D22" s="40" t="s">
        <v>187</v>
      </c>
      <c r="E22" s="40"/>
      <c r="F22" s="40" t="s">
        <v>288</v>
      </c>
      <c r="G22" s="40" t="s">
        <v>895</v>
      </c>
      <c r="H22" s="40">
        <v>1516.0</v>
      </c>
      <c r="I22" s="40">
        <v>1659.6</v>
      </c>
      <c r="J22" s="40">
        <f t="shared" si="2"/>
        <v>143.6</v>
      </c>
      <c r="K22" s="40">
        <v>655.0</v>
      </c>
      <c r="L22" s="110" t="s">
        <v>898</v>
      </c>
    </row>
    <row r="23" ht="14.25" customHeight="1">
      <c r="B23" s="154">
        <v>45261.0</v>
      </c>
      <c r="C23" s="159">
        <v>45289.0</v>
      </c>
      <c r="D23" s="40" t="s">
        <v>187</v>
      </c>
      <c r="E23" s="40"/>
      <c r="F23" s="40" t="s">
        <v>288</v>
      </c>
      <c r="G23" s="40" t="s">
        <v>895</v>
      </c>
      <c r="H23" s="40">
        <v>1659.6</v>
      </c>
      <c r="I23" s="40">
        <v>1829.9</v>
      </c>
      <c r="J23" s="40">
        <f t="shared" si="2"/>
        <v>170.3</v>
      </c>
      <c r="K23" s="40">
        <v>1060.0</v>
      </c>
      <c r="L23" s="40"/>
    </row>
    <row r="24" ht="14.25" customHeight="1">
      <c r="B24" s="154">
        <v>45293.0</v>
      </c>
      <c r="C24" s="104">
        <v>45322.0</v>
      </c>
      <c r="D24" s="40" t="s">
        <v>187</v>
      </c>
      <c r="E24" s="40"/>
      <c r="F24" s="40" t="s">
        <v>288</v>
      </c>
      <c r="G24" s="40" t="s">
        <v>895</v>
      </c>
      <c r="H24" s="40">
        <v>1829.9</v>
      </c>
      <c r="I24" s="40">
        <v>1994.3</v>
      </c>
      <c r="J24" s="40">
        <f t="shared" si="2"/>
        <v>164.4</v>
      </c>
      <c r="K24" s="40">
        <v>1272.0</v>
      </c>
      <c r="L24" s="40"/>
    </row>
    <row r="25" ht="14.25" customHeight="1">
      <c r="B25" s="154">
        <v>45323.0</v>
      </c>
      <c r="C25" s="104">
        <v>45350.0</v>
      </c>
      <c r="D25" s="40" t="s">
        <v>187</v>
      </c>
      <c r="E25" s="40"/>
      <c r="F25" s="40" t="s">
        <v>288</v>
      </c>
      <c r="G25" s="40" t="s">
        <v>894</v>
      </c>
      <c r="H25" s="40">
        <v>1994.4</v>
      </c>
      <c r="I25" s="40">
        <v>2132.8</v>
      </c>
      <c r="J25" s="40">
        <f t="shared" si="2"/>
        <v>138.4</v>
      </c>
      <c r="K25" s="40"/>
      <c r="L25" s="40"/>
    </row>
    <row r="26" ht="14.25" customHeight="1">
      <c r="B26" s="154">
        <v>45351.0</v>
      </c>
      <c r="C26" s="104">
        <v>45353.0</v>
      </c>
      <c r="D26" s="40" t="s">
        <v>899</v>
      </c>
      <c r="E26" s="40"/>
      <c r="F26" s="40" t="s">
        <v>900</v>
      </c>
      <c r="G26" s="40" t="s">
        <v>895</v>
      </c>
      <c r="H26" s="40">
        <v>2132.8</v>
      </c>
      <c r="I26" s="40">
        <v>2159.3</v>
      </c>
      <c r="J26" s="40">
        <f t="shared" si="2"/>
        <v>26.5</v>
      </c>
      <c r="K26" s="40"/>
      <c r="L26" s="40"/>
    </row>
    <row r="27" ht="14.25" customHeight="1">
      <c r="B27" s="110"/>
      <c r="C27" s="40"/>
      <c r="D27" s="40" t="s">
        <v>197</v>
      </c>
      <c r="E27" s="40"/>
      <c r="F27" s="40"/>
      <c r="G27" s="40"/>
      <c r="H27" s="40"/>
      <c r="I27" s="40"/>
      <c r="J27" s="40">
        <f t="shared" si="2"/>
        <v>0</v>
      </c>
      <c r="K27" s="40"/>
      <c r="L27" s="40"/>
    </row>
    <row r="28" ht="14.25" customHeight="1">
      <c r="B28" s="154">
        <v>45355.0</v>
      </c>
      <c r="C28" s="104">
        <v>45374.0</v>
      </c>
      <c r="D28" s="40" t="s">
        <v>187</v>
      </c>
      <c r="E28" s="40"/>
      <c r="F28" s="40" t="s">
        <v>288</v>
      </c>
      <c r="G28" s="40" t="s">
        <v>895</v>
      </c>
      <c r="H28" s="40">
        <v>2159.8</v>
      </c>
      <c r="I28" s="40">
        <v>2269.8</v>
      </c>
      <c r="J28" s="40">
        <f t="shared" si="2"/>
        <v>110</v>
      </c>
      <c r="K28" s="40">
        <v>1015.0</v>
      </c>
      <c r="L28" s="40"/>
    </row>
    <row r="29" ht="14.25" customHeight="1">
      <c r="B29" s="154">
        <v>45383.0</v>
      </c>
      <c r="C29" s="104">
        <v>45387.0</v>
      </c>
      <c r="D29" s="40" t="s">
        <v>901</v>
      </c>
      <c r="E29" s="40"/>
      <c r="F29" s="40" t="s">
        <v>902</v>
      </c>
      <c r="G29" s="40" t="s">
        <v>221</v>
      </c>
      <c r="H29" s="40">
        <v>2259.8</v>
      </c>
      <c r="I29" s="40">
        <v>2297.9</v>
      </c>
      <c r="J29" s="40">
        <f t="shared" si="2"/>
        <v>38.1</v>
      </c>
      <c r="K29" s="40"/>
      <c r="L29" s="40"/>
    </row>
    <row r="30" ht="14.25" customHeight="1">
      <c r="B30" s="110"/>
      <c r="C30" s="161" t="s">
        <v>903</v>
      </c>
      <c r="F30" s="112"/>
      <c r="G30" s="40"/>
      <c r="H30" s="40"/>
      <c r="I30" s="40"/>
      <c r="J30" s="40">
        <f t="shared" si="2"/>
        <v>0</v>
      </c>
      <c r="K30" s="40"/>
      <c r="L30" s="40"/>
    </row>
    <row r="31" ht="14.25" customHeight="1">
      <c r="B31" s="154">
        <v>45444.0</v>
      </c>
      <c r="C31" s="104">
        <v>45473.0</v>
      </c>
      <c r="D31" s="40"/>
      <c r="E31" s="40"/>
      <c r="F31" s="40"/>
      <c r="G31" s="40"/>
      <c r="H31" s="40"/>
      <c r="I31" s="40"/>
      <c r="J31" s="40">
        <f t="shared" si="2"/>
        <v>0</v>
      </c>
      <c r="K31" s="40"/>
      <c r="L31" s="40"/>
    </row>
    <row r="32" ht="14.25" customHeight="1">
      <c r="B32" s="154">
        <v>45474.0</v>
      </c>
      <c r="C32" s="104">
        <v>45482.0</v>
      </c>
      <c r="D32" s="40" t="s">
        <v>187</v>
      </c>
      <c r="E32" s="40"/>
      <c r="F32" s="40" t="s">
        <v>904</v>
      </c>
      <c r="G32" s="40" t="s">
        <v>82</v>
      </c>
      <c r="H32" s="40">
        <v>2303.2</v>
      </c>
      <c r="I32" s="40">
        <v>2350.7</v>
      </c>
      <c r="J32" s="40">
        <f t="shared" si="2"/>
        <v>47.5</v>
      </c>
      <c r="K32" s="40">
        <v>480.0</v>
      </c>
      <c r="L32" s="40"/>
    </row>
    <row r="33" ht="14.25" customHeight="1">
      <c r="B33" s="154">
        <v>45483.0</v>
      </c>
      <c r="C33" s="104">
        <v>45498.0</v>
      </c>
      <c r="D33" s="40" t="s">
        <v>28</v>
      </c>
      <c r="E33" s="40" t="s">
        <v>293</v>
      </c>
      <c r="F33" s="40"/>
      <c r="G33" s="40"/>
      <c r="H33" s="40">
        <v>2350.8</v>
      </c>
      <c r="I33" s="40">
        <v>2438.7</v>
      </c>
      <c r="J33" s="40">
        <f t="shared" si="2"/>
        <v>87.9</v>
      </c>
      <c r="K33" s="40">
        <v>636.0</v>
      </c>
      <c r="L33" s="40"/>
    </row>
    <row r="34" ht="14.25" customHeight="1">
      <c r="B34" s="154">
        <v>45499.0</v>
      </c>
      <c r="C34" s="104">
        <v>45517.0</v>
      </c>
      <c r="D34" s="40" t="s">
        <v>298</v>
      </c>
      <c r="E34" s="40"/>
      <c r="F34" s="40" t="s">
        <v>299</v>
      </c>
      <c r="G34" s="40" t="s">
        <v>82</v>
      </c>
      <c r="H34" s="40">
        <v>2438.7</v>
      </c>
      <c r="I34" s="40">
        <v>2547.6</v>
      </c>
      <c r="J34" s="40">
        <f t="shared" si="2"/>
        <v>108.9</v>
      </c>
      <c r="K34" s="40">
        <v>855.0</v>
      </c>
      <c r="L34" s="40"/>
    </row>
    <row r="35" ht="14.25" customHeight="1">
      <c r="B35" s="154">
        <v>45513.0</v>
      </c>
      <c r="C35" s="104">
        <v>45516.0</v>
      </c>
      <c r="D35" s="40" t="s">
        <v>28</v>
      </c>
      <c r="E35" s="40" t="s">
        <v>293</v>
      </c>
      <c r="F35" s="40"/>
      <c r="G35" s="40" t="s">
        <v>82</v>
      </c>
      <c r="H35" s="40">
        <v>2525.5</v>
      </c>
      <c r="I35" s="40">
        <v>2539.3</v>
      </c>
      <c r="J35" s="40">
        <f t="shared" si="2"/>
        <v>13.8</v>
      </c>
      <c r="K35" s="40"/>
      <c r="L35" s="110" t="s">
        <v>905</v>
      </c>
    </row>
    <row r="36" ht="14.25" customHeight="1">
      <c r="B36" s="154">
        <v>45523.0</v>
      </c>
      <c r="C36" s="104">
        <v>45523.0</v>
      </c>
      <c r="D36" s="40" t="s">
        <v>28</v>
      </c>
      <c r="E36" s="40" t="s">
        <v>293</v>
      </c>
      <c r="F36" s="40"/>
      <c r="G36" s="40" t="s">
        <v>82</v>
      </c>
      <c r="H36" s="40">
        <v>2568.5</v>
      </c>
      <c r="I36" s="40">
        <v>2573.3</v>
      </c>
      <c r="J36" s="40">
        <f t="shared" si="2"/>
        <v>4.8</v>
      </c>
      <c r="K36" s="40"/>
      <c r="L36" s="110" t="s">
        <v>905</v>
      </c>
    </row>
    <row r="37" ht="14.25" customHeight="1">
      <c r="B37" s="154">
        <v>45525.0</v>
      </c>
      <c r="C37" s="104">
        <v>45526.0</v>
      </c>
      <c r="D37" s="40" t="s">
        <v>28</v>
      </c>
      <c r="E37" s="40" t="s">
        <v>293</v>
      </c>
      <c r="F37" s="40"/>
      <c r="G37" s="40" t="s">
        <v>82</v>
      </c>
      <c r="H37" s="40">
        <v>2577.0</v>
      </c>
      <c r="I37" s="40">
        <v>2590.0</v>
      </c>
      <c r="J37" s="40">
        <f t="shared" si="2"/>
        <v>13</v>
      </c>
      <c r="K37" s="40">
        <v>200.0</v>
      </c>
      <c r="L37" s="40"/>
    </row>
    <row r="38" ht="14.25" customHeight="1">
      <c r="B38" s="154">
        <v>45532.0</v>
      </c>
      <c r="C38" s="104">
        <v>45535.0</v>
      </c>
      <c r="D38" s="40" t="s">
        <v>28</v>
      </c>
      <c r="E38" s="40" t="s">
        <v>293</v>
      </c>
      <c r="F38" s="40"/>
      <c r="G38" s="40" t="s">
        <v>82</v>
      </c>
      <c r="H38" s="40">
        <v>2599.3</v>
      </c>
      <c r="I38" s="40">
        <v>2625.2</v>
      </c>
      <c r="J38" s="40">
        <f t="shared" si="2"/>
        <v>25.9</v>
      </c>
      <c r="K38" s="40">
        <v>190.0</v>
      </c>
      <c r="L38" s="40"/>
    </row>
    <row r="39" ht="14.25" customHeight="1">
      <c r="B39" s="154">
        <v>45518.0</v>
      </c>
      <c r="C39" s="104">
        <v>45520.0</v>
      </c>
      <c r="D39" s="40" t="s">
        <v>906</v>
      </c>
      <c r="E39" s="40"/>
      <c r="F39" s="40" t="s">
        <v>299</v>
      </c>
      <c r="G39" s="40" t="s">
        <v>82</v>
      </c>
      <c r="H39" s="40">
        <v>2547.6</v>
      </c>
      <c r="I39" s="40">
        <v>2568.5</v>
      </c>
      <c r="J39" s="40">
        <f t="shared" si="2"/>
        <v>20.9</v>
      </c>
      <c r="K39" s="40">
        <v>334.0</v>
      </c>
      <c r="L39" s="40"/>
    </row>
    <row r="40" ht="14.25" customHeight="1">
      <c r="B40" s="154">
        <v>45524.0</v>
      </c>
      <c r="C40" s="104">
        <v>45524.0</v>
      </c>
      <c r="D40" s="40" t="s">
        <v>298</v>
      </c>
      <c r="E40" s="40"/>
      <c r="F40" s="40" t="s">
        <v>382</v>
      </c>
      <c r="G40" s="40" t="s">
        <v>373</v>
      </c>
      <c r="H40" s="40">
        <v>573.9</v>
      </c>
      <c r="I40" s="40">
        <v>576.9</v>
      </c>
      <c r="J40" s="40">
        <f t="shared" si="2"/>
        <v>3</v>
      </c>
      <c r="K40" s="40"/>
      <c r="L40" s="40"/>
    </row>
    <row r="41" ht="14.25" customHeight="1">
      <c r="B41" s="154">
        <v>45527.0</v>
      </c>
      <c r="C41" s="104">
        <v>45530.0</v>
      </c>
      <c r="D41" s="40" t="s">
        <v>298</v>
      </c>
      <c r="E41" s="40"/>
      <c r="F41" s="40" t="s">
        <v>299</v>
      </c>
      <c r="G41" s="40" t="s">
        <v>82</v>
      </c>
      <c r="H41" s="40">
        <v>2590.0</v>
      </c>
      <c r="I41" s="40">
        <v>2598.0</v>
      </c>
      <c r="J41" s="40">
        <f t="shared" si="2"/>
        <v>8</v>
      </c>
      <c r="K41" s="40"/>
      <c r="L41" s="110" t="s">
        <v>905</v>
      </c>
    </row>
    <row r="42" ht="14.25" customHeight="1">
      <c r="B42" s="154">
        <v>45537.0</v>
      </c>
      <c r="C42" s="104">
        <v>45541.0</v>
      </c>
      <c r="D42" s="40" t="s">
        <v>298</v>
      </c>
      <c r="E42" s="40"/>
      <c r="F42" s="40" t="s">
        <v>382</v>
      </c>
      <c r="G42" s="40" t="s">
        <v>82</v>
      </c>
      <c r="H42" s="40">
        <v>2625.2</v>
      </c>
      <c r="I42" s="40">
        <v>2660.6</v>
      </c>
      <c r="J42" s="40">
        <f t="shared" si="2"/>
        <v>35.4</v>
      </c>
      <c r="K42" s="40">
        <v>234.0</v>
      </c>
      <c r="L42" s="40"/>
    </row>
    <row r="43" ht="14.25" customHeight="1">
      <c r="B43" s="154">
        <v>45543.0</v>
      </c>
      <c r="C43" s="104">
        <v>45543.0</v>
      </c>
      <c r="D43" s="40" t="s">
        <v>907</v>
      </c>
      <c r="E43" s="40" t="s">
        <v>293</v>
      </c>
      <c r="F43" s="40" t="s">
        <v>902</v>
      </c>
      <c r="G43" s="40" t="s">
        <v>82</v>
      </c>
      <c r="H43" s="40">
        <v>2664.3</v>
      </c>
      <c r="I43" s="40">
        <v>2675.5</v>
      </c>
      <c r="J43" s="40">
        <f t="shared" si="2"/>
        <v>11.2</v>
      </c>
      <c r="K43" s="40"/>
      <c r="L43" s="40"/>
    </row>
    <row r="44" ht="14.25" customHeight="1">
      <c r="B44" s="154">
        <v>45544.0</v>
      </c>
      <c r="C44" s="104">
        <v>45565.0</v>
      </c>
      <c r="D44" s="40" t="s">
        <v>298</v>
      </c>
      <c r="E44" s="40"/>
      <c r="F44" s="40" t="s">
        <v>382</v>
      </c>
      <c r="G44" s="40" t="s">
        <v>908</v>
      </c>
      <c r="H44" s="40">
        <v>2675.3</v>
      </c>
      <c r="I44" s="40">
        <v>2787.4</v>
      </c>
      <c r="J44" s="40">
        <f t="shared" si="2"/>
        <v>112.1</v>
      </c>
      <c r="K44" s="40">
        <v>465.0</v>
      </c>
      <c r="L44" s="40"/>
    </row>
    <row r="45" ht="14.25" customHeight="1">
      <c r="B45" s="154">
        <v>45549.0</v>
      </c>
      <c r="C45" s="104">
        <v>45549.0</v>
      </c>
      <c r="D45" s="40" t="s">
        <v>298</v>
      </c>
      <c r="E45" s="40"/>
      <c r="F45" s="40" t="s">
        <v>382</v>
      </c>
      <c r="G45" s="40" t="s">
        <v>909</v>
      </c>
      <c r="H45" s="40">
        <v>2699.8</v>
      </c>
      <c r="I45" s="40">
        <v>2706.0</v>
      </c>
      <c r="J45" s="40">
        <f t="shared" si="2"/>
        <v>6.2</v>
      </c>
      <c r="K45" s="40"/>
      <c r="L45" s="40"/>
    </row>
    <row r="46" ht="14.25" customHeight="1">
      <c r="B46" s="154">
        <v>45551.0</v>
      </c>
      <c r="C46" s="104">
        <v>45565.0</v>
      </c>
      <c r="D46" s="40" t="s">
        <v>298</v>
      </c>
      <c r="E46" s="40"/>
      <c r="F46" s="40" t="s">
        <v>382</v>
      </c>
      <c r="G46" s="40" t="s">
        <v>910</v>
      </c>
      <c r="H46" s="40">
        <v>2706.0</v>
      </c>
      <c r="I46" s="40">
        <v>2780.7</v>
      </c>
      <c r="J46" s="40">
        <f t="shared" si="2"/>
        <v>74.7</v>
      </c>
      <c r="K46" s="40"/>
      <c r="L46" s="110"/>
    </row>
    <row r="47" ht="14.25" customHeight="1">
      <c r="B47" s="110"/>
      <c r="C47" s="161" t="s">
        <v>911</v>
      </c>
      <c r="F47" s="112"/>
      <c r="G47" s="40"/>
      <c r="H47" s="40"/>
      <c r="I47" s="40"/>
      <c r="J47" s="40">
        <f t="shared" si="2"/>
        <v>0</v>
      </c>
      <c r="K47" s="40"/>
      <c r="L47" s="40"/>
    </row>
    <row r="48" ht="14.25" customHeight="1">
      <c r="B48" s="110"/>
      <c r="C48" s="40"/>
      <c r="D48" s="40"/>
      <c r="E48" s="40"/>
      <c r="F48" s="40"/>
      <c r="G48" s="40"/>
      <c r="H48" s="40"/>
      <c r="I48" s="40"/>
      <c r="J48" s="40">
        <f t="shared" si="2"/>
        <v>0</v>
      </c>
      <c r="K48" s="40"/>
      <c r="L48" s="40"/>
    </row>
    <row r="49" ht="14.25" customHeight="1">
      <c r="B49" s="110"/>
      <c r="C49" s="40"/>
      <c r="D49" s="40"/>
      <c r="E49" s="40"/>
      <c r="F49" s="40"/>
      <c r="G49" s="40"/>
      <c r="H49" s="40"/>
      <c r="I49" s="40"/>
      <c r="J49" s="40">
        <f t="shared" si="2"/>
        <v>0</v>
      </c>
      <c r="K49" s="40"/>
      <c r="L49" s="40"/>
    </row>
    <row r="50" ht="14.25" customHeight="1">
      <c r="B50" s="110"/>
      <c r="C50" s="40"/>
      <c r="D50" s="40"/>
      <c r="E50" s="40"/>
      <c r="F50" s="40"/>
      <c r="G50" s="40"/>
      <c r="H50" s="40"/>
      <c r="I50" s="40"/>
      <c r="J50" s="40">
        <f t="shared" si="2"/>
        <v>0</v>
      </c>
      <c r="K50" s="40"/>
      <c r="L50" s="40"/>
    </row>
    <row r="51" ht="14.25" customHeight="1">
      <c r="B51" s="110"/>
      <c r="C51" s="40"/>
      <c r="D51" s="40"/>
      <c r="E51" s="40"/>
      <c r="F51" s="40"/>
      <c r="G51" s="40"/>
      <c r="H51" s="40"/>
      <c r="I51" s="40"/>
      <c r="J51" s="40">
        <f t="shared" si="2"/>
        <v>0</v>
      </c>
      <c r="K51" s="40"/>
      <c r="L51" s="40"/>
    </row>
    <row r="52" ht="14.25" customHeight="1">
      <c r="B52" s="110"/>
      <c r="C52" s="40"/>
      <c r="D52" s="40"/>
      <c r="E52" s="40"/>
      <c r="F52" s="40"/>
      <c r="G52" s="40"/>
      <c r="H52" s="40"/>
      <c r="I52" s="40"/>
      <c r="J52" s="40">
        <f t="shared" si="2"/>
        <v>0</v>
      </c>
      <c r="K52" s="40"/>
      <c r="L52" s="40"/>
    </row>
    <row r="53" ht="14.25" customHeight="1">
      <c r="B53" s="110"/>
      <c r="C53" s="40"/>
      <c r="D53" s="40"/>
      <c r="E53" s="40"/>
      <c r="F53" s="40"/>
      <c r="G53" s="40"/>
      <c r="H53" s="40"/>
      <c r="I53" s="40"/>
      <c r="J53" s="40">
        <f t="shared" si="2"/>
        <v>0</v>
      </c>
      <c r="K53" s="40"/>
      <c r="L53" s="40"/>
    </row>
    <row r="54" ht="14.25" customHeight="1">
      <c r="B54" s="110"/>
      <c r="C54" s="40"/>
      <c r="D54" s="40"/>
      <c r="E54" s="40"/>
      <c r="F54" s="40"/>
      <c r="G54" s="40"/>
      <c r="H54" s="40"/>
      <c r="I54" s="40"/>
      <c r="J54" s="40">
        <f t="shared" si="2"/>
        <v>0</v>
      </c>
      <c r="K54" s="40"/>
      <c r="L54" s="40"/>
    </row>
    <row r="55" ht="14.25" customHeight="1">
      <c r="B55" s="110"/>
      <c r="C55" s="40"/>
      <c r="D55" s="40"/>
      <c r="E55" s="40"/>
      <c r="F55" s="40"/>
      <c r="G55" s="40"/>
      <c r="H55" s="40"/>
      <c r="I55" s="40"/>
      <c r="J55" s="40">
        <f t="shared" si="2"/>
        <v>0</v>
      </c>
      <c r="K55" s="40"/>
      <c r="L55" s="40"/>
    </row>
    <row r="56" ht="14.25" customHeight="1">
      <c r="B56" s="110"/>
      <c r="C56" s="40"/>
      <c r="D56" s="40"/>
      <c r="E56" s="40"/>
      <c r="F56" s="40"/>
      <c r="G56" s="40"/>
      <c r="H56" s="40"/>
      <c r="I56" s="40"/>
      <c r="J56" s="40">
        <f t="shared" si="2"/>
        <v>0</v>
      </c>
      <c r="K56" s="40"/>
      <c r="L56" s="40"/>
    </row>
    <row r="57" ht="14.25" customHeight="1">
      <c r="B57" s="110"/>
      <c r="C57" s="40"/>
      <c r="D57" s="40"/>
      <c r="E57" s="40"/>
      <c r="F57" s="40"/>
      <c r="G57" s="40"/>
      <c r="H57" s="40"/>
      <c r="I57" s="40"/>
      <c r="J57" s="40">
        <f t="shared" si="2"/>
        <v>0</v>
      </c>
      <c r="K57" s="40"/>
      <c r="L57" s="40"/>
    </row>
    <row r="58" ht="14.25" customHeight="1">
      <c r="B58" s="110"/>
      <c r="C58" s="40"/>
      <c r="D58" s="40"/>
      <c r="E58" s="40"/>
      <c r="F58" s="40"/>
      <c r="G58" s="40"/>
      <c r="H58" s="40"/>
      <c r="I58" s="40"/>
      <c r="J58" s="40">
        <f t="shared" si="2"/>
        <v>0</v>
      </c>
      <c r="K58" s="40"/>
      <c r="L58" s="110"/>
    </row>
    <row r="59" ht="14.25" customHeight="1">
      <c r="B59" s="110"/>
      <c r="C59" s="40"/>
      <c r="D59" s="40"/>
      <c r="E59" s="40"/>
      <c r="F59" s="40"/>
      <c r="G59" s="40"/>
      <c r="H59" s="40"/>
      <c r="I59" s="40"/>
      <c r="J59" s="40">
        <f t="shared" si="2"/>
        <v>0</v>
      </c>
      <c r="K59" s="40"/>
      <c r="L59" s="40"/>
    </row>
    <row r="60" ht="14.25" customHeight="1">
      <c r="B60" s="110"/>
      <c r="C60" s="40"/>
      <c r="D60" s="40"/>
      <c r="E60" s="40"/>
      <c r="F60" s="40"/>
      <c r="G60" s="40"/>
      <c r="H60" s="40"/>
      <c r="I60" s="40"/>
      <c r="J60" s="40">
        <f t="shared" si="2"/>
        <v>0</v>
      </c>
      <c r="K60" s="40"/>
      <c r="L60" s="40"/>
    </row>
    <row r="61" ht="14.25" customHeight="1">
      <c r="B61" s="110"/>
      <c r="C61" s="40"/>
      <c r="D61" s="40"/>
      <c r="E61" s="40"/>
      <c r="F61" s="40"/>
      <c r="G61" s="40"/>
      <c r="H61" s="40"/>
      <c r="I61" s="40"/>
      <c r="J61" s="40">
        <f t="shared" si="2"/>
        <v>0</v>
      </c>
      <c r="K61" s="40"/>
      <c r="L61" s="40"/>
    </row>
    <row r="62" ht="14.25" customHeight="1">
      <c r="B62" s="110"/>
      <c r="C62" s="40"/>
      <c r="D62" s="40"/>
      <c r="E62" s="40"/>
      <c r="F62" s="40"/>
      <c r="G62" s="40"/>
      <c r="H62" s="40"/>
      <c r="I62" s="40"/>
      <c r="J62" s="40">
        <f t="shared" si="2"/>
        <v>0</v>
      </c>
      <c r="K62" s="40"/>
      <c r="L62" s="40"/>
    </row>
    <row r="63" ht="14.25" customHeight="1">
      <c r="B63" s="110"/>
      <c r="C63" s="40"/>
      <c r="D63" s="40"/>
      <c r="E63" s="40"/>
      <c r="F63" s="40"/>
      <c r="G63" s="40"/>
      <c r="H63" s="40"/>
      <c r="I63" s="40"/>
      <c r="J63" s="40">
        <f t="shared" si="2"/>
        <v>0</v>
      </c>
      <c r="K63" s="40"/>
      <c r="L63" s="40"/>
    </row>
    <row r="64" ht="14.25" customHeight="1">
      <c r="B64" s="110"/>
      <c r="C64" s="40"/>
      <c r="D64" s="40"/>
      <c r="E64" s="40"/>
      <c r="F64" s="40"/>
      <c r="G64" s="40"/>
      <c r="H64" s="40"/>
      <c r="I64" s="40"/>
      <c r="J64" s="40">
        <f t="shared" si="2"/>
        <v>0</v>
      </c>
      <c r="K64" s="40"/>
      <c r="L64" s="40"/>
    </row>
    <row r="65" ht="14.25" customHeight="1">
      <c r="B65" s="110"/>
      <c r="C65" s="40"/>
      <c r="D65" s="40"/>
      <c r="E65" s="40"/>
      <c r="F65" s="40"/>
      <c r="G65" s="40"/>
      <c r="H65" s="40"/>
      <c r="I65" s="40"/>
      <c r="J65" s="40">
        <f t="shared" si="2"/>
        <v>0</v>
      </c>
      <c r="K65" s="40"/>
      <c r="L65" s="40"/>
    </row>
    <row r="66" ht="14.25" customHeight="1">
      <c r="B66" s="110"/>
      <c r="C66" s="40"/>
      <c r="D66" s="40"/>
      <c r="E66" s="40"/>
      <c r="F66" s="40"/>
      <c r="G66" s="40"/>
      <c r="H66" s="40"/>
      <c r="I66" s="40"/>
      <c r="J66" s="40">
        <f t="shared" si="2"/>
        <v>0</v>
      </c>
      <c r="K66" s="40"/>
      <c r="L66" s="40"/>
    </row>
    <row r="67" ht="14.25" customHeight="1">
      <c r="B67" s="110"/>
      <c r="C67" s="40"/>
      <c r="D67" s="40"/>
      <c r="E67" s="40"/>
      <c r="F67" s="40"/>
      <c r="G67" s="40"/>
      <c r="H67" s="40"/>
      <c r="I67" s="40"/>
      <c r="J67" s="40">
        <f t="shared" si="2"/>
        <v>0</v>
      </c>
      <c r="K67" s="40"/>
      <c r="L67" s="40"/>
    </row>
    <row r="68" ht="14.25" customHeight="1">
      <c r="B68" s="162"/>
      <c r="C68" s="113"/>
      <c r="D68" s="113"/>
      <c r="E68" s="113"/>
      <c r="F68" s="113"/>
      <c r="G68" s="113"/>
      <c r="H68" s="113"/>
      <c r="I68" s="113"/>
      <c r="J68" s="40">
        <f t="shared" si="2"/>
        <v>0</v>
      </c>
      <c r="K68" s="113"/>
      <c r="L68" s="113"/>
    </row>
    <row r="69" ht="14.25" customHeight="1"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</row>
    <row r="70" ht="14.25" customHeight="1"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</row>
    <row r="71" ht="14.25" customHeight="1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</row>
    <row r="72" ht="14.25" customHeight="1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</row>
    <row r="73" ht="14.25" customHeight="1"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</row>
    <row r="74" ht="14.25" customHeight="1"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</row>
    <row r="75" ht="14.25" customHeight="1"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</row>
    <row r="76" ht="14.25" customHeight="1"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</row>
    <row r="77" ht="14.25" customHeight="1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</row>
    <row r="78" ht="14.25" customHeight="1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</row>
    <row r="79" ht="14.25" customHeight="1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</row>
    <row r="80" ht="14.25" customHeight="1"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</row>
    <row r="81" ht="14.25" customHeight="1"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</row>
    <row r="82" ht="14.25" customHeight="1"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ht="14.25" customHeight="1"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</row>
    <row r="84" ht="14.25" customHeight="1"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</row>
    <row r="85" ht="14.25" customHeight="1"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ht="14.25" customHeight="1"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</row>
    <row r="87" ht="14.25" customHeight="1"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</row>
    <row r="88" ht="14.25" customHeight="1"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</row>
    <row r="89" ht="14.25" customHeight="1"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</row>
    <row r="90" ht="14.25" customHeight="1"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</row>
    <row r="91" ht="14.25" customHeight="1"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</row>
    <row r="92" ht="14.25" customHeight="1"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</row>
    <row r="93" ht="14.25" customHeight="1"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</row>
    <row r="94" ht="14.25" customHeight="1"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</row>
    <row r="95" ht="14.25" customHeight="1"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</row>
    <row r="96" ht="14.25" customHeight="1"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</row>
    <row r="97" ht="14.25" customHeight="1"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</row>
    <row r="98" ht="14.25" customHeight="1"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</row>
    <row r="99" ht="14.25" customHeight="1"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</row>
    <row r="100" ht="14.25" customHeight="1"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</row>
    <row r="101" ht="14.25" customHeight="1"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</row>
    <row r="102" ht="14.25" customHeight="1"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</row>
    <row r="103" ht="14.25" customHeight="1"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</row>
    <row r="104" ht="14.25" customHeight="1"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</row>
    <row r="105" ht="14.25" customHeight="1"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</row>
    <row r="106" ht="14.25" customHeight="1"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</row>
    <row r="107" ht="14.25" customHeight="1"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</row>
    <row r="108" ht="14.25" customHeight="1"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</row>
    <row r="109" ht="14.25" customHeight="1"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</row>
    <row r="110" ht="14.25" customHeight="1"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</row>
    <row r="111" ht="14.25" customHeight="1"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</row>
    <row r="112" ht="14.25" customHeight="1"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</row>
    <row r="113" ht="14.25" customHeight="1"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</row>
    <row r="114" ht="14.25" customHeight="1"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</row>
    <row r="115" ht="14.25" customHeight="1"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</row>
    <row r="116" ht="14.25" customHeight="1"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</row>
    <row r="117" ht="14.25" customHeight="1"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</row>
    <row r="118" ht="14.25" customHeight="1"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</row>
    <row r="119" ht="14.25" customHeight="1"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</row>
    <row r="120" ht="14.25" customHeight="1"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</row>
    <row r="121" ht="14.25" customHeight="1"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</row>
    <row r="122" ht="14.25" customHeight="1"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</row>
    <row r="123" ht="14.25" customHeight="1"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</row>
    <row r="124" ht="14.25" customHeight="1"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</row>
    <row r="125" ht="14.25" customHeight="1"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</row>
    <row r="126" ht="14.25" customHeight="1"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</row>
    <row r="127" ht="14.25" customHeight="1"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</row>
    <row r="128" ht="14.25" customHeight="1"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</row>
    <row r="129" ht="14.25" customHeight="1"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</row>
    <row r="130" ht="14.25" customHeight="1"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</row>
    <row r="131" ht="14.25" customHeight="1"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</row>
    <row r="132" ht="14.25" customHeight="1"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</row>
    <row r="133" ht="14.25" customHeight="1"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</row>
    <row r="134" ht="14.25" customHeight="1"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</row>
    <row r="135" ht="14.25" customHeight="1"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</row>
    <row r="136" ht="14.25" customHeight="1"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</row>
    <row r="137" ht="14.25" customHeight="1"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</row>
    <row r="138" ht="14.25" customHeight="1"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</row>
    <row r="139" ht="14.25" customHeight="1"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</row>
    <row r="140" ht="14.25" customHeight="1"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</row>
    <row r="141" ht="14.25" customHeight="1"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</row>
    <row r="142" ht="14.25" customHeight="1"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</row>
    <row r="143" ht="14.25" customHeight="1"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</row>
    <row r="144" ht="14.25" customHeight="1"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</row>
    <row r="145" ht="14.25" customHeight="1"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</row>
    <row r="146" ht="14.25" customHeight="1"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</row>
    <row r="147" ht="14.25" customHeight="1"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</row>
    <row r="148" ht="14.25" customHeight="1"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</row>
    <row r="149" ht="14.25" customHeight="1"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</row>
    <row r="150" ht="14.25" customHeight="1"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</row>
    <row r="151" ht="14.25" customHeight="1"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</row>
    <row r="152" ht="14.25" customHeight="1"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</row>
    <row r="153" ht="14.25" customHeight="1"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</row>
    <row r="154" ht="14.25" customHeight="1"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</row>
    <row r="155" ht="14.25" customHeight="1"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</row>
    <row r="156" ht="14.25" customHeight="1"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</row>
    <row r="157" ht="14.25" customHeight="1"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</row>
    <row r="158" ht="14.25" customHeight="1"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</row>
    <row r="159" ht="14.25" customHeight="1"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</row>
    <row r="160" ht="14.25" customHeight="1"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</row>
    <row r="161" ht="14.25" customHeight="1"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</row>
    <row r="162" ht="14.25" customHeight="1"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</row>
    <row r="163" ht="14.25" customHeight="1"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</row>
    <row r="164" ht="14.25" customHeight="1"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</row>
    <row r="165" ht="14.25" customHeight="1"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</row>
    <row r="166" ht="14.25" customHeight="1"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</row>
    <row r="167" ht="14.25" customHeight="1"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</row>
    <row r="168" ht="14.25" customHeight="1"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</row>
    <row r="169" ht="14.25" customHeight="1"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</row>
    <row r="170" ht="14.25" customHeight="1"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</row>
    <row r="171" ht="14.25" customHeight="1"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</row>
    <row r="172" ht="14.25" customHeight="1"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</row>
    <row r="173" ht="14.25" customHeight="1"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</row>
    <row r="174" ht="14.25" customHeight="1"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</row>
    <row r="175" ht="14.25" customHeight="1"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</row>
    <row r="176" ht="14.25" customHeight="1"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</row>
    <row r="177" ht="14.25" customHeight="1"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</row>
    <row r="178" ht="14.25" customHeight="1"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</row>
    <row r="179" ht="14.25" customHeight="1"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</row>
    <row r="180" ht="14.25" customHeight="1"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</row>
    <row r="181" ht="14.25" customHeight="1"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</row>
    <row r="182" ht="14.25" customHeight="1"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</row>
    <row r="183" ht="14.25" customHeight="1"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</row>
    <row r="184" ht="14.25" customHeight="1"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</row>
    <row r="185" ht="14.25" customHeight="1"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</row>
    <row r="186" ht="14.25" customHeight="1"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</row>
    <row r="187" ht="14.25" customHeight="1"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</row>
    <row r="188" ht="14.25" customHeight="1"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</row>
    <row r="189" ht="14.25" customHeight="1"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</row>
    <row r="190" ht="14.25" customHeight="1"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</row>
    <row r="191" ht="14.25" customHeight="1"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</row>
    <row r="192" ht="14.25" customHeight="1"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</row>
    <row r="193" ht="14.25" customHeight="1"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</row>
    <row r="194" ht="14.25" customHeight="1"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</row>
    <row r="195" ht="14.25" customHeight="1"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</row>
    <row r="196" ht="14.25" customHeight="1"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</row>
    <row r="197" ht="14.2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</row>
    <row r="198" ht="14.25" customHeight="1"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</row>
    <row r="199" ht="14.25" customHeight="1"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</row>
    <row r="200" ht="14.25" customHeight="1"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</row>
    <row r="201" ht="14.25" customHeight="1"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</row>
    <row r="202" ht="14.25" customHeight="1"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</row>
    <row r="203" ht="14.25" customHeight="1"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</row>
    <row r="204" ht="14.25" customHeight="1"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</row>
    <row r="205" ht="14.25" customHeight="1"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</row>
    <row r="206" ht="14.25" customHeight="1"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</row>
    <row r="207" ht="14.25" customHeight="1"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</row>
    <row r="208" ht="14.25" customHeight="1"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</row>
    <row r="209" ht="14.25" customHeight="1"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</row>
    <row r="210" ht="14.25" customHeight="1"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</row>
    <row r="211" ht="14.25" customHeight="1"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</row>
    <row r="212" ht="14.25" customHeight="1"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</row>
    <row r="213" ht="14.25" customHeight="1"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</row>
    <row r="214" ht="14.25" customHeight="1"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</row>
    <row r="215" ht="14.25" customHeight="1"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</row>
    <row r="216" ht="14.25" customHeight="1"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</row>
    <row r="217" ht="14.25" customHeight="1"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</row>
    <row r="218" ht="14.25" customHeight="1"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</row>
    <row r="219" ht="14.25" customHeight="1"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</row>
    <row r="220" ht="14.25" customHeight="1"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</row>
    <row r="221" ht="14.25" customHeight="1"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</row>
    <row r="222" ht="14.25" customHeight="1"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</row>
    <row r="223" ht="14.25" customHeight="1"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</row>
    <row r="224" ht="14.25" customHeight="1"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</row>
    <row r="225" ht="14.25" customHeight="1"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</row>
    <row r="226" ht="14.25" customHeight="1"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</row>
    <row r="227" ht="14.25" customHeight="1"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</row>
    <row r="228" ht="14.25" customHeight="1"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</row>
    <row r="229" ht="14.25" customHeight="1"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</row>
    <row r="230" ht="14.25" customHeight="1"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</row>
    <row r="231" ht="14.25" customHeight="1"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</row>
    <row r="232" ht="14.25" customHeight="1"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</row>
    <row r="233" ht="14.25" customHeight="1"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</row>
    <row r="234" ht="14.25" customHeight="1"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</row>
    <row r="235" ht="14.25" customHeight="1"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</row>
    <row r="236" ht="14.25" customHeight="1"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</row>
    <row r="237" ht="14.25" customHeight="1"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</row>
    <row r="238" ht="14.25" customHeight="1"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</row>
    <row r="239" ht="14.25" customHeight="1"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</row>
    <row r="240" ht="14.25" customHeight="1"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</row>
    <row r="241" ht="14.25" customHeight="1"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</row>
    <row r="242" ht="14.25" customHeight="1"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</row>
    <row r="243" ht="14.25" customHeight="1"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</row>
    <row r="244" ht="14.25" customHeight="1"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</row>
    <row r="245" ht="14.25" customHeight="1"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</row>
    <row r="246" ht="14.25" customHeight="1"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</row>
    <row r="247" ht="14.25" customHeight="1"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</row>
    <row r="248" ht="14.25" customHeight="1"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</row>
    <row r="249" ht="14.25" customHeight="1"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</row>
    <row r="250" ht="14.25" customHeight="1"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</row>
    <row r="251" ht="14.25" customHeight="1"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</row>
    <row r="252" ht="14.25" customHeight="1"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</row>
    <row r="253" ht="14.25" customHeight="1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</row>
    <row r="254" ht="14.25" customHeight="1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</row>
    <row r="255" ht="14.25" customHeight="1"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</row>
    <row r="256" ht="14.25" customHeight="1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</row>
    <row r="257" ht="14.25" customHeight="1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</row>
    <row r="258" ht="14.25" customHeight="1"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</row>
    <row r="259" ht="14.25" customHeight="1"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</row>
    <row r="260" ht="14.25" customHeight="1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</row>
    <row r="261" ht="14.25" customHeight="1"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</row>
    <row r="262" ht="14.25" customHeight="1"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</row>
    <row r="263" ht="14.25" customHeight="1"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</row>
    <row r="264" ht="14.25" customHeight="1"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</row>
    <row r="265" ht="14.25" customHeight="1"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</row>
    <row r="266" ht="14.25" customHeight="1"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</row>
    <row r="267" ht="14.25" customHeight="1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</row>
    <row r="268" ht="14.25" customHeight="1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</row>
    <row r="269" ht="15.75" customHeight="1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</row>
    <row r="270" ht="15.75" customHeight="1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</row>
    <row r="271" ht="15.75" customHeight="1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</row>
    <row r="272" ht="15.75" customHeight="1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</row>
    <row r="273" ht="15.75" customHeight="1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</row>
    <row r="274" ht="15.75" customHeight="1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</row>
    <row r="275" ht="15.75" customHeight="1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</row>
    <row r="276" ht="15.75" customHeight="1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</row>
    <row r="277" ht="15.75" customHeight="1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</row>
    <row r="278" ht="15.75" customHeight="1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</row>
    <row r="279" ht="15.75" customHeight="1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</row>
    <row r="280" ht="15.75" customHeight="1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</row>
    <row r="281" ht="15.75" customHeight="1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</row>
    <row r="282" ht="15.75" customHeight="1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</row>
    <row r="283" ht="15.75" customHeight="1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</row>
    <row r="284" ht="15.75" customHeight="1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</row>
    <row r="285" ht="15.75" customHeight="1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</row>
    <row r="286" ht="15.75" customHeight="1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</row>
    <row r="287" ht="15.75" customHeight="1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</row>
    <row r="288" ht="15.75" customHeight="1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</row>
    <row r="289" ht="15.75" customHeight="1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</row>
    <row r="290" ht="15.75" customHeight="1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</row>
    <row r="291" ht="15.75" customHeight="1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</row>
    <row r="292" ht="15.75" customHeight="1"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</row>
    <row r="293" ht="15.75" customHeight="1"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</row>
    <row r="294" ht="15.75" customHeight="1"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</row>
    <row r="295" ht="15.75" customHeight="1"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</row>
    <row r="296" ht="15.75" customHeight="1"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</row>
    <row r="297" ht="15.75" customHeight="1"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</row>
    <row r="298" ht="15.75" customHeight="1"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</row>
    <row r="299" ht="15.75" customHeight="1"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</row>
    <row r="300" ht="15.75" customHeight="1"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</row>
    <row r="301" ht="15.75" customHeight="1"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</row>
    <row r="302" ht="15.75" customHeight="1"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</row>
    <row r="303" ht="15.75" customHeight="1"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</row>
    <row r="304" ht="15.75" customHeight="1"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</row>
    <row r="305" ht="15.75" customHeight="1"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</row>
    <row r="306" ht="15.75" customHeight="1"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</row>
    <row r="307" ht="15.75" customHeight="1"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</row>
    <row r="308" ht="15.75" customHeight="1"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</row>
    <row r="309" ht="15.75" customHeight="1"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</row>
    <row r="310" ht="15.75" customHeight="1"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</row>
    <row r="311" ht="15.75" customHeight="1"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</row>
    <row r="312" ht="15.75" customHeight="1"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</row>
    <row r="313" ht="15.75" customHeight="1"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</row>
    <row r="314" ht="15.75" customHeight="1"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</row>
    <row r="315" ht="15.75" customHeight="1"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</row>
    <row r="316" ht="15.75" customHeight="1"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</row>
    <row r="317" ht="15.75" customHeight="1"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</row>
    <row r="318" ht="15.75" customHeight="1"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</row>
    <row r="319" ht="15.75" customHeight="1"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</row>
    <row r="320" ht="15.75" customHeight="1"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</row>
    <row r="321" ht="15.75" customHeight="1"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</row>
    <row r="322" ht="15.75" customHeight="1"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</row>
    <row r="323" ht="15.75" customHeight="1"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</row>
    <row r="324" ht="15.75" customHeight="1"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</row>
    <row r="325" ht="15.75" customHeight="1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</row>
    <row r="326" ht="15.75" customHeight="1"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</row>
    <row r="327" ht="15.75" customHeight="1"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</row>
    <row r="328" ht="15.75" customHeight="1"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</row>
    <row r="329" ht="15.75" customHeight="1"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</row>
    <row r="330" ht="15.75" customHeight="1"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</row>
    <row r="331" ht="15.75" customHeight="1"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</row>
    <row r="332" ht="15.75" customHeight="1"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</row>
    <row r="333" ht="15.75" customHeight="1"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</row>
    <row r="334" ht="15.75" customHeight="1"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</row>
    <row r="335" ht="15.75" customHeight="1"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</row>
    <row r="336" ht="15.75" customHeight="1"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</row>
    <row r="337" ht="15.75" customHeight="1"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</row>
    <row r="338" ht="15.75" customHeight="1"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</row>
    <row r="339" ht="15.75" customHeight="1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</row>
    <row r="340" ht="15.75" customHeight="1"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</row>
    <row r="341" ht="15.75" customHeight="1"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</row>
    <row r="342" ht="15.75" customHeight="1"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</row>
    <row r="343" ht="15.75" customHeight="1"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</row>
    <row r="344" ht="15.75" customHeight="1"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</row>
    <row r="345" ht="15.75" customHeight="1"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</row>
    <row r="346" ht="15.75" customHeight="1"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</row>
    <row r="347" ht="15.75" customHeight="1"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</row>
    <row r="348" ht="15.75" customHeight="1"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</row>
    <row r="349" ht="15.75" customHeight="1"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</row>
    <row r="350" ht="15.75" customHeight="1"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</row>
    <row r="351" ht="15.75" customHeight="1"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</row>
    <row r="352" ht="15.75" customHeight="1"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</row>
    <row r="353" ht="15.75" customHeight="1"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</row>
    <row r="354" ht="15.75" customHeight="1"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</row>
    <row r="355" ht="15.75" customHeight="1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</row>
    <row r="356" ht="15.75" customHeight="1"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</row>
    <row r="357" ht="15.75" customHeight="1"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</row>
    <row r="358" ht="15.75" customHeight="1"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</row>
    <row r="359" ht="15.75" customHeight="1"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</row>
    <row r="360" ht="15.75" customHeight="1"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</row>
    <row r="361" ht="15.75" customHeight="1"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</row>
    <row r="362" ht="15.75" customHeight="1"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</row>
    <row r="363" ht="15.75" customHeight="1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</row>
    <row r="364" ht="15.75" customHeight="1"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</row>
    <row r="365" ht="15.75" customHeight="1"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</row>
    <row r="366" ht="15.75" customHeight="1"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</row>
    <row r="367" ht="15.75" customHeight="1"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</row>
    <row r="368" ht="15.75" customHeight="1"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</row>
    <row r="369" ht="15.75" customHeight="1"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</row>
    <row r="370" ht="15.75" customHeight="1"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</row>
    <row r="371" ht="15.75" customHeight="1"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</row>
    <row r="372" ht="15.75" customHeight="1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</row>
    <row r="373" ht="15.75" customHeight="1"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</row>
    <row r="374" ht="15.75" customHeight="1"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</row>
    <row r="375" ht="15.75" customHeight="1"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</row>
    <row r="376" ht="15.75" customHeight="1"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</row>
    <row r="377" ht="15.75" customHeight="1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</row>
    <row r="378" ht="15.75" customHeight="1"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</row>
    <row r="379" ht="15.75" customHeight="1"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</row>
    <row r="380" ht="15.75" customHeight="1"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</row>
    <row r="381" ht="15.75" customHeight="1"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</row>
    <row r="382" ht="15.75" customHeight="1"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</row>
    <row r="383" ht="15.75" customHeight="1"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</row>
    <row r="384" ht="15.75" customHeight="1"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</row>
    <row r="385" ht="15.75" customHeight="1"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</row>
    <row r="386" ht="15.75" customHeight="1"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</row>
    <row r="387" ht="15.75" customHeight="1"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</row>
    <row r="388" ht="15.75" customHeight="1"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</row>
    <row r="389" ht="15.75" customHeight="1"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</row>
    <row r="390" ht="15.75" customHeight="1"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</row>
    <row r="391" ht="15.75" customHeight="1"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</row>
    <row r="392" ht="15.75" customHeight="1"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</row>
    <row r="393" ht="15.75" customHeight="1"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</row>
    <row r="394" ht="15.75" customHeight="1"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</row>
    <row r="395" ht="15.75" customHeight="1"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</row>
    <row r="396" ht="15.75" customHeight="1"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</row>
    <row r="397" ht="15.75" customHeight="1"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</row>
    <row r="398" ht="15.75" customHeight="1"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</row>
    <row r="399" ht="15.75" customHeight="1"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</row>
    <row r="400" ht="15.75" customHeight="1"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</row>
    <row r="401" ht="15.75" customHeight="1"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</row>
    <row r="402" ht="15.75" customHeight="1"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</row>
    <row r="403" ht="15.75" customHeight="1"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</row>
    <row r="404" ht="15.75" customHeight="1"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</row>
    <row r="405" ht="15.75" customHeight="1"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</row>
    <row r="406" ht="15.75" customHeight="1"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</row>
    <row r="407" ht="15.75" customHeight="1"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</row>
    <row r="408" ht="15.75" customHeight="1"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</row>
    <row r="409" ht="15.75" customHeight="1"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</row>
    <row r="410" ht="15.75" customHeight="1"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</row>
    <row r="411" ht="15.75" customHeight="1"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</row>
    <row r="412" ht="15.75" customHeight="1"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</row>
    <row r="413" ht="15.75" customHeight="1"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</row>
    <row r="414" ht="15.75" customHeight="1"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</row>
    <row r="415" ht="15.75" customHeight="1"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</row>
    <row r="416" ht="15.75" customHeight="1"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</row>
    <row r="417" ht="15.75" customHeight="1"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</row>
    <row r="418" ht="15.75" customHeight="1"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</row>
    <row r="419" ht="15.75" customHeight="1"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</row>
    <row r="420" ht="15.75" customHeight="1"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</row>
    <row r="421" ht="15.75" customHeight="1"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</row>
    <row r="422" ht="15.75" customHeight="1"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</row>
    <row r="423" ht="15.75" customHeight="1"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</row>
    <row r="424" ht="15.75" customHeight="1"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</row>
    <row r="425" ht="15.75" customHeight="1"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</row>
    <row r="426" ht="15.75" customHeight="1"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</row>
    <row r="427" ht="15.75" customHeight="1"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</row>
    <row r="428" ht="15.75" customHeight="1"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</row>
    <row r="429" ht="15.75" customHeight="1"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</row>
    <row r="430" ht="15.75" customHeight="1"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</row>
    <row r="431" ht="15.75" customHeight="1"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</row>
    <row r="432" ht="15.75" customHeight="1"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</row>
    <row r="433" ht="15.75" customHeight="1"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</row>
    <row r="434" ht="15.75" customHeight="1"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</row>
    <row r="435" ht="15.75" customHeight="1"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</row>
    <row r="436" ht="15.75" customHeight="1"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</row>
    <row r="437" ht="15.75" customHeight="1"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</row>
    <row r="438" ht="15.75" customHeight="1"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</row>
    <row r="439" ht="15.75" customHeight="1"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</row>
    <row r="440" ht="15.75" customHeight="1"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</row>
    <row r="441" ht="15.75" customHeight="1"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</row>
    <row r="442" ht="15.75" customHeight="1"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</row>
    <row r="443" ht="15.75" customHeight="1"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</row>
    <row r="444" ht="15.75" customHeight="1"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</row>
    <row r="445" ht="15.75" customHeight="1"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</row>
    <row r="446" ht="15.75" customHeight="1"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</row>
    <row r="447" ht="15.75" customHeight="1"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</row>
    <row r="448" ht="15.75" customHeight="1"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</row>
    <row r="449" ht="15.75" customHeight="1"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</row>
    <row r="450" ht="15.75" customHeight="1"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</row>
    <row r="451" ht="15.75" customHeight="1"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</row>
    <row r="452" ht="15.75" customHeight="1"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</row>
    <row r="453" ht="15.75" customHeight="1"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</row>
    <row r="454" ht="15.75" customHeight="1"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</row>
    <row r="455" ht="15.75" customHeight="1"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</row>
    <row r="456" ht="15.75" customHeight="1"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</row>
    <row r="457" ht="15.75" customHeight="1"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</row>
    <row r="458" ht="15.75" customHeight="1"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</row>
    <row r="459" ht="15.75" customHeight="1"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</row>
    <row r="460" ht="15.75" customHeight="1"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</row>
    <row r="461" ht="15.75" customHeight="1"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</row>
    <row r="462" ht="15.75" customHeight="1"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</row>
    <row r="463" ht="15.75" customHeight="1"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</row>
    <row r="464" ht="15.75" customHeight="1"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</row>
    <row r="465" ht="15.75" customHeight="1"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</row>
    <row r="466" ht="15.75" customHeight="1"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</row>
    <row r="467" ht="15.75" customHeight="1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</row>
    <row r="468" ht="15.75" customHeight="1"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</row>
    <row r="469" ht="15.75" customHeight="1"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</row>
    <row r="470" ht="15.75" customHeight="1"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</row>
    <row r="471" ht="15.75" customHeight="1"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</row>
    <row r="472" ht="15.75" customHeight="1"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</row>
    <row r="473" ht="15.75" customHeight="1"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</row>
    <row r="474" ht="15.75" customHeight="1"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</row>
    <row r="475" ht="15.75" customHeight="1"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</row>
    <row r="476" ht="15.75" customHeight="1"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</row>
    <row r="477" ht="15.75" customHeight="1"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</row>
    <row r="478" ht="15.75" customHeight="1"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</row>
    <row r="479" ht="15.75" customHeight="1"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</row>
    <row r="480" ht="15.75" customHeight="1"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</row>
    <row r="481" ht="15.75" customHeight="1"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</row>
    <row r="482" ht="15.75" customHeight="1"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</row>
    <row r="483" ht="15.75" customHeight="1"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</row>
    <row r="484" ht="15.75" customHeight="1"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</row>
    <row r="485" ht="15.75" customHeight="1"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</row>
    <row r="486" ht="15.75" customHeight="1"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</row>
    <row r="487" ht="15.75" customHeight="1"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</row>
    <row r="488" ht="15.75" customHeight="1"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</row>
    <row r="489" ht="15.75" customHeight="1"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</row>
    <row r="490" ht="15.75" customHeight="1"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</row>
    <row r="491" ht="15.75" customHeight="1"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</row>
    <row r="492" ht="15.75" customHeight="1"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</row>
    <row r="493" ht="15.75" customHeight="1"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</row>
    <row r="494" ht="15.75" customHeight="1"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</row>
    <row r="495" ht="15.75" customHeight="1"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</row>
    <row r="496" ht="15.75" customHeight="1"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</row>
    <row r="497" ht="15.75" customHeight="1"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</row>
    <row r="498" ht="15.75" customHeight="1"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</row>
    <row r="499" ht="15.75" customHeight="1"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</row>
    <row r="500" ht="15.75" customHeight="1"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</row>
    <row r="501" ht="15.75" customHeight="1"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</row>
    <row r="502" ht="15.75" customHeight="1"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</row>
    <row r="503" ht="15.75" customHeight="1"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</row>
    <row r="504" ht="15.75" customHeight="1"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</row>
    <row r="505" ht="15.75" customHeight="1"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</row>
    <row r="506" ht="15.75" customHeight="1"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</row>
    <row r="507" ht="15.75" customHeight="1"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</row>
    <row r="508" ht="15.75" customHeight="1"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</row>
    <row r="509" ht="15.75" customHeight="1"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</row>
    <row r="510" ht="15.75" customHeight="1"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</row>
    <row r="511" ht="15.75" customHeight="1"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</row>
    <row r="512" ht="15.75" customHeight="1"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</row>
    <row r="513" ht="15.75" customHeight="1"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</row>
    <row r="514" ht="15.75" customHeight="1"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</row>
    <row r="515" ht="15.75" customHeight="1"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</row>
    <row r="516" ht="15.75" customHeight="1"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</row>
    <row r="517" ht="15.75" customHeight="1"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</row>
    <row r="518" ht="15.75" customHeight="1"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</row>
    <row r="519" ht="15.75" customHeight="1"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</row>
    <row r="520" ht="15.75" customHeight="1"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</row>
    <row r="521" ht="15.75" customHeight="1"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</row>
    <row r="522" ht="15.75" customHeight="1"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</row>
    <row r="523" ht="15.75" customHeight="1"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</row>
    <row r="524" ht="15.75" customHeight="1"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</row>
    <row r="525" ht="15.75" customHeight="1"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</row>
    <row r="526" ht="15.75" customHeight="1"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</row>
    <row r="527" ht="15.75" customHeight="1"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</row>
    <row r="528" ht="15.75" customHeight="1"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</row>
    <row r="529" ht="15.75" customHeight="1"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</row>
    <row r="530" ht="15.75" customHeight="1"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</row>
    <row r="531" ht="15.75" customHeight="1"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</row>
    <row r="532" ht="15.75" customHeight="1"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</row>
    <row r="533" ht="15.75" customHeight="1"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</row>
    <row r="534" ht="15.75" customHeight="1"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</row>
    <row r="535" ht="15.75" customHeight="1"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</row>
    <row r="536" ht="15.75" customHeight="1"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</row>
    <row r="537" ht="15.75" customHeight="1"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</row>
    <row r="538" ht="15.75" customHeight="1"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</row>
    <row r="539" ht="15.75" customHeight="1"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</row>
    <row r="540" ht="15.75" customHeight="1"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</row>
    <row r="541" ht="15.75" customHeight="1"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</row>
    <row r="542" ht="15.75" customHeight="1"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</row>
    <row r="543" ht="15.75" customHeight="1"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</row>
    <row r="544" ht="15.75" customHeight="1"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</row>
    <row r="545" ht="15.75" customHeight="1"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</row>
    <row r="546" ht="15.75" customHeight="1"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</row>
    <row r="547" ht="15.75" customHeight="1"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</row>
    <row r="548" ht="15.75" customHeight="1"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</row>
    <row r="549" ht="15.75" customHeight="1"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</row>
    <row r="550" ht="15.75" customHeight="1"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</row>
    <row r="551" ht="15.75" customHeight="1"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</row>
    <row r="552" ht="15.75" customHeight="1"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</row>
    <row r="553" ht="15.75" customHeight="1"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</row>
    <row r="554" ht="15.75" customHeight="1"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</row>
    <row r="555" ht="15.75" customHeight="1"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</row>
    <row r="556" ht="15.75" customHeight="1"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</row>
    <row r="557" ht="15.75" customHeight="1"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</row>
    <row r="558" ht="15.75" customHeight="1"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</row>
    <row r="559" ht="15.75" customHeight="1"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</row>
    <row r="560" ht="15.75" customHeight="1"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</row>
    <row r="561" ht="15.75" customHeight="1"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</row>
    <row r="562" ht="15.75" customHeight="1"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</row>
    <row r="563" ht="15.75" customHeight="1"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</row>
    <row r="564" ht="15.75" customHeight="1"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</row>
    <row r="565" ht="15.75" customHeight="1"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</row>
    <row r="566" ht="15.75" customHeight="1"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</row>
    <row r="567" ht="15.75" customHeight="1"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</row>
    <row r="568" ht="15.75" customHeight="1"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</row>
    <row r="569" ht="15.75" customHeight="1"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</row>
    <row r="570" ht="15.75" customHeight="1"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</row>
    <row r="571" ht="15.75" customHeight="1"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</row>
    <row r="572" ht="15.75" customHeight="1"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</row>
    <row r="573" ht="15.75" customHeight="1"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</row>
    <row r="574" ht="15.75" customHeight="1"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</row>
    <row r="575" ht="15.75" customHeight="1"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</row>
    <row r="576" ht="15.75" customHeight="1"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</row>
    <row r="577" ht="15.75" customHeight="1"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</row>
    <row r="578" ht="15.75" customHeight="1"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</row>
    <row r="579" ht="15.75" customHeight="1"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</row>
    <row r="580" ht="15.75" customHeight="1"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</row>
    <row r="581" ht="15.75" customHeight="1"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</row>
    <row r="582" ht="15.75" customHeight="1"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</row>
    <row r="583" ht="15.75" customHeight="1"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</row>
    <row r="584" ht="15.75" customHeight="1"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</row>
    <row r="585" ht="15.75" customHeight="1"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</row>
    <row r="586" ht="15.75" customHeight="1"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</row>
    <row r="587" ht="15.75" customHeight="1"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</row>
    <row r="588" ht="15.75" customHeight="1"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</row>
    <row r="589" ht="15.75" customHeight="1"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</row>
    <row r="590" ht="15.75" customHeight="1"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</row>
    <row r="591" ht="15.75" customHeight="1"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</row>
    <row r="592" ht="15.75" customHeight="1"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</row>
    <row r="593" ht="15.75" customHeight="1"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</row>
    <row r="594" ht="15.75" customHeight="1"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</row>
    <row r="595" ht="15.75" customHeight="1"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</row>
    <row r="596" ht="15.75" customHeight="1"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</row>
    <row r="597" ht="15.75" customHeight="1"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</row>
    <row r="598" ht="15.75" customHeight="1"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</row>
    <row r="599" ht="15.75" customHeight="1"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</row>
    <row r="600" ht="15.75" customHeight="1"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</row>
    <row r="601" ht="15.75" customHeight="1"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</row>
    <row r="602" ht="15.75" customHeight="1"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</row>
    <row r="603" ht="15.75" customHeight="1"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</row>
    <row r="604" ht="15.75" customHeight="1"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</row>
    <row r="605" ht="15.75" customHeight="1"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</row>
    <row r="606" ht="15.75" customHeight="1"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</row>
    <row r="607" ht="15.75" customHeight="1"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</row>
    <row r="608" ht="15.75" customHeight="1"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</row>
    <row r="609" ht="15.75" customHeight="1"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</row>
    <row r="610" ht="15.75" customHeight="1"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</row>
    <row r="611" ht="15.75" customHeight="1"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</row>
    <row r="612" ht="15.75" customHeight="1"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</row>
    <row r="613" ht="15.75" customHeight="1"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</row>
    <row r="614" ht="15.75" customHeight="1"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</row>
    <row r="615" ht="15.75" customHeight="1"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</row>
    <row r="616" ht="15.75" customHeight="1"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</row>
    <row r="617" ht="15.75" customHeight="1"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</row>
    <row r="618" ht="15.75" customHeight="1"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</row>
    <row r="619" ht="15.75" customHeight="1"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</row>
    <row r="620" ht="15.75" customHeight="1"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</row>
    <row r="621" ht="15.75" customHeight="1"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</row>
    <row r="622" ht="15.75" customHeight="1"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</row>
    <row r="623" ht="15.75" customHeight="1"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</row>
    <row r="624" ht="15.75" customHeight="1"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</row>
    <row r="625" ht="15.75" customHeight="1"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</row>
    <row r="626" ht="15.75" customHeight="1"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</row>
    <row r="627" ht="15.75" customHeight="1"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</row>
    <row r="628" ht="15.75" customHeight="1"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</row>
    <row r="629" ht="15.75" customHeight="1"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</row>
    <row r="630" ht="15.75" customHeight="1"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</row>
    <row r="631" ht="15.75" customHeight="1"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</row>
    <row r="632" ht="15.75" customHeight="1"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</row>
    <row r="633" ht="15.75" customHeight="1"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</row>
    <row r="634" ht="15.75" customHeight="1"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</row>
    <row r="635" ht="15.75" customHeight="1"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</row>
    <row r="636" ht="15.75" customHeight="1"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</row>
    <row r="637" ht="15.75" customHeight="1"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</row>
    <row r="638" ht="15.75" customHeight="1"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</row>
    <row r="639" ht="15.75" customHeight="1"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</row>
    <row r="640" ht="15.75" customHeight="1"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</row>
    <row r="641" ht="15.75" customHeight="1"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</row>
    <row r="642" ht="15.75" customHeight="1"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</row>
    <row r="643" ht="15.75" customHeight="1"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</row>
    <row r="644" ht="15.75" customHeight="1"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</row>
    <row r="645" ht="15.75" customHeight="1"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</row>
    <row r="646" ht="15.75" customHeight="1"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</row>
    <row r="647" ht="15.75" customHeight="1"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</row>
    <row r="648" ht="15.75" customHeight="1"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</row>
    <row r="649" ht="15.75" customHeight="1"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</row>
    <row r="650" ht="15.75" customHeight="1"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</row>
    <row r="651" ht="15.75" customHeight="1"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</row>
    <row r="652" ht="15.75" customHeight="1"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</row>
    <row r="653" ht="15.75" customHeight="1"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</row>
    <row r="654" ht="15.75" customHeight="1"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</row>
    <row r="655" ht="15.75" customHeight="1"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</row>
    <row r="656" ht="15.75" customHeight="1"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</row>
    <row r="657" ht="15.75" customHeight="1"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</row>
    <row r="658" ht="15.75" customHeight="1"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</row>
    <row r="659" ht="15.75" customHeight="1"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</row>
    <row r="660" ht="15.75" customHeight="1"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</row>
    <row r="661" ht="15.75" customHeight="1"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</row>
    <row r="662" ht="15.75" customHeight="1"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</row>
    <row r="663" ht="15.75" customHeight="1"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</row>
    <row r="664" ht="15.75" customHeight="1"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</row>
    <row r="665" ht="15.75" customHeight="1"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</row>
    <row r="666" ht="15.75" customHeight="1"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</row>
    <row r="667" ht="15.75" customHeight="1"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</row>
    <row r="668" ht="15.75" customHeight="1"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</row>
    <row r="669" ht="15.75" customHeight="1"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</row>
    <row r="670" ht="15.75" customHeight="1"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</row>
    <row r="671" ht="15.75" customHeight="1"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</row>
    <row r="672" ht="15.75" customHeight="1"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</row>
    <row r="673" ht="15.75" customHeight="1"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</row>
    <row r="674" ht="15.75" customHeight="1"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</row>
    <row r="675" ht="15.75" customHeight="1"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</row>
    <row r="676" ht="15.75" customHeight="1"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</row>
    <row r="677" ht="15.75" customHeight="1"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</row>
    <row r="678" ht="15.75" customHeight="1"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</row>
    <row r="679" ht="15.75" customHeight="1"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</row>
    <row r="680" ht="15.75" customHeight="1"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</row>
    <row r="681" ht="15.75" customHeight="1"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</row>
    <row r="682" ht="15.75" customHeight="1"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</row>
    <row r="683" ht="15.75" customHeight="1"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</row>
    <row r="684" ht="15.75" customHeight="1"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</row>
    <row r="685" ht="15.75" customHeight="1"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</row>
    <row r="686" ht="15.75" customHeight="1"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</row>
    <row r="687" ht="15.75" customHeight="1"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</row>
    <row r="688" ht="15.75" customHeight="1"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</row>
    <row r="689" ht="15.75" customHeight="1"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</row>
    <row r="690" ht="15.75" customHeight="1"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</row>
    <row r="691" ht="15.75" customHeight="1"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</row>
    <row r="692" ht="15.75" customHeight="1"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</row>
    <row r="693" ht="15.75" customHeight="1"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</row>
    <row r="694" ht="15.75" customHeight="1"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</row>
    <row r="695" ht="15.75" customHeight="1"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</row>
    <row r="696" ht="15.75" customHeight="1"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</row>
    <row r="697" ht="15.75" customHeight="1"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</row>
    <row r="698" ht="15.75" customHeight="1"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</row>
    <row r="699" ht="15.75" customHeight="1"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</row>
    <row r="700" ht="15.75" customHeight="1"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</row>
    <row r="701" ht="15.75" customHeight="1"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</row>
    <row r="702" ht="15.75" customHeight="1"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</row>
    <row r="703" ht="15.75" customHeight="1"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</row>
    <row r="704" ht="15.75" customHeight="1"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</row>
    <row r="705" ht="15.75" customHeight="1"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</row>
    <row r="706" ht="15.75" customHeight="1"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</row>
    <row r="707" ht="15.75" customHeight="1"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</row>
    <row r="708" ht="15.75" customHeight="1"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</row>
    <row r="709" ht="15.75" customHeight="1"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</row>
    <row r="710" ht="15.75" customHeight="1"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</row>
    <row r="711" ht="15.75" customHeight="1"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</row>
    <row r="712" ht="15.75" customHeight="1"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</row>
    <row r="713" ht="15.75" customHeight="1"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</row>
    <row r="714" ht="15.75" customHeight="1"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</row>
    <row r="715" ht="15.75" customHeight="1"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</row>
    <row r="716" ht="15.75" customHeight="1"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</row>
    <row r="717" ht="15.75" customHeight="1"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</row>
    <row r="718" ht="15.75" customHeight="1"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</row>
    <row r="719" ht="15.75" customHeight="1"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</row>
    <row r="720" ht="15.75" customHeight="1"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</row>
    <row r="721" ht="15.75" customHeight="1"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</row>
    <row r="722" ht="15.75" customHeight="1"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</row>
    <row r="723" ht="15.75" customHeight="1"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</row>
    <row r="724" ht="15.75" customHeight="1"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</row>
    <row r="725" ht="15.75" customHeight="1"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</row>
    <row r="726" ht="15.75" customHeight="1"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</row>
    <row r="727" ht="15.75" customHeight="1"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</row>
    <row r="728" ht="15.75" customHeight="1"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</row>
    <row r="729" ht="15.75" customHeight="1"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</row>
    <row r="730" ht="15.75" customHeight="1"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</row>
    <row r="731" ht="15.75" customHeight="1"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</row>
    <row r="732" ht="15.75" customHeight="1"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</row>
    <row r="733" ht="15.75" customHeight="1"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</row>
    <row r="734" ht="15.75" customHeight="1"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</row>
    <row r="735" ht="15.75" customHeight="1"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</row>
    <row r="736" ht="15.75" customHeight="1"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</row>
    <row r="737" ht="15.75" customHeight="1"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</row>
    <row r="738" ht="15.75" customHeight="1"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</row>
    <row r="739" ht="15.75" customHeight="1"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</row>
    <row r="740" ht="15.75" customHeight="1"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</row>
    <row r="741" ht="15.75" customHeight="1"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</row>
    <row r="742" ht="15.75" customHeight="1"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</row>
    <row r="743" ht="15.75" customHeight="1"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</row>
    <row r="744" ht="15.75" customHeight="1"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</row>
    <row r="745" ht="15.75" customHeight="1"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</row>
    <row r="746" ht="15.75" customHeight="1"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</row>
    <row r="747" ht="15.75" customHeight="1"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</row>
    <row r="748" ht="15.75" customHeight="1"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</row>
    <row r="749" ht="15.75" customHeight="1"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</row>
    <row r="750" ht="15.75" customHeight="1"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</row>
    <row r="751" ht="15.75" customHeight="1"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</row>
    <row r="752" ht="15.75" customHeight="1"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</row>
    <row r="753" ht="15.75" customHeight="1"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</row>
    <row r="754" ht="15.75" customHeight="1"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</row>
    <row r="755" ht="15.75" customHeight="1"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</row>
    <row r="756" ht="15.75" customHeight="1"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</row>
    <row r="757" ht="15.75" customHeight="1"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</row>
    <row r="758" ht="15.75" customHeight="1"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</row>
    <row r="759" ht="15.75" customHeight="1"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</row>
    <row r="760" ht="15.75" customHeight="1"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</row>
    <row r="761" ht="15.75" customHeight="1"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</row>
    <row r="762" ht="15.75" customHeight="1"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</row>
    <row r="763" ht="15.75" customHeight="1"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</row>
    <row r="764" ht="15.75" customHeight="1"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</row>
    <row r="765" ht="15.75" customHeight="1"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</row>
    <row r="766" ht="15.75" customHeight="1"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</row>
    <row r="767" ht="15.75" customHeight="1"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</row>
    <row r="768" ht="15.75" customHeight="1"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</row>
    <row r="769" ht="15.75" customHeight="1"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</row>
    <row r="770" ht="15.75" customHeight="1"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</row>
    <row r="771" ht="15.75" customHeight="1"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</row>
    <row r="772" ht="15.75" customHeight="1"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</row>
    <row r="773" ht="15.75" customHeight="1"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</row>
    <row r="774" ht="15.75" customHeight="1"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</row>
    <row r="775" ht="15.75" customHeight="1"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</row>
    <row r="776" ht="15.75" customHeight="1"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</row>
    <row r="777" ht="15.75" customHeight="1"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</row>
    <row r="778" ht="15.75" customHeight="1"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</row>
    <row r="779" ht="15.75" customHeight="1"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</row>
    <row r="780" ht="15.75" customHeight="1"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</row>
    <row r="781" ht="15.75" customHeight="1"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</row>
    <row r="782" ht="15.75" customHeight="1"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</row>
    <row r="783" ht="15.75" customHeight="1"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</row>
    <row r="784" ht="15.75" customHeight="1"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</row>
    <row r="785" ht="15.75" customHeight="1"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</row>
    <row r="786" ht="15.75" customHeight="1"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</row>
    <row r="787" ht="15.75" customHeight="1"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</row>
    <row r="788" ht="15.75" customHeight="1"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</row>
    <row r="789" ht="15.75" customHeight="1"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</row>
    <row r="790" ht="15.75" customHeight="1"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</row>
    <row r="791" ht="15.75" customHeight="1"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</row>
    <row r="792" ht="15.75" customHeight="1"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</row>
    <row r="793" ht="15.75" customHeight="1"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</row>
    <row r="794" ht="15.75" customHeight="1"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</row>
    <row r="795" ht="15.75" customHeight="1"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</row>
    <row r="796" ht="15.75" customHeight="1"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</row>
    <row r="797" ht="15.75" customHeight="1"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</row>
    <row r="798" ht="15.75" customHeight="1"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</row>
    <row r="799" ht="15.75" customHeight="1"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</row>
    <row r="800" ht="15.75" customHeight="1"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</row>
    <row r="801" ht="15.75" customHeight="1"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</row>
    <row r="802" ht="15.75" customHeight="1"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</row>
    <row r="803" ht="15.75" customHeight="1"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</row>
    <row r="804" ht="15.75" customHeight="1"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</row>
    <row r="805" ht="15.75" customHeight="1"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</row>
    <row r="806" ht="15.75" customHeight="1"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</row>
    <row r="807" ht="15.75" customHeight="1"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</row>
    <row r="808" ht="15.75" customHeight="1"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</row>
    <row r="809" ht="15.75" customHeight="1"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</row>
    <row r="810" ht="15.75" customHeight="1"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</row>
    <row r="811" ht="15.75" customHeight="1"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</row>
    <row r="812" ht="15.75" customHeight="1"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</row>
    <row r="813" ht="15.75" customHeight="1"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</row>
    <row r="814" ht="15.75" customHeight="1"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</row>
    <row r="815" ht="15.75" customHeight="1"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</row>
    <row r="816" ht="15.75" customHeight="1"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</row>
    <row r="817" ht="15.75" customHeight="1"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</row>
    <row r="818" ht="15.75" customHeight="1"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</row>
    <row r="819" ht="15.75" customHeight="1"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</row>
    <row r="820" ht="15.75" customHeight="1"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</row>
    <row r="821" ht="15.75" customHeight="1"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</row>
    <row r="822" ht="15.75" customHeight="1"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</row>
    <row r="823" ht="15.75" customHeight="1"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</row>
    <row r="824" ht="15.75" customHeight="1"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</row>
    <row r="825" ht="15.75" customHeight="1"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</row>
    <row r="826" ht="15.75" customHeight="1"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</row>
    <row r="827" ht="15.75" customHeight="1"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</row>
    <row r="828" ht="15.75" customHeight="1"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</row>
    <row r="829" ht="15.75" customHeight="1"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</row>
    <row r="830" ht="15.75" customHeight="1"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</row>
    <row r="831" ht="15.75" customHeight="1"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</row>
    <row r="832" ht="15.75" customHeight="1"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</row>
    <row r="833" ht="15.75" customHeight="1"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</row>
    <row r="834" ht="15.75" customHeight="1"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</row>
    <row r="835" ht="15.75" customHeight="1"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</row>
    <row r="836" ht="15.75" customHeight="1"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</row>
    <row r="837" ht="15.75" customHeight="1"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</row>
    <row r="838" ht="15.75" customHeight="1"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</row>
    <row r="839" ht="15.75" customHeight="1"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</row>
    <row r="840" ht="15.75" customHeight="1"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</row>
    <row r="841" ht="15.75" customHeight="1"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</row>
    <row r="842" ht="15.75" customHeight="1"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</row>
    <row r="843" ht="15.75" customHeight="1"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</row>
    <row r="844" ht="15.75" customHeight="1"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</row>
    <row r="845" ht="15.75" customHeight="1"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</row>
    <row r="846" ht="15.75" customHeight="1"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</row>
    <row r="847" ht="15.75" customHeight="1"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</row>
    <row r="848" ht="15.75" customHeight="1"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</row>
    <row r="849" ht="15.75" customHeight="1"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</row>
    <row r="850" ht="15.75" customHeight="1"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</row>
    <row r="851" ht="15.75" customHeight="1"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</row>
    <row r="852" ht="15.75" customHeight="1"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</row>
    <row r="853" ht="15.75" customHeight="1"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</row>
    <row r="854" ht="15.75" customHeight="1"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</row>
    <row r="855" ht="15.75" customHeight="1"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</row>
    <row r="856" ht="15.75" customHeight="1"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</row>
    <row r="857" ht="15.75" customHeight="1"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</row>
    <row r="858" ht="15.75" customHeight="1"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</row>
    <row r="859" ht="15.75" customHeight="1"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</row>
    <row r="860" ht="15.75" customHeight="1"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</row>
    <row r="861" ht="15.75" customHeight="1"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</row>
    <row r="862" ht="15.75" customHeight="1"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</row>
    <row r="863" ht="15.75" customHeight="1"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</row>
    <row r="864" ht="15.75" customHeight="1"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</row>
    <row r="865" ht="15.75" customHeight="1"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</row>
    <row r="866" ht="15.75" customHeight="1"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</row>
    <row r="867" ht="15.75" customHeight="1"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</row>
    <row r="868" ht="15.75" customHeight="1"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</row>
    <row r="869" ht="15.75" customHeight="1"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</row>
    <row r="870" ht="15.75" customHeight="1"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</row>
    <row r="871" ht="15.75" customHeight="1"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</row>
    <row r="872" ht="15.75" customHeight="1"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</row>
    <row r="873" ht="15.75" customHeight="1"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</row>
    <row r="874" ht="15.75" customHeight="1"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</row>
    <row r="875" ht="15.75" customHeight="1"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</row>
    <row r="876" ht="15.75" customHeight="1"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</row>
    <row r="877" ht="15.75" customHeight="1"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</row>
    <row r="878" ht="15.75" customHeight="1"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</row>
    <row r="879" ht="15.75" customHeight="1"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</row>
    <row r="880" ht="15.75" customHeight="1"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</row>
    <row r="881" ht="15.75" customHeight="1"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</row>
    <row r="882" ht="15.75" customHeight="1"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</row>
    <row r="883" ht="15.75" customHeight="1"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</row>
    <row r="884" ht="15.75" customHeight="1"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</row>
    <row r="885" ht="15.75" customHeight="1"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</row>
    <row r="886" ht="15.75" customHeight="1"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</row>
    <row r="887" ht="15.75" customHeight="1"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</row>
    <row r="888" ht="15.75" customHeight="1"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</row>
    <row r="889" ht="15.75" customHeight="1"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</row>
    <row r="890" ht="15.75" customHeight="1"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</row>
    <row r="891" ht="15.75" customHeight="1"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</row>
    <row r="892" ht="15.75" customHeight="1"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</row>
    <row r="893" ht="15.75" customHeight="1"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</row>
    <row r="894" ht="15.75" customHeight="1"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</row>
    <row r="895" ht="15.75" customHeight="1"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</row>
    <row r="896" ht="15.75" customHeight="1"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</row>
    <row r="897" ht="15.75" customHeight="1"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</row>
    <row r="898" ht="15.75" customHeight="1"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</row>
    <row r="899" ht="15.75" customHeight="1"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</row>
    <row r="900" ht="15.75" customHeight="1"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</row>
    <row r="901" ht="15.75" customHeight="1"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</row>
    <row r="902" ht="15.75" customHeight="1"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</row>
    <row r="903" ht="15.75" customHeight="1"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</row>
    <row r="904" ht="15.75" customHeight="1"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</row>
    <row r="905" ht="15.75" customHeight="1"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</row>
    <row r="906" ht="15.75" customHeight="1"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</row>
    <row r="907" ht="15.75" customHeight="1"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</row>
    <row r="908" ht="15.75" customHeight="1"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</row>
    <row r="909" ht="15.75" customHeight="1"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</row>
    <row r="910" ht="15.75" customHeight="1"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</row>
    <row r="911" ht="15.75" customHeight="1"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</row>
    <row r="912" ht="15.75" customHeight="1"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</row>
    <row r="913" ht="15.75" customHeight="1"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</row>
    <row r="914" ht="15.75" customHeight="1"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</row>
    <row r="915" ht="15.75" customHeight="1"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</row>
    <row r="916" ht="15.75" customHeight="1"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</row>
    <row r="917" ht="15.75" customHeight="1"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</row>
    <row r="918" ht="15.75" customHeight="1"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</row>
    <row r="919" ht="15.75" customHeight="1"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</row>
    <row r="920" ht="15.75" customHeight="1"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</row>
    <row r="921" ht="15.75" customHeight="1"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</row>
    <row r="922" ht="15.75" customHeight="1"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</row>
    <row r="923" ht="15.75" customHeight="1"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</row>
    <row r="924" ht="15.75" customHeight="1"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</row>
    <row r="925" ht="15.75" customHeight="1"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</row>
    <row r="926" ht="15.75" customHeight="1"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</row>
    <row r="927" ht="15.75" customHeight="1"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</row>
    <row r="928" ht="15.75" customHeight="1"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</row>
    <row r="929" ht="15.75" customHeight="1"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</row>
    <row r="930" ht="15.75" customHeight="1"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</row>
    <row r="931" ht="15.75" customHeight="1"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</row>
    <row r="932" ht="15.75" customHeight="1"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</row>
    <row r="933" ht="15.75" customHeight="1"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</row>
    <row r="934" ht="15.75" customHeight="1"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</row>
    <row r="935" ht="15.75" customHeight="1"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</row>
    <row r="936" ht="15.75" customHeight="1"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</row>
    <row r="937" ht="15.75" customHeight="1"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</row>
    <row r="938" ht="15.75" customHeight="1"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</row>
    <row r="939" ht="15.75" customHeight="1"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</row>
    <row r="940" ht="15.75" customHeight="1"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</row>
    <row r="941" ht="15.75" customHeight="1"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</row>
    <row r="942" ht="15.75" customHeight="1"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</row>
    <row r="943" ht="15.75" customHeight="1"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</row>
    <row r="944" ht="15.75" customHeight="1"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</row>
    <row r="945" ht="15.75" customHeight="1"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</row>
    <row r="946" ht="15.75" customHeight="1"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</row>
    <row r="947" ht="15.75" customHeight="1"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</row>
    <row r="948" ht="15.75" customHeight="1"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</row>
    <row r="949" ht="15.75" customHeight="1"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</row>
    <row r="950" ht="15.75" customHeight="1"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</row>
    <row r="951" ht="15.75" customHeight="1"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</row>
    <row r="952" ht="15.75" customHeight="1"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</row>
    <row r="953" ht="15.75" customHeight="1"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</row>
    <row r="954" ht="15.75" customHeight="1"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</row>
    <row r="955" ht="15.75" customHeight="1"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</row>
    <row r="956" ht="15.75" customHeight="1"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</row>
    <row r="957" ht="15.75" customHeight="1"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</row>
    <row r="958" ht="15.75" customHeight="1"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</row>
    <row r="959" ht="15.75" customHeight="1"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</row>
    <row r="960" ht="15.75" customHeight="1"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</row>
    <row r="961" ht="15.75" customHeight="1"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</row>
    <row r="962" ht="15.75" customHeight="1"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</row>
    <row r="963" ht="15.75" customHeight="1"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</row>
    <row r="964" ht="15.75" customHeight="1"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</row>
    <row r="965" ht="15.75" customHeight="1"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</row>
    <row r="966" ht="15.75" customHeight="1"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</row>
    <row r="967" ht="15.75" customHeight="1"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</row>
    <row r="968" ht="15.75" customHeight="1"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</row>
    <row r="969" ht="15.75" customHeight="1"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</row>
    <row r="970" ht="15.75" customHeight="1"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</row>
    <row r="971" ht="15.75" customHeight="1"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</row>
    <row r="972" ht="15.75" customHeight="1"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</row>
    <row r="973" ht="15.75" customHeight="1"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</row>
    <row r="974" ht="15.75" customHeight="1"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</row>
    <row r="975" ht="15.75" customHeight="1"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</row>
    <row r="976" ht="15.75" customHeight="1"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</row>
    <row r="977" ht="15.75" customHeight="1"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</row>
    <row r="978" ht="15.75" customHeight="1"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</row>
    <row r="979" ht="15.75" customHeight="1"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</row>
    <row r="980" ht="15.75" customHeight="1"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</row>
    <row r="981" ht="15.75" customHeight="1"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</row>
    <row r="982" ht="15.75" customHeight="1"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</row>
    <row r="983" ht="15.75" customHeight="1"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</row>
    <row r="984" ht="15.75" customHeight="1"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</row>
    <row r="985" ht="15.75" customHeight="1"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</row>
    <row r="986" ht="15.75" customHeight="1"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</row>
    <row r="987" ht="15.75" customHeight="1"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</row>
    <row r="988" ht="15.75" customHeight="1"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</row>
    <row r="989" ht="15.75" customHeight="1"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</row>
    <row r="990" ht="15.75" customHeight="1"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</row>
    <row r="991" ht="15.75" customHeight="1"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</row>
    <row r="992" ht="15.75" customHeight="1"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</row>
    <row r="993" ht="15.75" customHeight="1"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</row>
    <row r="994" ht="15.75" customHeight="1"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</row>
    <row r="995" ht="15.75" customHeight="1"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</row>
    <row r="996" ht="15.75" customHeight="1"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</row>
    <row r="997" ht="15.75" customHeight="1"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</row>
    <row r="998" ht="15.75" customHeight="1"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</row>
    <row r="999" ht="15.75" customHeight="1"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</row>
    <row r="1000" ht="15.75" customHeight="1"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</row>
  </sheetData>
  <mergeCells count="3">
    <mergeCell ref="B2:L5"/>
    <mergeCell ref="C30:F30"/>
    <mergeCell ref="C47:F47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2.86"/>
    <col customWidth="1" min="3" max="3" width="14.43"/>
    <col customWidth="1" min="4" max="4" width="22.14"/>
    <col customWidth="1" min="5" max="5" width="6.71"/>
    <col customWidth="1" min="6" max="6" width="28.57"/>
    <col customWidth="1" min="7" max="7" width="10.43"/>
    <col customWidth="1" min="8" max="8" width="12.43"/>
    <col customWidth="1" min="9" max="9" width="10.86"/>
    <col customWidth="1" min="10" max="10" width="13.14"/>
    <col customWidth="1" min="11" max="11" width="11.71"/>
    <col customWidth="1" min="12" max="12" width="51.43"/>
    <col customWidth="1" min="13" max="13" width="14.43"/>
    <col customWidth="1" hidden="1" min="14" max="14" width="12.29"/>
    <col customWidth="1" min="15" max="15" width="42.43"/>
    <col customWidth="1" min="16" max="16" width="14.71"/>
    <col customWidth="1" min="17" max="17" width="17.71"/>
    <col customWidth="1" min="18" max="24" width="8.86"/>
  </cols>
  <sheetData>
    <row r="1" ht="14.25" customHeight="1">
      <c r="A1" s="1" t="s">
        <v>912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ht="21.0" customHeight="1">
      <c r="B2" s="44"/>
      <c r="C2" s="152" t="s">
        <v>913</v>
      </c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  <c r="Q2" s="6"/>
    </row>
    <row r="3" ht="21.0" customHeight="1">
      <c r="B3" s="44"/>
      <c r="C3" s="7"/>
      <c r="L3" s="8"/>
      <c r="M3" s="6"/>
      <c r="N3" s="6"/>
      <c r="O3" s="6"/>
      <c r="P3" s="6"/>
      <c r="Q3" s="6"/>
      <c r="T3" s="9"/>
      <c r="U3" s="9"/>
      <c r="V3" s="9"/>
      <c r="W3" s="9"/>
      <c r="X3" s="9"/>
    </row>
    <row r="4" ht="15.0" customHeight="1">
      <c r="B4" s="44"/>
      <c r="C4" s="7"/>
      <c r="L4" s="8"/>
      <c r="M4" s="6"/>
      <c r="N4" s="6"/>
      <c r="O4" s="6"/>
      <c r="P4" s="6"/>
      <c r="Q4" s="6"/>
      <c r="T4" s="9"/>
      <c r="U4" s="9"/>
      <c r="V4" s="9"/>
      <c r="W4" s="9"/>
      <c r="X4" s="9"/>
    </row>
    <row r="5" ht="15.0" customHeight="1">
      <c r="B5" s="44"/>
      <c r="C5" s="10"/>
      <c r="D5" s="11"/>
      <c r="E5" s="11"/>
      <c r="F5" s="11"/>
      <c r="G5" s="11"/>
      <c r="H5" s="11"/>
      <c r="I5" s="11"/>
      <c r="J5" s="11"/>
      <c r="K5" s="11"/>
      <c r="L5" s="12"/>
      <c r="M5" s="6"/>
      <c r="N5" s="6"/>
      <c r="O5" s="6"/>
      <c r="P5" s="6"/>
      <c r="Q5" s="6"/>
      <c r="U5" s="9"/>
      <c r="V5" s="9"/>
      <c r="W5" s="9"/>
      <c r="X5" s="9"/>
    </row>
    <row r="6" ht="15.0" customHeight="1">
      <c r="B6" s="153" t="s">
        <v>1</v>
      </c>
      <c r="C6" s="153" t="s">
        <v>151</v>
      </c>
      <c r="D6" s="103" t="s">
        <v>3</v>
      </c>
      <c r="E6" s="103"/>
      <c r="F6" s="103" t="s">
        <v>881</v>
      </c>
      <c r="G6" s="103" t="s">
        <v>5</v>
      </c>
      <c r="H6" s="103" t="s">
        <v>914</v>
      </c>
      <c r="I6" s="103" t="s">
        <v>915</v>
      </c>
      <c r="J6" s="103" t="s">
        <v>8</v>
      </c>
      <c r="K6" s="163" t="s">
        <v>916</v>
      </c>
      <c r="L6" s="103" t="s">
        <v>10</v>
      </c>
      <c r="O6" s="16"/>
      <c r="P6" s="9"/>
      <c r="Q6" s="9"/>
      <c r="R6" s="9"/>
    </row>
    <row r="7" ht="14.25" customHeight="1">
      <c r="B7" s="154"/>
      <c r="C7" s="154">
        <v>45005.0</v>
      </c>
      <c r="D7" s="104"/>
      <c r="E7" s="104"/>
      <c r="F7" s="104"/>
      <c r="G7" s="108" t="s">
        <v>324</v>
      </c>
      <c r="H7" s="40">
        <v>5965.9</v>
      </c>
      <c r="I7" s="40">
        <v>5973.6</v>
      </c>
      <c r="J7" s="40">
        <f t="shared" ref="J7:J244" si="1">I7-H7</f>
        <v>7.7</v>
      </c>
      <c r="K7" s="40">
        <v>400.0</v>
      </c>
      <c r="L7" s="40"/>
      <c r="O7" s="16"/>
      <c r="P7" s="9"/>
      <c r="Q7" s="9"/>
      <c r="R7" s="9"/>
    </row>
    <row r="8" ht="14.25" customHeight="1">
      <c r="B8" s="154"/>
      <c r="C8" s="154">
        <v>45005.0</v>
      </c>
      <c r="D8" s="104"/>
      <c r="E8" s="104"/>
      <c r="F8" s="104"/>
      <c r="G8" s="40" t="s">
        <v>324</v>
      </c>
      <c r="H8" s="40"/>
      <c r="I8" s="40"/>
      <c r="J8" s="40">
        <f t="shared" si="1"/>
        <v>0</v>
      </c>
      <c r="K8" s="40"/>
      <c r="L8" s="40" t="s">
        <v>917</v>
      </c>
      <c r="O8" s="16"/>
      <c r="P8" s="9"/>
      <c r="Q8" s="9"/>
      <c r="R8" s="9"/>
    </row>
    <row r="9" ht="14.25" customHeight="1">
      <c r="B9" s="154"/>
      <c r="C9" s="154">
        <v>45005.0</v>
      </c>
      <c r="D9" s="104" t="s">
        <v>918</v>
      </c>
      <c r="E9" s="104"/>
      <c r="F9" s="104" t="s">
        <v>919</v>
      </c>
      <c r="G9" s="40" t="s">
        <v>324</v>
      </c>
      <c r="H9" s="40">
        <v>5902.4</v>
      </c>
      <c r="I9" s="40">
        <v>5956.7</v>
      </c>
      <c r="J9" s="40">
        <f t="shared" si="1"/>
        <v>54.3</v>
      </c>
      <c r="K9" s="40"/>
      <c r="L9" s="40" t="s">
        <v>920</v>
      </c>
      <c r="O9" s="16"/>
      <c r="P9" s="9"/>
      <c r="Q9" s="9"/>
      <c r="R9" s="9"/>
    </row>
    <row r="10" ht="14.25" customHeight="1">
      <c r="B10" s="154">
        <v>45005.0</v>
      </c>
      <c r="C10" s="154">
        <v>44998.0</v>
      </c>
      <c r="D10" s="104" t="s">
        <v>921</v>
      </c>
      <c r="E10" s="104"/>
      <c r="F10" s="104" t="s">
        <v>922</v>
      </c>
      <c r="G10" s="40" t="s">
        <v>923</v>
      </c>
      <c r="H10" s="40">
        <v>5956.7</v>
      </c>
      <c r="I10" s="40">
        <v>5965.9</v>
      </c>
      <c r="J10" s="40">
        <f t="shared" si="1"/>
        <v>9.2</v>
      </c>
      <c r="K10" s="40"/>
      <c r="L10" s="40" t="s">
        <v>924</v>
      </c>
      <c r="M10" s="19"/>
      <c r="O10" s="16"/>
      <c r="P10" s="9"/>
      <c r="Q10" s="9"/>
      <c r="R10" s="9"/>
    </row>
    <row r="11" ht="14.25" customHeight="1">
      <c r="B11" s="154">
        <v>44998.0</v>
      </c>
      <c r="C11" s="154">
        <v>45005.0</v>
      </c>
      <c r="D11" s="104" t="s">
        <v>925</v>
      </c>
      <c r="E11" s="104"/>
      <c r="F11" s="104" t="s">
        <v>248</v>
      </c>
      <c r="G11" s="40" t="s">
        <v>923</v>
      </c>
      <c r="H11" s="40">
        <v>5835.3</v>
      </c>
      <c r="I11" s="40">
        <v>5900.0</v>
      </c>
      <c r="J11" s="40">
        <f t="shared" si="1"/>
        <v>64.7</v>
      </c>
      <c r="K11" s="40">
        <v>2282.4</v>
      </c>
      <c r="L11" s="40" t="s">
        <v>926</v>
      </c>
      <c r="O11" s="16"/>
      <c r="P11" s="9"/>
      <c r="Q11" s="9"/>
      <c r="R11" s="9"/>
    </row>
    <row r="12" ht="14.25" customHeight="1">
      <c r="B12" s="154">
        <v>44999.0</v>
      </c>
      <c r="C12" s="154">
        <v>45005.0</v>
      </c>
      <c r="D12" s="104" t="s">
        <v>15</v>
      </c>
      <c r="E12" s="104"/>
      <c r="F12" s="104" t="s">
        <v>927</v>
      </c>
      <c r="G12" s="40" t="s">
        <v>928</v>
      </c>
      <c r="H12" s="40">
        <v>5973.8</v>
      </c>
      <c r="I12" s="40">
        <v>5998.0</v>
      </c>
      <c r="J12" s="40">
        <f t="shared" si="1"/>
        <v>24.2</v>
      </c>
      <c r="K12" s="40">
        <v>200.0</v>
      </c>
      <c r="L12" s="40" t="s">
        <v>929</v>
      </c>
      <c r="P12" s="9"/>
      <c r="Q12" s="9"/>
      <c r="R12" s="9"/>
    </row>
    <row r="13" ht="14.25" customHeight="1">
      <c r="A13" s="105"/>
      <c r="B13" s="155">
        <v>48658.0</v>
      </c>
      <c r="C13" s="155">
        <v>45013.0</v>
      </c>
      <c r="D13" s="156" t="s">
        <v>187</v>
      </c>
      <c r="E13" s="156"/>
      <c r="F13" s="156" t="s">
        <v>930</v>
      </c>
      <c r="G13" s="40" t="s">
        <v>928</v>
      </c>
      <c r="H13" s="108">
        <v>5998.0</v>
      </c>
      <c r="I13" s="108">
        <v>6055.2</v>
      </c>
      <c r="J13" s="108">
        <f t="shared" si="1"/>
        <v>57.2</v>
      </c>
      <c r="K13" s="108"/>
      <c r="L13" s="108" t="s">
        <v>931</v>
      </c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</row>
    <row r="14" ht="14.25" customHeight="1">
      <c r="A14" s="105"/>
      <c r="B14" s="155">
        <v>45014.0</v>
      </c>
      <c r="C14" s="155">
        <v>45031.0</v>
      </c>
      <c r="D14" s="156" t="s">
        <v>932</v>
      </c>
      <c r="E14" s="156"/>
      <c r="F14" s="156" t="s">
        <v>933</v>
      </c>
      <c r="G14" s="40" t="s">
        <v>928</v>
      </c>
      <c r="H14" s="108">
        <v>6055.2</v>
      </c>
      <c r="I14" s="108">
        <v>6150.2</v>
      </c>
      <c r="J14" s="108">
        <f t="shared" si="1"/>
        <v>95</v>
      </c>
      <c r="K14" s="108">
        <v>2930.0</v>
      </c>
      <c r="L14" s="108" t="s">
        <v>934</v>
      </c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</row>
    <row r="15" ht="14.25" customHeight="1">
      <c r="A15" s="105"/>
      <c r="B15" s="155">
        <v>45387.0</v>
      </c>
      <c r="C15" s="155">
        <v>45387.0</v>
      </c>
      <c r="D15" s="156" t="s">
        <v>187</v>
      </c>
      <c r="E15" s="156"/>
      <c r="F15" s="156" t="s">
        <v>237</v>
      </c>
      <c r="G15" s="40" t="s">
        <v>928</v>
      </c>
      <c r="H15" s="108">
        <v>7982.0</v>
      </c>
      <c r="I15" s="108">
        <v>7990.3</v>
      </c>
      <c r="J15" s="108">
        <f t="shared" si="1"/>
        <v>8.3</v>
      </c>
      <c r="K15" s="108"/>
      <c r="L15" s="108" t="s">
        <v>935</v>
      </c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</row>
    <row r="16" ht="14.25" customHeight="1">
      <c r="A16" s="105"/>
      <c r="B16" s="155">
        <v>45017.0</v>
      </c>
      <c r="C16" s="155">
        <v>45029.0</v>
      </c>
      <c r="D16" s="156" t="s">
        <v>15</v>
      </c>
      <c r="E16" s="156"/>
      <c r="F16" s="156" t="s">
        <v>933</v>
      </c>
      <c r="G16" s="40" t="s">
        <v>928</v>
      </c>
      <c r="H16" s="108">
        <v>6075.8</v>
      </c>
      <c r="I16" s="108">
        <v>6146.9</v>
      </c>
      <c r="J16" s="108">
        <f t="shared" si="1"/>
        <v>71.1</v>
      </c>
      <c r="K16" s="108">
        <v>412.0</v>
      </c>
      <c r="L16" s="108" t="s">
        <v>936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</row>
    <row r="17" ht="14.25" customHeight="1">
      <c r="A17" s="105"/>
      <c r="B17" s="155">
        <v>45030.0</v>
      </c>
      <c r="C17" s="155">
        <v>45032.0</v>
      </c>
      <c r="D17" s="156" t="s">
        <v>187</v>
      </c>
      <c r="E17" s="156"/>
      <c r="F17" s="156" t="s">
        <v>904</v>
      </c>
      <c r="G17" s="40" t="s">
        <v>928</v>
      </c>
      <c r="H17" s="108">
        <v>6146.9</v>
      </c>
      <c r="I17" s="108">
        <v>6154.5</v>
      </c>
      <c r="J17" s="108">
        <f t="shared" si="1"/>
        <v>7.6</v>
      </c>
      <c r="K17" s="108"/>
      <c r="L17" s="108" t="s">
        <v>937</v>
      </c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</row>
    <row r="18" ht="14.25" customHeight="1">
      <c r="A18" s="105"/>
      <c r="B18" s="155">
        <v>45033.0</v>
      </c>
      <c r="C18" s="155">
        <v>45033.0</v>
      </c>
      <c r="D18" s="108" t="s">
        <v>938</v>
      </c>
      <c r="E18" s="108"/>
      <c r="F18" s="108"/>
      <c r="G18" s="40" t="s">
        <v>928</v>
      </c>
      <c r="H18" s="108">
        <v>6154.5</v>
      </c>
      <c r="I18" s="108">
        <v>6157.0</v>
      </c>
      <c r="J18" s="108">
        <f t="shared" si="1"/>
        <v>2.5</v>
      </c>
      <c r="K18" s="108"/>
      <c r="L18" s="108" t="s">
        <v>939</v>
      </c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</row>
    <row r="19" ht="14.25" customHeight="1">
      <c r="A19" s="105"/>
      <c r="B19" s="155">
        <v>45034.0</v>
      </c>
      <c r="C19" s="155">
        <v>45040.0</v>
      </c>
      <c r="D19" s="108" t="s">
        <v>940</v>
      </c>
      <c r="E19" s="108"/>
      <c r="F19" s="108"/>
      <c r="G19" s="40" t="s">
        <v>928</v>
      </c>
      <c r="H19" s="108">
        <v>6157.0</v>
      </c>
      <c r="I19" s="108">
        <v>6195.4</v>
      </c>
      <c r="J19" s="108">
        <f t="shared" si="1"/>
        <v>38.4</v>
      </c>
      <c r="K19" s="108"/>
      <c r="L19" s="108" t="s">
        <v>158</v>
      </c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</row>
    <row r="20" ht="14.25" customHeight="1">
      <c r="A20" s="105"/>
      <c r="B20" s="155">
        <v>45042.0</v>
      </c>
      <c r="C20" s="155">
        <v>45056.0</v>
      </c>
      <c r="D20" s="108" t="s">
        <v>941</v>
      </c>
      <c r="E20" s="108"/>
      <c r="F20" s="108"/>
      <c r="G20" s="40" t="s">
        <v>928</v>
      </c>
      <c r="H20" s="108">
        <v>6195.4</v>
      </c>
      <c r="I20" s="108">
        <v>6246.7</v>
      </c>
      <c r="J20" s="108">
        <f t="shared" si="1"/>
        <v>51.3</v>
      </c>
      <c r="K20" s="108"/>
      <c r="L20" s="108" t="s">
        <v>942</v>
      </c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</row>
    <row r="21" ht="14.25" customHeight="1">
      <c r="A21" s="105"/>
      <c r="B21" s="155">
        <v>45056.0</v>
      </c>
      <c r="C21" s="155">
        <v>45080.0</v>
      </c>
      <c r="D21" s="108" t="s">
        <v>378</v>
      </c>
      <c r="E21" s="108"/>
      <c r="F21" s="108" t="s">
        <v>943</v>
      </c>
      <c r="G21" s="40" t="s">
        <v>928</v>
      </c>
      <c r="H21" s="108">
        <v>6246.7</v>
      </c>
      <c r="I21" s="108">
        <v>6410.5</v>
      </c>
      <c r="J21" s="108">
        <f t="shared" si="1"/>
        <v>163.8</v>
      </c>
      <c r="K21" s="108">
        <v>900.0</v>
      </c>
      <c r="L21" s="108" t="s">
        <v>944</v>
      </c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</row>
    <row r="22" ht="14.25" customHeight="1">
      <c r="A22" s="105"/>
      <c r="B22" s="155">
        <v>45081.0</v>
      </c>
      <c r="C22" s="155">
        <v>45107.0</v>
      </c>
      <c r="D22" s="108" t="s">
        <v>378</v>
      </c>
      <c r="E22" s="108"/>
      <c r="F22" s="108" t="s">
        <v>945</v>
      </c>
      <c r="G22" s="40" t="s">
        <v>928</v>
      </c>
      <c r="H22" s="108">
        <v>6410.5</v>
      </c>
      <c r="I22" s="108">
        <v>6581.2</v>
      </c>
      <c r="J22" s="108">
        <f t="shared" si="1"/>
        <v>170.7</v>
      </c>
      <c r="K22" s="108">
        <v>925.0</v>
      </c>
      <c r="L22" s="108" t="s">
        <v>338</v>
      </c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</row>
    <row r="23" ht="14.25" customHeight="1">
      <c r="A23" s="105"/>
      <c r="B23" s="155">
        <v>45108.0</v>
      </c>
      <c r="C23" s="155">
        <v>45138.0</v>
      </c>
      <c r="D23" s="108" t="s">
        <v>378</v>
      </c>
      <c r="E23" s="108"/>
      <c r="F23" s="108" t="s">
        <v>945</v>
      </c>
      <c r="G23" s="40" t="s">
        <v>928</v>
      </c>
      <c r="H23" s="108">
        <v>6581.2</v>
      </c>
      <c r="I23" s="108">
        <v>6770.4</v>
      </c>
      <c r="J23" s="108">
        <f t="shared" si="1"/>
        <v>189.2</v>
      </c>
      <c r="K23" s="40">
        <v>1470.0</v>
      </c>
      <c r="L23" s="108" t="s">
        <v>338</v>
      </c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</row>
    <row r="24" ht="14.25" customHeight="1">
      <c r="A24" s="105"/>
      <c r="B24" s="155">
        <v>45139.0</v>
      </c>
      <c r="C24" s="155">
        <v>45169.0</v>
      </c>
      <c r="D24" s="108" t="s">
        <v>378</v>
      </c>
      <c r="E24" s="108"/>
      <c r="F24" s="108" t="s">
        <v>945</v>
      </c>
      <c r="G24" s="108" t="s">
        <v>373</v>
      </c>
      <c r="H24" s="108">
        <v>6770.4</v>
      </c>
      <c r="I24" s="108">
        <v>6911.2</v>
      </c>
      <c r="J24" s="108">
        <f t="shared" si="1"/>
        <v>140.8</v>
      </c>
      <c r="K24" s="40">
        <v>781.0</v>
      </c>
      <c r="L24" s="108" t="s">
        <v>338</v>
      </c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</row>
    <row r="25" ht="14.25" customHeight="1">
      <c r="B25" s="154">
        <v>45170.0</v>
      </c>
      <c r="C25" s="154">
        <v>45184.0</v>
      </c>
      <c r="D25" s="40" t="s">
        <v>187</v>
      </c>
      <c r="E25" s="40"/>
      <c r="F25" s="40" t="s">
        <v>946</v>
      </c>
      <c r="G25" s="40" t="s">
        <v>373</v>
      </c>
      <c r="H25" s="40">
        <v>6911.2</v>
      </c>
      <c r="I25" s="40">
        <v>7019.8</v>
      </c>
      <c r="J25" s="40">
        <f t="shared" si="1"/>
        <v>108.6</v>
      </c>
      <c r="K25" s="40">
        <v>760.0</v>
      </c>
      <c r="L25" s="108" t="s">
        <v>338</v>
      </c>
    </row>
    <row r="26" ht="14.25" customHeight="1">
      <c r="B26" s="154">
        <v>45187.0</v>
      </c>
      <c r="C26" s="154">
        <v>45188.0</v>
      </c>
      <c r="D26" s="40" t="s">
        <v>947</v>
      </c>
      <c r="E26" s="40"/>
      <c r="F26" s="40"/>
      <c r="G26" s="40" t="s">
        <v>373</v>
      </c>
      <c r="H26" s="40">
        <v>7020.3</v>
      </c>
      <c r="I26" s="40">
        <v>7036.9</v>
      </c>
      <c r="J26" s="40">
        <f t="shared" si="1"/>
        <v>16.6</v>
      </c>
      <c r="K26" s="40">
        <v>70.0</v>
      </c>
      <c r="L26" s="40" t="s">
        <v>948</v>
      </c>
    </row>
    <row r="27" ht="14.25" customHeight="1">
      <c r="B27" s="154">
        <v>45189.0</v>
      </c>
      <c r="C27" s="154">
        <v>45197.0</v>
      </c>
      <c r="D27" s="44" t="s">
        <v>134</v>
      </c>
      <c r="E27" s="44"/>
      <c r="F27" s="40" t="s">
        <v>949</v>
      </c>
      <c r="G27" s="40" t="s">
        <v>373</v>
      </c>
      <c r="H27" s="40">
        <v>7037.3</v>
      </c>
      <c r="I27" s="40">
        <v>7096.8</v>
      </c>
      <c r="J27" s="40">
        <f t="shared" si="1"/>
        <v>59.5</v>
      </c>
      <c r="K27" s="40">
        <v>360.0</v>
      </c>
      <c r="L27" s="40" t="s">
        <v>950</v>
      </c>
    </row>
    <row r="28" ht="14.25" customHeight="1">
      <c r="B28" s="154">
        <v>45197.0</v>
      </c>
      <c r="C28" s="154">
        <v>45199.0</v>
      </c>
      <c r="D28" s="40" t="s">
        <v>51</v>
      </c>
      <c r="E28" s="40"/>
      <c r="F28" s="40" t="s">
        <v>951</v>
      </c>
      <c r="G28" s="40" t="s">
        <v>373</v>
      </c>
      <c r="H28" s="40">
        <v>7096.8</v>
      </c>
      <c r="I28" s="40">
        <v>7125.6</v>
      </c>
      <c r="J28" s="40">
        <f t="shared" si="1"/>
        <v>28.8</v>
      </c>
      <c r="K28" s="40">
        <v>100.0</v>
      </c>
      <c r="L28" s="40" t="s">
        <v>952</v>
      </c>
    </row>
    <row r="29" ht="14.25" customHeight="1">
      <c r="B29" s="154">
        <v>45200.0</v>
      </c>
      <c r="C29" s="154">
        <v>45203.0</v>
      </c>
      <c r="D29" s="40" t="s">
        <v>51</v>
      </c>
      <c r="E29" s="40"/>
      <c r="F29" s="40"/>
      <c r="G29" s="40" t="s">
        <v>373</v>
      </c>
      <c r="H29" s="40"/>
      <c r="I29" s="40"/>
      <c r="J29" s="40">
        <f t="shared" si="1"/>
        <v>0</v>
      </c>
      <c r="K29" s="40"/>
      <c r="L29" s="40"/>
    </row>
    <row r="30" ht="14.25" customHeight="1">
      <c r="B30" s="154">
        <v>45203.0</v>
      </c>
      <c r="C30" s="154">
        <v>45210.0</v>
      </c>
      <c r="D30" s="40" t="s">
        <v>953</v>
      </c>
      <c r="E30" s="40"/>
      <c r="F30" s="40" t="s">
        <v>954</v>
      </c>
      <c r="G30" s="40" t="s">
        <v>240</v>
      </c>
      <c r="H30" s="40">
        <v>7125.6</v>
      </c>
      <c r="I30" s="40">
        <v>7187.0</v>
      </c>
      <c r="J30" s="40">
        <f t="shared" si="1"/>
        <v>61.4</v>
      </c>
      <c r="K30" s="40"/>
      <c r="L30" s="40" t="s">
        <v>955</v>
      </c>
    </row>
    <row r="31" ht="14.25" customHeight="1">
      <c r="B31" s="154">
        <v>45212.0</v>
      </c>
      <c r="C31" s="154">
        <v>45215.0</v>
      </c>
      <c r="D31" s="40" t="s">
        <v>956</v>
      </c>
      <c r="E31" s="40"/>
      <c r="F31" s="40" t="s">
        <v>957</v>
      </c>
      <c r="G31" s="40" t="s">
        <v>373</v>
      </c>
      <c r="H31" s="40">
        <v>7187.6</v>
      </c>
      <c r="I31" s="40">
        <v>7198.4</v>
      </c>
      <c r="J31" s="40">
        <f t="shared" si="1"/>
        <v>10.8</v>
      </c>
      <c r="K31" s="40"/>
      <c r="L31" s="40"/>
    </row>
    <row r="32" ht="14.25" customHeight="1">
      <c r="B32" s="154">
        <v>45215.0</v>
      </c>
      <c r="C32" s="154">
        <v>45220.0</v>
      </c>
      <c r="D32" s="40" t="s">
        <v>187</v>
      </c>
      <c r="E32" s="40"/>
      <c r="F32" s="40" t="s">
        <v>288</v>
      </c>
      <c r="G32" s="40" t="s">
        <v>373</v>
      </c>
      <c r="H32" s="40">
        <v>7198.4</v>
      </c>
      <c r="I32" s="40">
        <v>7246.7</v>
      </c>
      <c r="J32" s="40">
        <f t="shared" si="1"/>
        <v>48.3</v>
      </c>
      <c r="K32" s="40"/>
      <c r="L32" s="40" t="s">
        <v>286</v>
      </c>
    </row>
    <row r="33" ht="14.25" customHeight="1">
      <c r="B33" s="154">
        <v>45221.0</v>
      </c>
      <c r="C33" s="154">
        <v>45223.0</v>
      </c>
      <c r="D33" s="40" t="s">
        <v>187</v>
      </c>
      <c r="E33" s="40"/>
      <c r="F33" s="40" t="s">
        <v>958</v>
      </c>
      <c r="G33" s="40" t="s">
        <v>373</v>
      </c>
      <c r="H33" s="40">
        <v>7246.7</v>
      </c>
      <c r="I33" s="40">
        <v>7268.1</v>
      </c>
      <c r="J33" s="40">
        <f t="shared" si="1"/>
        <v>21.4</v>
      </c>
      <c r="K33" s="40"/>
      <c r="L33" s="40" t="s">
        <v>286</v>
      </c>
    </row>
    <row r="34" ht="14.25" customHeight="1">
      <c r="B34" s="154">
        <v>45224.0</v>
      </c>
      <c r="C34" s="154">
        <v>45225.0</v>
      </c>
      <c r="D34" s="40" t="s">
        <v>959</v>
      </c>
      <c r="E34" s="40"/>
      <c r="F34" s="40" t="s">
        <v>960</v>
      </c>
      <c r="G34" s="40" t="s">
        <v>373</v>
      </c>
      <c r="H34" s="40">
        <v>7268.1</v>
      </c>
      <c r="I34" s="40">
        <v>7273.6</v>
      </c>
      <c r="J34" s="40">
        <f t="shared" si="1"/>
        <v>5.5</v>
      </c>
      <c r="K34" s="40">
        <v>150.0</v>
      </c>
      <c r="L34" s="40" t="s">
        <v>54</v>
      </c>
    </row>
    <row r="35" ht="14.25" customHeight="1">
      <c r="B35" s="154">
        <v>45225.0</v>
      </c>
      <c r="C35" s="154">
        <v>45230.0</v>
      </c>
      <c r="D35" s="40" t="s">
        <v>187</v>
      </c>
      <c r="E35" s="40"/>
      <c r="F35" s="40" t="s">
        <v>288</v>
      </c>
      <c r="G35" s="40" t="s">
        <v>240</v>
      </c>
      <c r="H35" s="40">
        <v>7273.6</v>
      </c>
      <c r="I35" s="40">
        <v>7299.4</v>
      </c>
      <c r="J35" s="40">
        <f t="shared" si="1"/>
        <v>25.8</v>
      </c>
      <c r="K35" s="40"/>
      <c r="L35" s="40" t="s">
        <v>286</v>
      </c>
    </row>
    <row r="36" ht="14.25" customHeight="1">
      <c r="B36" s="154">
        <v>45231.0</v>
      </c>
      <c r="C36" s="154">
        <v>45237.0</v>
      </c>
      <c r="D36" s="40" t="s">
        <v>104</v>
      </c>
      <c r="E36" s="40"/>
      <c r="F36" s="40" t="s">
        <v>290</v>
      </c>
      <c r="G36" s="40" t="s">
        <v>240</v>
      </c>
      <c r="H36" s="40">
        <v>7299.4</v>
      </c>
      <c r="I36" s="40">
        <v>7353.5</v>
      </c>
      <c r="J36" s="40">
        <f t="shared" si="1"/>
        <v>54.1</v>
      </c>
      <c r="K36" s="40"/>
      <c r="L36" s="40"/>
    </row>
    <row r="37" ht="14.25" customHeight="1">
      <c r="B37" s="154">
        <v>45237.0</v>
      </c>
      <c r="C37" s="154">
        <v>45241.0</v>
      </c>
      <c r="D37" s="40" t="s">
        <v>104</v>
      </c>
      <c r="E37" s="40"/>
      <c r="F37" s="40" t="s">
        <v>290</v>
      </c>
      <c r="G37" s="40" t="s">
        <v>961</v>
      </c>
      <c r="H37" s="40">
        <v>7353.5</v>
      </c>
      <c r="I37" s="40">
        <v>7385.9</v>
      </c>
      <c r="J37" s="40">
        <f t="shared" si="1"/>
        <v>32.4</v>
      </c>
      <c r="K37" s="40"/>
      <c r="L37" s="110"/>
    </row>
    <row r="38" ht="14.25" customHeight="1">
      <c r="B38" s="154">
        <v>45244.0</v>
      </c>
      <c r="C38" s="154">
        <v>45244.0</v>
      </c>
      <c r="D38" s="40" t="s">
        <v>962</v>
      </c>
      <c r="E38" s="40"/>
      <c r="F38" s="40"/>
      <c r="G38" s="40" t="s">
        <v>961</v>
      </c>
      <c r="H38" s="40">
        <v>7385.9</v>
      </c>
      <c r="I38" s="40">
        <v>7392.4</v>
      </c>
      <c r="J38" s="40">
        <f t="shared" si="1"/>
        <v>6.5</v>
      </c>
      <c r="K38" s="40"/>
      <c r="L38" s="40" t="s">
        <v>54</v>
      </c>
    </row>
    <row r="39" ht="14.25" customHeight="1">
      <c r="B39" s="154">
        <v>45245.0</v>
      </c>
      <c r="C39" s="154">
        <v>45247.0</v>
      </c>
      <c r="D39" s="40" t="s">
        <v>246</v>
      </c>
      <c r="E39" s="40"/>
      <c r="F39" s="40"/>
      <c r="G39" s="40" t="s">
        <v>961</v>
      </c>
      <c r="H39" s="40">
        <v>7392.4</v>
      </c>
      <c r="I39" s="40">
        <v>7421.6</v>
      </c>
      <c r="J39" s="40">
        <f t="shared" si="1"/>
        <v>29.2</v>
      </c>
      <c r="K39" s="40"/>
      <c r="L39" s="40"/>
    </row>
    <row r="40" ht="14.25" customHeight="1">
      <c r="B40" s="154">
        <v>45248.0</v>
      </c>
      <c r="C40" s="154">
        <v>45248.0</v>
      </c>
      <c r="D40" s="40" t="s">
        <v>420</v>
      </c>
      <c r="E40" s="40"/>
      <c r="F40" s="40" t="s">
        <v>212</v>
      </c>
      <c r="G40" s="40" t="s">
        <v>961</v>
      </c>
      <c r="H40" s="40">
        <v>7421.6</v>
      </c>
      <c r="I40" s="40">
        <v>7431.3</v>
      </c>
      <c r="J40" s="40">
        <f t="shared" si="1"/>
        <v>9.7</v>
      </c>
      <c r="K40" s="40"/>
      <c r="L40" s="40"/>
    </row>
    <row r="41" ht="14.25" customHeight="1">
      <c r="B41" s="154">
        <v>45249.0</v>
      </c>
      <c r="C41" s="154">
        <v>45260.0</v>
      </c>
      <c r="D41" s="40" t="s">
        <v>420</v>
      </c>
      <c r="E41" s="40"/>
      <c r="F41" s="40" t="s">
        <v>212</v>
      </c>
      <c r="G41" s="40" t="s">
        <v>961</v>
      </c>
      <c r="H41" s="40">
        <v>7431.3</v>
      </c>
      <c r="I41" s="40">
        <v>7452.4</v>
      </c>
      <c r="J41" s="40">
        <f t="shared" si="1"/>
        <v>21.1</v>
      </c>
      <c r="K41" s="40"/>
      <c r="L41" s="40" t="s">
        <v>54</v>
      </c>
    </row>
    <row r="42" ht="14.25" customHeight="1">
      <c r="B42" s="154">
        <v>45261.0</v>
      </c>
      <c r="C42" s="154">
        <v>45267.0</v>
      </c>
      <c r="D42" s="40" t="s">
        <v>420</v>
      </c>
      <c r="E42" s="40"/>
      <c r="F42" s="40" t="s">
        <v>212</v>
      </c>
      <c r="G42" s="40" t="s">
        <v>289</v>
      </c>
      <c r="H42" s="40">
        <v>7452.4</v>
      </c>
      <c r="I42" s="40">
        <v>7475.1</v>
      </c>
      <c r="J42" s="40">
        <f t="shared" si="1"/>
        <v>22.7</v>
      </c>
      <c r="K42" s="40">
        <v>120.0</v>
      </c>
      <c r="L42" s="40"/>
    </row>
    <row r="43" ht="14.25" customHeight="1">
      <c r="B43" s="154"/>
      <c r="C43" s="154"/>
      <c r="D43" s="40" t="s">
        <v>197</v>
      </c>
      <c r="E43" s="40"/>
      <c r="F43" s="40"/>
      <c r="G43" s="40"/>
      <c r="H43" s="40"/>
      <c r="I43" s="40"/>
      <c r="J43" s="40">
        <f t="shared" si="1"/>
        <v>0</v>
      </c>
      <c r="K43" s="40"/>
      <c r="L43" s="40"/>
    </row>
    <row r="44" ht="14.25" customHeight="1">
      <c r="B44" s="154">
        <v>45282.0</v>
      </c>
      <c r="C44" s="154">
        <v>45297.0</v>
      </c>
      <c r="D44" s="40" t="s">
        <v>963</v>
      </c>
      <c r="E44" s="40"/>
      <c r="F44" s="40" t="s">
        <v>964</v>
      </c>
      <c r="G44" s="40" t="s">
        <v>965</v>
      </c>
      <c r="H44" s="40">
        <v>7476.7</v>
      </c>
      <c r="I44" s="40">
        <v>7601.2</v>
      </c>
      <c r="J44" s="40">
        <f t="shared" si="1"/>
        <v>124.5</v>
      </c>
      <c r="K44" s="40"/>
      <c r="L44" s="40" t="s">
        <v>966</v>
      </c>
    </row>
    <row r="45" ht="14.25" customHeight="1">
      <c r="B45" s="154">
        <v>44932.0</v>
      </c>
      <c r="C45" s="154">
        <v>44938.0</v>
      </c>
      <c r="D45" s="40" t="s">
        <v>967</v>
      </c>
      <c r="E45" s="40"/>
      <c r="F45" s="40" t="s">
        <v>968</v>
      </c>
      <c r="G45" s="40" t="s">
        <v>969</v>
      </c>
      <c r="H45" s="40">
        <v>7609.9</v>
      </c>
      <c r="I45" s="40">
        <v>7647.0</v>
      </c>
      <c r="J45" s="40">
        <f t="shared" si="1"/>
        <v>37.1</v>
      </c>
      <c r="K45" s="40">
        <v>200.0</v>
      </c>
      <c r="L45" s="40"/>
    </row>
    <row r="46" ht="14.25" customHeight="1">
      <c r="B46" s="154">
        <v>45304.0</v>
      </c>
      <c r="C46" s="154">
        <v>45313.0</v>
      </c>
      <c r="D46" s="40" t="s">
        <v>187</v>
      </c>
      <c r="E46" s="40"/>
      <c r="F46" s="40" t="s">
        <v>237</v>
      </c>
      <c r="G46" s="40" t="s">
        <v>240</v>
      </c>
      <c r="H46" s="40">
        <v>7647.0</v>
      </c>
      <c r="I46" s="40">
        <v>7702.5</v>
      </c>
      <c r="J46" s="40">
        <f t="shared" si="1"/>
        <v>55.5</v>
      </c>
      <c r="K46" s="40">
        <v>400.0</v>
      </c>
      <c r="L46" s="40"/>
    </row>
    <row r="47" ht="14.25" customHeight="1">
      <c r="B47" s="154">
        <v>45313.0</v>
      </c>
      <c r="C47" s="154">
        <v>45315.0</v>
      </c>
      <c r="D47" s="40" t="s">
        <v>970</v>
      </c>
      <c r="E47" s="40"/>
      <c r="F47" s="40" t="s">
        <v>237</v>
      </c>
      <c r="G47" s="40" t="s">
        <v>240</v>
      </c>
      <c r="H47" s="40">
        <v>7702.5</v>
      </c>
      <c r="I47" s="40">
        <v>7719.4</v>
      </c>
      <c r="J47" s="40">
        <f t="shared" si="1"/>
        <v>16.9</v>
      </c>
      <c r="K47" s="40">
        <v>220.0</v>
      </c>
      <c r="L47" s="40"/>
    </row>
    <row r="48" ht="14.25" customHeight="1">
      <c r="B48" s="154">
        <v>45315.0</v>
      </c>
      <c r="C48" s="154">
        <v>45320.0</v>
      </c>
      <c r="D48" s="40" t="s">
        <v>175</v>
      </c>
      <c r="E48" s="40"/>
      <c r="F48" s="40" t="s">
        <v>971</v>
      </c>
      <c r="G48" s="40" t="s">
        <v>240</v>
      </c>
      <c r="H48" s="40">
        <v>7720.3</v>
      </c>
      <c r="I48" s="40">
        <v>7738.5</v>
      </c>
      <c r="J48" s="40">
        <f t="shared" si="1"/>
        <v>18.2</v>
      </c>
      <c r="K48" s="40">
        <v>370.0</v>
      </c>
      <c r="L48" s="40"/>
    </row>
    <row r="49" ht="14.25" customHeight="1">
      <c r="B49" s="154">
        <v>45321.0</v>
      </c>
      <c r="C49" s="154">
        <v>45325.0</v>
      </c>
      <c r="D49" s="40" t="s">
        <v>970</v>
      </c>
      <c r="E49" s="40"/>
      <c r="F49" s="40" t="s">
        <v>237</v>
      </c>
      <c r="G49" s="40" t="s">
        <v>240</v>
      </c>
      <c r="H49" s="40">
        <v>7738.5</v>
      </c>
      <c r="I49" s="40">
        <v>7763.5</v>
      </c>
      <c r="J49" s="40">
        <f t="shared" si="1"/>
        <v>25</v>
      </c>
      <c r="K49" s="40">
        <v>220.0</v>
      </c>
      <c r="L49" s="110"/>
    </row>
    <row r="50" ht="14.25" customHeight="1">
      <c r="B50" s="154">
        <v>45326.0</v>
      </c>
      <c r="C50" s="154">
        <v>45334.0</v>
      </c>
      <c r="D50" s="40" t="s">
        <v>187</v>
      </c>
      <c r="E50" s="40"/>
      <c r="F50" s="40" t="s">
        <v>237</v>
      </c>
      <c r="G50" s="40" t="s">
        <v>240</v>
      </c>
      <c r="H50" s="40">
        <v>7763.5</v>
      </c>
      <c r="I50" s="40">
        <v>7809.3</v>
      </c>
      <c r="J50" s="40">
        <f t="shared" si="1"/>
        <v>45.8</v>
      </c>
      <c r="K50" s="40">
        <v>160.0</v>
      </c>
      <c r="L50" s="40"/>
    </row>
    <row r="51" ht="14.25" customHeight="1">
      <c r="B51" s="154">
        <v>45334.0</v>
      </c>
      <c r="C51" s="154">
        <v>45336.0</v>
      </c>
      <c r="D51" s="40" t="s">
        <v>230</v>
      </c>
      <c r="E51" s="40"/>
      <c r="F51" s="40" t="s">
        <v>972</v>
      </c>
      <c r="G51" s="40" t="s">
        <v>240</v>
      </c>
      <c r="H51" s="40">
        <v>7809.3</v>
      </c>
      <c r="I51" s="40">
        <v>7816.0</v>
      </c>
      <c r="J51" s="40">
        <f t="shared" si="1"/>
        <v>6.7</v>
      </c>
      <c r="K51" s="40"/>
      <c r="L51" s="40"/>
    </row>
    <row r="52" ht="14.25" customHeight="1">
      <c r="B52" s="154">
        <v>45337.0</v>
      </c>
      <c r="C52" s="154">
        <v>45351.0</v>
      </c>
      <c r="D52" s="40" t="s">
        <v>187</v>
      </c>
      <c r="E52" s="40"/>
      <c r="F52" s="40" t="s">
        <v>237</v>
      </c>
      <c r="G52" s="40" t="s">
        <v>373</v>
      </c>
      <c r="H52" s="40">
        <v>7816.0</v>
      </c>
      <c r="I52" s="40">
        <v>7890.6</v>
      </c>
      <c r="J52" s="40">
        <f t="shared" si="1"/>
        <v>74.6</v>
      </c>
      <c r="K52" s="40">
        <v>590.0</v>
      </c>
      <c r="L52" s="40"/>
    </row>
    <row r="53" ht="14.25" customHeight="1">
      <c r="B53" s="154">
        <v>45352.0</v>
      </c>
      <c r="C53" s="154">
        <v>45379.0</v>
      </c>
      <c r="D53" s="40" t="s">
        <v>378</v>
      </c>
      <c r="E53" s="40"/>
      <c r="F53" s="40" t="s">
        <v>237</v>
      </c>
      <c r="G53" s="40" t="s">
        <v>373</v>
      </c>
      <c r="H53" s="40">
        <v>7890.6</v>
      </c>
      <c r="I53" s="40">
        <v>7949.7</v>
      </c>
      <c r="J53" s="40">
        <f t="shared" si="1"/>
        <v>59.1</v>
      </c>
      <c r="K53" s="40">
        <v>225.0</v>
      </c>
      <c r="L53" s="40"/>
    </row>
    <row r="54" ht="14.25" customHeight="1">
      <c r="B54" s="154">
        <v>45383.0</v>
      </c>
      <c r="C54" s="154">
        <v>45412.0</v>
      </c>
      <c r="D54" s="40" t="s">
        <v>378</v>
      </c>
      <c r="E54" s="40"/>
      <c r="F54" s="40" t="s">
        <v>237</v>
      </c>
      <c r="G54" s="40" t="s">
        <v>240</v>
      </c>
      <c r="H54" s="40">
        <v>7949.7</v>
      </c>
      <c r="I54" s="40">
        <v>8167.2</v>
      </c>
      <c r="J54" s="40">
        <f t="shared" si="1"/>
        <v>217.5</v>
      </c>
      <c r="K54" s="40">
        <v>1515.0</v>
      </c>
      <c r="L54" s="40"/>
    </row>
    <row r="55" ht="14.25" customHeight="1">
      <c r="B55" s="154">
        <v>45413.0</v>
      </c>
      <c r="C55" s="154">
        <v>45416.0</v>
      </c>
      <c r="D55" s="40" t="s">
        <v>187</v>
      </c>
      <c r="E55" s="40"/>
      <c r="F55" s="40" t="s">
        <v>237</v>
      </c>
      <c r="G55" s="40" t="s">
        <v>373</v>
      </c>
      <c r="H55" s="40">
        <v>8167.2</v>
      </c>
      <c r="I55" s="40">
        <v>8200.3</v>
      </c>
      <c r="J55" s="40">
        <f t="shared" si="1"/>
        <v>33.1</v>
      </c>
      <c r="K55" s="40">
        <v>100.0</v>
      </c>
      <c r="L55" s="40"/>
    </row>
    <row r="56" ht="14.25" customHeight="1">
      <c r="B56" s="154">
        <v>45418.0</v>
      </c>
      <c r="C56" s="154">
        <v>45418.0</v>
      </c>
      <c r="D56" s="40" t="s">
        <v>83</v>
      </c>
      <c r="E56" s="40" t="s">
        <v>293</v>
      </c>
      <c r="F56" s="40" t="s">
        <v>973</v>
      </c>
      <c r="G56" s="40" t="s">
        <v>240</v>
      </c>
      <c r="H56" s="40">
        <v>8200.3</v>
      </c>
      <c r="I56" s="40">
        <v>8201.7</v>
      </c>
      <c r="J56" s="40">
        <f t="shared" si="1"/>
        <v>1.4</v>
      </c>
      <c r="K56" s="40"/>
      <c r="L56" s="40"/>
    </row>
    <row r="57" ht="14.25" customHeight="1">
      <c r="B57" s="154">
        <v>45419.0</v>
      </c>
      <c r="C57" s="154">
        <v>45421.0</v>
      </c>
      <c r="D57" s="40" t="s">
        <v>134</v>
      </c>
      <c r="E57" s="40"/>
      <c r="F57" s="40" t="s">
        <v>284</v>
      </c>
      <c r="G57" s="40" t="s">
        <v>373</v>
      </c>
      <c r="H57" s="40">
        <v>8201.7</v>
      </c>
      <c r="I57" s="40">
        <v>8224.1</v>
      </c>
      <c r="J57" s="40">
        <f t="shared" si="1"/>
        <v>22.4</v>
      </c>
      <c r="K57" s="40">
        <v>204.0</v>
      </c>
      <c r="L57" s="40"/>
    </row>
    <row r="58" ht="14.25" customHeight="1">
      <c r="B58" s="154">
        <v>45421.0</v>
      </c>
      <c r="C58" s="154">
        <v>45423.0</v>
      </c>
      <c r="D58" s="40" t="s">
        <v>187</v>
      </c>
      <c r="E58" s="40"/>
      <c r="F58" s="40" t="s">
        <v>288</v>
      </c>
      <c r="G58" s="40" t="s">
        <v>373</v>
      </c>
      <c r="H58" s="40">
        <v>8224.1</v>
      </c>
      <c r="I58" s="40">
        <v>8246.1</v>
      </c>
      <c r="J58" s="40">
        <f t="shared" si="1"/>
        <v>22</v>
      </c>
      <c r="K58" s="40"/>
      <c r="L58" s="40"/>
    </row>
    <row r="59" ht="14.25" customHeight="1">
      <c r="B59" s="154">
        <v>45424.0</v>
      </c>
      <c r="C59" s="154">
        <v>45443.0</v>
      </c>
      <c r="D59" s="40" t="s">
        <v>974</v>
      </c>
      <c r="E59" s="40" t="s">
        <v>293</v>
      </c>
      <c r="F59" s="40" t="s">
        <v>295</v>
      </c>
      <c r="G59" s="40" t="s">
        <v>373</v>
      </c>
      <c r="H59" s="40">
        <v>8246.1</v>
      </c>
      <c r="I59" s="40">
        <v>8353.7</v>
      </c>
      <c r="J59" s="40">
        <f t="shared" si="1"/>
        <v>107.6</v>
      </c>
      <c r="K59" s="40">
        <v>1180.0</v>
      </c>
      <c r="L59" s="40"/>
    </row>
    <row r="60" ht="14.25" customHeight="1">
      <c r="B60" s="154">
        <v>45444.0</v>
      </c>
      <c r="C60" s="154">
        <v>45445.0</v>
      </c>
      <c r="D60" s="40" t="s">
        <v>974</v>
      </c>
      <c r="E60" s="40" t="s">
        <v>975</v>
      </c>
      <c r="F60" s="40" t="s">
        <v>295</v>
      </c>
      <c r="G60" s="40" t="s">
        <v>373</v>
      </c>
      <c r="H60" s="40">
        <v>8353.7</v>
      </c>
      <c r="I60" s="40">
        <v>8366.1</v>
      </c>
      <c r="J60" s="40">
        <f t="shared" si="1"/>
        <v>12.4</v>
      </c>
      <c r="K60" s="40"/>
      <c r="L60" s="40"/>
    </row>
    <row r="61" ht="14.25" customHeight="1">
      <c r="B61" s="154">
        <v>45453.0</v>
      </c>
      <c r="C61" s="154">
        <v>45461.0</v>
      </c>
      <c r="D61" s="40" t="s">
        <v>298</v>
      </c>
      <c r="E61" s="40"/>
      <c r="F61" s="40" t="s">
        <v>145</v>
      </c>
      <c r="G61" s="40" t="s">
        <v>373</v>
      </c>
      <c r="H61" s="40">
        <v>8366.1</v>
      </c>
      <c r="I61" s="40">
        <v>8420.2</v>
      </c>
      <c r="J61" s="40">
        <f t="shared" si="1"/>
        <v>54.1</v>
      </c>
      <c r="K61" s="40">
        <v>400.0</v>
      </c>
      <c r="L61" s="110"/>
    </row>
    <row r="62" ht="14.25" customHeight="1">
      <c r="B62" s="164"/>
      <c r="C62" s="165" t="s">
        <v>976</v>
      </c>
      <c r="D62" s="166"/>
      <c r="E62" s="166"/>
      <c r="F62" s="167"/>
      <c r="G62" s="40"/>
      <c r="H62" s="40"/>
      <c r="I62" s="40"/>
      <c r="J62" s="40">
        <f t="shared" si="1"/>
        <v>0</v>
      </c>
      <c r="K62" s="40"/>
      <c r="L62" s="40"/>
    </row>
    <row r="63" ht="14.25" customHeight="1">
      <c r="B63" s="164"/>
      <c r="C63" s="168"/>
      <c r="D63" s="169"/>
      <c r="E63" s="170"/>
      <c r="F63" s="169"/>
      <c r="G63" s="40"/>
      <c r="H63" s="40"/>
      <c r="I63" s="40"/>
      <c r="J63" s="40">
        <f t="shared" si="1"/>
        <v>0</v>
      </c>
      <c r="K63" s="40"/>
      <c r="L63" s="40"/>
    </row>
    <row r="64" ht="14.25" customHeight="1">
      <c r="B64" s="154"/>
      <c r="C64" s="171"/>
      <c r="D64" s="172"/>
      <c r="E64" s="172"/>
      <c r="F64" s="172"/>
      <c r="G64" s="40"/>
      <c r="H64" s="40"/>
      <c r="I64" s="40"/>
      <c r="J64" s="40">
        <f t="shared" si="1"/>
        <v>0</v>
      </c>
      <c r="K64" s="40"/>
      <c r="L64" s="40"/>
    </row>
    <row r="65" ht="14.25" customHeight="1">
      <c r="B65" s="154"/>
      <c r="C65" s="154"/>
      <c r="D65" s="40"/>
      <c r="E65" s="40"/>
      <c r="F65" s="40"/>
      <c r="G65" s="40"/>
      <c r="H65" s="40"/>
      <c r="I65" s="40"/>
      <c r="J65" s="40">
        <f t="shared" si="1"/>
        <v>0</v>
      </c>
      <c r="K65" s="40"/>
      <c r="L65" s="40"/>
    </row>
    <row r="66" ht="14.25" customHeight="1">
      <c r="B66" s="154"/>
      <c r="C66" s="173"/>
      <c r="D66" s="40"/>
      <c r="E66" s="40"/>
      <c r="F66" s="40"/>
      <c r="G66" s="40"/>
      <c r="H66" s="40"/>
      <c r="I66" s="40"/>
      <c r="J66" s="40">
        <f t="shared" si="1"/>
        <v>0</v>
      </c>
      <c r="K66" s="44"/>
      <c r="L66" s="40"/>
    </row>
    <row r="67" ht="14.25" customHeight="1">
      <c r="B67" s="154"/>
      <c r="C67" s="154"/>
      <c r="D67" s="40"/>
      <c r="E67" s="40"/>
      <c r="F67" s="40"/>
      <c r="G67" s="40"/>
      <c r="H67" s="40"/>
      <c r="I67" s="40"/>
      <c r="J67" s="40">
        <f t="shared" si="1"/>
        <v>0</v>
      </c>
      <c r="K67" s="44"/>
      <c r="L67" s="40"/>
    </row>
    <row r="68" ht="14.25" customHeight="1">
      <c r="B68" s="154"/>
      <c r="C68" s="154"/>
      <c r="D68" s="40"/>
      <c r="E68" s="40"/>
      <c r="F68" s="40"/>
      <c r="G68" s="40"/>
      <c r="H68" s="40"/>
      <c r="I68" s="40"/>
      <c r="J68" s="40">
        <f t="shared" si="1"/>
        <v>0</v>
      </c>
      <c r="K68" s="44"/>
      <c r="L68" s="40"/>
    </row>
    <row r="69" ht="14.25" customHeight="1">
      <c r="B69" s="154"/>
      <c r="C69" s="154"/>
      <c r="D69" s="40"/>
      <c r="E69" s="40"/>
      <c r="F69" s="40"/>
      <c r="G69" s="40"/>
      <c r="H69" s="40"/>
      <c r="I69" s="40"/>
      <c r="J69" s="40">
        <f t="shared" si="1"/>
        <v>0</v>
      </c>
      <c r="K69" s="40"/>
      <c r="L69" s="40"/>
    </row>
    <row r="70" ht="14.25" customHeight="1">
      <c r="B70" s="154"/>
      <c r="C70" s="173"/>
      <c r="D70" s="40"/>
      <c r="E70" s="40"/>
      <c r="F70" s="40"/>
      <c r="G70" s="40"/>
      <c r="H70" s="40"/>
      <c r="I70" s="40"/>
      <c r="J70" s="40">
        <f t="shared" si="1"/>
        <v>0</v>
      </c>
      <c r="K70" s="44"/>
      <c r="L70" s="40"/>
    </row>
    <row r="71" ht="14.25" customHeight="1">
      <c r="B71" s="154"/>
      <c r="C71" s="154"/>
      <c r="D71" s="40"/>
      <c r="E71" s="40"/>
      <c r="F71" s="40"/>
      <c r="G71" s="40"/>
      <c r="H71" s="40"/>
      <c r="I71" s="40"/>
      <c r="J71" s="40">
        <f t="shared" si="1"/>
        <v>0</v>
      </c>
      <c r="K71" s="44"/>
      <c r="L71" s="40"/>
    </row>
    <row r="72" ht="14.25" customHeight="1">
      <c r="B72" s="154"/>
      <c r="C72" s="154"/>
      <c r="D72" s="40"/>
      <c r="E72" s="40"/>
      <c r="F72" s="40"/>
      <c r="G72" s="40"/>
      <c r="H72" s="40"/>
      <c r="I72" s="40"/>
      <c r="J72" s="40">
        <f t="shared" si="1"/>
        <v>0</v>
      </c>
      <c r="K72" s="44"/>
      <c r="L72" s="40"/>
    </row>
    <row r="73" ht="14.25" customHeight="1">
      <c r="B73" s="154"/>
      <c r="C73" s="154"/>
      <c r="D73" s="40"/>
      <c r="E73" s="40"/>
      <c r="F73" s="40"/>
      <c r="G73" s="40"/>
      <c r="H73" s="40"/>
      <c r="I73" s="40"/>
      <c r="J73" s="40">
        <f t="shared" si="1"/>
        <v>0</v>
      </c>
      <c r="K73" s="40"/>
      <c r="L73" s="40"/>
    </row>
    <row r="74" ht="14.25" customHeight="1">
      <c r="B74" s="154"/>
      <c r="C74" s="173"/>
      <c r="D74" s="40"/>
      <c r="E74" s="40"/>
      <c r="F74" s="40"/>
      <c r="G74" s="40"/>
      <c r="H74" s="40"/>
      <c r="I74" s="40"/>
      <c r="J74" s="40">
        <f t="shared" si="1"/>
        <v>0</v>
      </c>
      <c r="K74" s="44"/>
      <c r="L74" s="40"/>
    </row>
    <row r="75" ht="14.25" customHeight="1">
      <c r="B75" s="154"/>
      <c r="C75" s="154"/>
      <c r="D75" s="40"/>
      <c r="E75" s="40"/>
      <c r="F75" s="40"/>
      <c r="G75" s="40"/>
      <c r="H75" s="40"/>
      <c r="I75" s="40"/>
      <c r="J75" s="40">
        <f t="shared" si="1"/>
        <v>0</v>
      </c>
      <c r="K75" s="44"/>
      <c r="L75" s="40"/>
    </row>
    <row r="76" ht="14.25" customHeight="1">
      <c r="B76" s="154"/>
      <c r="C76" s="154"/>
      <c r="D76" s="40"/>
      <c r="E76" s="40"/>
      <c r="F76" s="40"/>
      <c r="G76" s="40"/>
      <c r="H76" s="40"/>
      <c r="I76" s="40"/>
      <c r="J76" s="40">
        <f t="shared" si="1"/>
        <v>0</v>
      </c>
      <c r="K76" s="44"/>
      <c r="L76" s="40"/>
    </row>
    <row r="77" ht="14.25" customHeight="1">
      <c r="B77" s="154"/>
      <c r="C77" s="154"/>
      <c r="D77" s="40"/>
      <c r="E77" s="40"/>
      <c r="F77" s="40"/>
      <c r="G77" s="40"/>
      <c r="H77" s="40"/>
      <c r="I77" s="40"/>
      <c r="J77" s="40">
        <f t="shared" si="1"/>
        <v>0</v>
      </c>
      <c r="K77" s="40"/>
      <c r="L77" s="40"/>
    </row>
    <row r="78" ht="14.25" customHeight="1">
      <c r="B78" s="154"/>
      <c r="C78" s="173"/>
      <c r="D78" s="40"/>
      <c r="E78" s="40"/>
      <c r="F78" s="40"/>
      <c r="G78" s="40"/>
      <c r="H78" s="40"/>
      <c r="I78" s="40"/>
      <c r="J78" s="40">
        <f t="shared" si="1"/>
        <v>0</v>
      </c>
      <c r="K78" s="44"/>
      <c r="L78" s="40"/>
    </row>
    <row r="79" ht="14.25" customHeight="1">
      <c r="B79" s="154"/>
      <c r="C79" s="154"/>
      <c r="D79" s="40"/>
      <c r="E79" s="40"/>
      <c r="F79" s="40"/>
      <c r="G79" s="40"/>
      <c r="H79" s="40"/>
      <c r="I79" s="40"/>
      <c r="J79" s="40">
        <f t="shared" si="1"/>
        <v>0</v>
      </c>
      <c r="K79" s="44"/>
      <c r="L79" s="40"/>
    </row>
    <row r="80" ht="14.25" customHeight="1">
      <c r="B80" s="154"/>
      <c r="C80" s="154"/>
      <c r="D80" s="40"/>
      <c r="E80" s="40"/>
      <c r="F80" s="40"/>
      <c r="G80" s="40"/>
      <c r="H80" s="40"/>
      <c r="I80" s="40"/>
      <c r="J80" s="40">
        <f t="shared" si="1"/>
        <v>0</v>
      </c>
      <c r="K80" s="44"/>
      <c r="L80" s="40"/>
    </row>
    <row r="81" ht="14.25" customHeight="1">
      <c r="B81" s="154"/>
      <c r="C81" s="154"/>
      <c r="D81" s="40"/>
      <c r="E81" s="40"/>
      <c r="F81" s="40"/>
      <c r="G81" s="40"/>
      <c r="H81" s="40"/>
      <c r="I81" s="40"/>
      <c r="J81" s="40">
        <f t="shared" si="1"/>
        <v>0</v>
      </c>
      <c r="K81" s="40"/>
      <c r="L81" s="40"/>
    </row>
    <row r="82" ht="14.25" customHeight="1">
      <c r="B82" s="154"/>
      <c r="C82" s="173"/>
      <c r="D82" s="40"/>
      <c r="E82" s="40"/>
      <c r="F82" s="40"/>
      <c r="G82" s="40"/>
      <c r="H82" s="40"/>
      <c r="I82" s="40"/>
      <c r="J82" s="40">
        <f t="shared" si="1"/>
        <v>0</v>
      </c>
      <c r="K82" s="44"/>
      <c r="L82" s="40"/>
    </row>
    <row r="83" ht="14.25" customHeight="1">
      <c r="B83" s="154"/>
      <c r="C83" s="154"/>
      <c r="D83" s="40"/>
      <c r="E83" s="40"/>
      <c r="F83" s="40"/>
      <c r="G83" s="40"/>
      <c r="H83" s="40"/>
      <c r="I83" s="40"/>
      <c r="J83" s="40">
        <f t="shared" si="1"/>
        <v>0</v>
      </c>
      <c r="K83" s="44"/>
      <c r="L83" s="40"/>
    </row>
    <row r="84" ht="14.25" customHeight="1">
      <c r="B84" s="154"/>
      <c r="C84" s="154"/>
      <c r="D84" s="40"/>
      <c r="E84" s="40"/>
      <c r="F84" s="40"/>
      <c r="G84" s="40"/>
      <c r="H84" s="40"/>
      <c r="I84" s="40"/>
      <c r="J84" s="40">
        <f t="shared" si="1"/>
        <v>0</v>
      </c>
      <c r="K84" s="44"/>
      <c r="L84" s="40"/>
    </row>
    <row r="85" ht="14.25" customHeight="1">
      <c r="B85" s="154"/>
      <c r="C85" s="154"/>
      <c r="D85" s="40"/>
      <c r="E85" s="40"/>
      <c r="F85" s="40"/>
      <c r="G85" s="40"/>
      <c r="H85" s="40"/>
      <c r="I85" s="40"/>
      <c r="J85" s="40">
        <f t="shared" si="1"/>
        <v>0</v>
      </c>
      <c r="K85" s="40"/>
      <c r="L85" s="40"/>
    </row>
    <row r="86" ht="14.25" customHeight="1">
      <c r="B86" s="154"/>
      <c r="C86" s="173"/>
      <c r="D86" s="40"/>
      <c r="E86" s="40"/>
      <c r="F86" s="40"/>
      <c r="G86" s="40"/>
      <c r="H86" s="40"/>
      <c r="I86" s="40"/>
      <c r="J86" s="40">
        <f t="shared" si="1"/>
        <v>0</v>
      </c>
      <c r="K86" s="44"/>
      <c r="L86" s="40"/>
    </row>
    <row r="87" ht="14.25" customHeight="1">
      <c r="B87" s="154"/>
      <c r="C87" s="154"/>
      <c r="D87" s="40"/>
      <c r="E87" s="40"/>
      <c r="F87" s="40"/>
      <c r="G87" s="40"/>
      <c r="H87" s="40"/>
      <c r="I87" s="40"/>
      <c r="J87" s="40">
        <f t="shared" si="1"/>
        <v>0</v>
      </c>
      <c r="K87" s="44"/>
      <c r="L87" s="40"/>
    </row>
    <row r="88" ht="14.25" customHeight="1">
      <c r="B88" s="154"/>
      <c r="C88" s="154"/>
      <c r="D88" s="40"/>
      <c r="E88" s="40"/>
      <c r="F88" s="40"/>
      <c r="G88" s="40"/>
      <c r="H88" s="40"/>
      <c r="I88" s="40"/>
      <c r="J88" s="40">
        <f t="shared" si="1"/>
        <v>0</v>
      </c>
      <c r="K88" s="44"/>
      <c r="L88" s="40"/>
    </row>
    <row r="89" ht="14.25" customHeight="1">
      <c r="B89" s="154"/>
      <c r="C89" s="154"/>
      <c r="D89" s="40"/>
      <c r="E89" s="40"/>
      <c r="F89" s="40"/>
      <c r="G89" s="40"/>
      <c r="H89" s="40"/>
      <c r="I89" s="40"/>
      <c r="J89" s="40">
        <f t="shared" si="1"/>
        <v>0</v>
      </c>
      <c r="K89" s="40"/>
      <c r="L89" s="40"/>
    </row>
    <row r="90" ht="14.25" customHeight="1">
      <c r="B90" s="154"/>
      <c r="C90" s="173"/>
      <c r="D90" s="40"/>
      <c r="E90" s="40"/>
      <c r="F90" s="40"/>
      <c r="G90" s="40"/>
      <c r="H90" s="40"/>
      <c r="I90" s="40"/>
      <c r="J90" s="40">
        <f t="shared" si="1"/>
        <v>0</v>
      </c>
      <c r="K90" s="44"/>
      <c r="L90" s="40"/>
    </row>
    <row r="91" ht="14.25" customHeight="1">
      <c r="B91" s="154"/>
      <c r="C91" s="154"/>
      <c r="D91" s="40"/>
      <c r="E91" s="40"/>
      <c r="F91" s="40"/>
      <c r="G91" s="40"/>
      <c r="H91" s="40"/>
      <c r="I91" s="40"/>
      <c r="J91" s="40">
        <f t="shared" si="1"/>
        <v>0</v>
      </c>
      <c r="K91" s="44"/>
      <c r="L91" s="40"/>
    </row>
    <row r="92" ht="14.25" customHeight="1">
      <c r="B92" s="154"/>
      <c r="C92" s="154"/>
      <c r="D92" s="40"/>
      <c r="E92" s="40"/>
      <c r="F92" s="40"/>
      <c r="G92" s="40"/>
      <c r="H92" s="40"/>
      <c r="I92" s="40"/>
      <c r="J92" s="40">
        <f t="shared" si="1"/>
        <v>0</v>
      </c>
      <c r="K92" s="44"/>
      <c r="L92" s="40"/>
    </row>
    <row r="93" ht="14.25" customHeight="1">
      <c r="B93" s="154"/>
      <c r="C93" s="154"/>
      <c r="D93" s="40"/>
      <c r="E93" s="40"/>
      <c r="F93" s="40"/>
      <c r="G93" s="40"/>
      <c r="H93" s="40"/>
      <c r="I93" s="40"/>
      <c r="J93" s="40">
        <f t="shared" si="1"/>
        <v>0</v>
      </c>
      <c r="K93" s="40"/>
      <c r="L93" s="40"/>
    </row>
    <row r="94" ht="14.25" customHeight="1">
      <c r="B94" s="154"/>
      <c r="C94" s="173"/>
      <c r="D94" s="40"/>
      <c r="E94" s="40"/>
      <c r="F94" s="40"/>
      <c r="G94" s="40"/>
      <c r="H94" s="40"/>
      <c r="I94" s="40"/>
      <c r="J94" s="40">
        <f t="shared" si="1"/>
        <v>0</v>
      </c>
      <c r="K94" s="44"/>
      <c r="L94" s="40"/>
    </row>
    <row r="95" ht="14.25" customHeight="1">
      <c r="B95" s="154"/>
      <c r="C95" s="154"/>
      <c r="D95" s="40"/>
      <c r="E95" s="40"/>
      <c r="F95" s="40"/>
      <c r="G95" s="40"/>
      <c r="H95" s="40"/>
      <c r="I95" s="40"/>
      <c r="J95" s="40">
        <f t="shared" si="1"/>
        <v>0</v>
      </c>
      <c r="K95" s="44"/>
      <c r="L95" s="40"/>
    </row>
    <row r="96" ht="14.25" customHeight="1">
      <c r="B96" s="154"/>
      <c r="C96" s="154"/>
      <c r="D96" s="40"/>
      <c r="E96" s="40"/>
      <c r="F96" s="40"/>
      <c r="G96" s="40"/>
      <c r="H96" s="40"/>
      <c r="I96" s="40"/>
      <c r="J96" s="40">
        <f t="shared" si="1"/>
        <v>0</v>
      </c>
      <c r="K96" s="44"/>
      <c r="L96" s="40"/>
    </row>
    <row r="97" ht="14.25" customHeight="1">
      <c r="B97" s="154"/>
      <c r="C97" s="154"/>
      <c r="D97" s="40"/>
      <c r="E97" s="40"/>
      <c r="F97" s="40"/>
      <c r="G97" s="40"/>
      <c r="H97" s="40"/>
      <c r="I97" s="40"/>
      <c r="J97" s="40">
        <f t="shared" si="1"/>
        <v>0</v>
      </c>
      <c r="K97" s="40"/>
      <c r="L97" s="40"/>
    </row>
    <row r="98" ht="14.25" customHeight="1">
      <c r="B98" s="154"/>
      <c r="C98" s="173"/>
      <c r="D98" s="40"/>
      <c r="E98" s="40"/>
      <c r="F98" s="40"/>
      <c r="G98" s="40"/>
      <c r="H98" s="40"/>
      <c r="I98" s="40"/>
      <c r="J98" s="40">
        <f t="shared" si="1"/>
        <v>0</v>
      </c>
      <c r="K98" s="44"/>
      <c r="L98" s="40"/>
    </row>
    <row r="99" ht="14.25" customHeight="1">
      <c r="B99" s="154"/>
      <c r="C99" s="154"/>
      <c r="D99" s="40"/>
      <c r="E99" s="40"/>
      <c r="F99" s="40"/>
      <c r="G99" s="40"/>
      <c r="H99" s="40"/>
      <c r="I99" s="40"/>
      <c r="J99" s="40">
        <f t="shared" si="1"/>
        <v>0</v>
      </c>
      <c r="K99" s="44"/>
      <c r="L99" s="40"/>
    </row>
    <row r="100" ht="14.25" customHeight="1">
      <c r="B100" s="154"/>
      <c r="C100" s="154"/>
      <c r="D100" s="40"/>
      <c r="E100" s="40"/>
      <c r="F100" s="40"/>
      <c r="G100" s="40"/>
      <c r="H100" s="40"/>
      <c r="I100" s="40"/>
      <c r="J100" s="40">
        <f t="shared" si="1"/>
        <v>0</v>
      </c>
      <c r="K100" s="44"/>
      <c r="L100" s="40"/>
    </row>
    <row r="101" ht="14.25" customHeight="1">
      <c r="B101" s="154"/>
      <c r="C101" s="154"/>
      <c r="D101" s="40"/>
      <c r="E101" s="40"/>
      <c r="F101" s="40"/>
      <c r="G101" s="40"/>
      <c r="H101" s="40"/>
      <c r="I101" s="40"/>
      <c r="J101" s="40">
        <f t="shared" si="1"/>
        <v>0</v>
      </c>
      <c r="K101" s="40"/>
      <c r="L101" s="40"/>
    </row>
    <row r="102" ht="14.25" customHeight="1">
      <c r="B102" s="154"/>
      <c r="C102" s="173"/>
      <c r="D102" s="40"/>
      <c r="E102" s="40"/>
      <c r="F102" s="40"/>
      <c r="G102" s="40"/>
      <c r="H102" s="40"/>
      <c r="I102" s="40"/>
      <c r="J102" s="40">
        <f t="shared" si="1"/>
        <v>0</v>
      </c>
      <c r="K102" s="44"/>
      <c r="L102" s="40"/>
    </row>
    <row r="103" ht="14.25" customHeight="1">
      <c r="B103" s="154"/>
      <c r="C103" s="154"/>
      <c r="D103" s="40"/>
      <c r="E103" s="40"/>
      <c r="F103" s="40"/>
      <c r="G103" s="40"/>
      <c r="H103" s="40"/>
      <c r="I103" s="40"/>
      <c r="J103" s="40">
        <f t="shared" si="1"/>
        <v>0</v>
      </c>
      <c r="K103" s="44"/>
      <c r="L103" s="40"/>
    </row>
    <row r="104" ht="14.25" customHeight="1">
      <c r="B104" s="154"/>
      <c r="C104" s="154"/>
      <c r="D104" s="40"/>
      <c r="E104" s="40"/>
      <c r="F104" s="40"/>
      <c r="G104" s="40"/>
      <c r="H104" s="40"/>
      <c r="I104" s="40"/>
      <c r="J104" s="40">
        <f t="shared" si="1"/>
        <v>0</v>
      </c>
      <c r="K104" s="44"/>
      <c r="L104" s="40"/>
    </row>
    <row r="105" ht="14.25" customHeight="1">
      <c r="B105" s="154"/>
      <c r="C105" s="154"/>
      <c r="D105" s="40"/>
      <c r="E105" s="40"/>
      <c r="F105" s="40"/>
      <c r="G105" s="40"/>
      <c r="H105" s="40"/>
      <c r="I105" s="40"/>
      <c r="J105" s="40">
        <f t="shared" si="1"/>
        <v>0</v>
      </c>
      <c r="K105" s="40"/>
      <c r="L105" s="40"/>
    </row>
    <row r="106" ht="14.25" customHeight="1">
      <c r="B106" s="154"/>
      <c r="C106" s="173"/>
      <c r="D106" s="40"/>
      <c r="E106" s="40"/>
      <c r="F106" s="40"/>
      <c r="G106" s="40"/>
      <c r="H106" s="40"/>
      <c r="I106" s="40"/>
      <c r="J106" s="40">
        <f t="shared" si="1"/>
        <v>0</v>
      </c>
      <c r="K106" s="44"/>
      <c r="L106" s="40"/>
    </row>
    <row r="107" ht="14.25" customHeight="1">
      <c r="B107" s="154"/>
      <c r="C107" s="154"/>
      <c r="D107" s="40"/>
      <c r="E107" s="40"/>
      <c r="F107" s="40"/>
      <c r="G107" s="40"/>
      <c r="H107" s="40"/>
      <c r="I107" s="40"/>
      <c r="J107" s="40">
        <f t="shared" si="1"/>
        <v>0</v>
      </c>
      <c r="K107" s="44"/>
      <c r="L107" s="40"/>
    </row>
    <row r="108" ht="14.25" customHeight="1">
      <c r="B108" s="154"/>
      <c r="C108" s="154"/>
      <c r="D108" s="40"/>
      <c r="E108" s="40"/>
      <c r="F108" s="40"/>
      <c r="G108" s="40"/>
      <c r="H108" s="40"/>
      <c r="I108" s="40"/>
      <c r="J108" s="40">
        <f t="shared" si="1"/>
        <v>0</v>
      </c>
      <c r="K108" s="44"/>
      <c r="L108" s="40"/>
    </row>
    <row r="109" ht="14.25" customHeight="1">
      <c r="B109" s="154"/>
      <c r="C109" s="154"/>
      <c r="D109" s="40"/>
      <c r="E109" s="40"/>
      <c r="F109" s="40"/>
      <c r="G109" s="40"/>
      <c r="H109" s="40"/>
      <c r="I109" s="40"/>
      <c r="J109" s="40">
        <f t="shared" si="1"/>
        <v>0</v>
      </c>
      <c r="K109" s="40"/>
      <c r="L109" s="40"/>
    </row>
    <row r="110" ht="14.25" customHeight="1">
      <c r="B110" s="154"/>
      <c r="C110" s="173"/>
      <c r="D110" s="40"/>
      <c r="E110" s="40"/>
      <c r="F110" s="40"/>
      <c r="G110" s="40"/>
      <c r="H110" s="40"/>
      <c r="I110" s="40"/>
      <c r="J110" s="40">
        <f t="shared" si="1"/>
        <v>0</v>
      </c>
      <c r="K110" s="44"/>
      <c r="L110" s="40"/>
    </row>
    <row r="111" ht="14.25" customHeight="1">
      <c r="B111" s="154"/>
      <c r="C111" s="154"/>
      <c r="D111" s="40"/>
      <c r="E111" s="40"/>
      <c r="F111" s="40"/>
      <c r="G111" s="40"/>
      <c r="H111" s="40"/>
      <c r="I111" s="40"/>
      <c r="J111" s="40">
        <f t="shared" si="1"/>
        <v>0</v>
      </c>
      <c r="K111" s="44"/>
      <c r="L111" s="40"/>
    </row>
    <row r="112" ht="14.25" customHeight="1">
      <c r="B112" s="154"/>
      <c r="C112" s="154"/>
      <c r="D112" s="40"/>
      <c r="E112" s="40"/>
      <c r="F112" s="40"/>
      <c r="G112" s="40"/>
      <c r="H112" s="40"/>
      <c r="I112" s="40"/>
      <c r="J112" s="40">
        <f t="shared" si="1"/>
        <v>0</v>
      </c>
      <c r="K112" s="44"/>
      <c r="L112" s="40"/>
    </row>
    <row r="113" ht="14.25" customHeight="1">
      <c r="B113" s="154"/>
      <c r="C113" s="154"/>
      <c r="D113" s="40"/>
      <c r="E113" s="40"/>
      <c r="F113" s="40"/>
      <c r="G113" s="40"/>
      <c r="H113" s="40"/>
      <c r="I113" s="40"/>
      <c r="J113" s="40">
        <f t="shared" si="1"/>
        <v>0</v>
      </c>
      <c r="K113" s="40"/>
      <c r="L113" s="40"/>
    </row>
    <row r="114" ht="14.25" customHeight="1">
      <c r="B114" s="154"/>
      <c r="C114" s="173"/>
      <c r="D114" s="40"/>
      <c r="E114" s="40"/>
      <c r="F114" s="40"/>
      <c r="G114" s="40"/>
      <c r="H114" s="40"/>
      <c r="I114" s="40"/>
      <c r="J114" s="40">
        <f t="shared" si="1"/>
        <v>0</v>
      </c>
      <c r="K114" s="44"/>
      <c r="L114" s="40"/>
    </row>
    <row r="115" ht="14.25" customHeight="1">
      <c r="B115" s="154"/>
      <c r="C115" s="154"/>
      <c r="D115" s="40"/>
      <c r="E115" s="40"/>
      <c r="F115" s="40"/>
      <c r="G115" s="40"/>
      <c r="H115" s="40"/>
      <c r="I115" s="40"/>
      <c r="J115" s="40">
        <f t="shared" si="1"/>
        <v>0</v>
      </c>
      <c r="K115" s="44"/>
      <c r="L115" s="40"/>
    </row>
    <row r="116" ht="14.25" customHeight="1">
      <c r="B116" s="154"/>
      <c r="C116" s="154"/>
      <c r="D116" s="40"/>
      <c r="E116" s="40"/>
      <c r="F116" s="40"/>
      <c r="G116" s="40"/>
      <c r="H116" s="40"/>
      <c r="I116" s="40"/>
      <c r="J116" s="40">
        <f t="shared" si="1"/>
        <v>0</v>
      </c>
      <c r="K116" s="44"/>
      <c r="L116" s="40"/>
    </row>
    <row r="117" ht="14.25" customHeight="1">
      <c r="B117" s="154"/>
      <c r="C117" s="154"/>
      <c r="D117" s="40"/>
      <c r="E117" s="40"/>
      <c r="F117" s="40"/>
      <c r="G117" s="40"/>
      <c r="H117" s="40"/>
      <c r="I117" s="40"/>
      <c r="J117" s="40">
        <f t="shared" si="1"/>
        <v>0</v>
      </c>
      <c r="K117" s="40"/>
      <c r="L117" s="40"/>
    </row>
    <row r="118" ht="14.25" customHeight="1">
      <c r="B118" s="154"/>
      <c r="C118" s="173"/>
      <c r="D118" s="40"/>
      <c r="E118" s="40"/>
      <c r="F118" s="40"/>
      <c r="G118" s="40"/>
      <c r="H118" s="40"/>
      <c r="I118" s="40"/>
      <c r="J118" s="40">
        <f t="shared" si="1"/>
        <v>0</v>
      </c>
      <c r="K118" s="44"/>
      <c r="L118" s="40"/>
    </row>
    <row r="119" ht="14.25" customHeight="1">
      <c r="B119" s="154"/>
      <c r="C119" s="154"/>
      <c r="D119" s="40"/>
      <c r="E119" s="40"/>
      <c r="F119" s="40"/>
      <c r="G119" s="40"/>
      <c r="H119" s="40"/>
      <c r="I119" s="40"/>
      <c r="J119" s="40">
        <f t="shared" si="1"/>
        <v>0</v>
      </c>
      <c r="K119" s="44"/>
      <c r="L119" s="40"/>
    </row>
    <row r="120" ht="14.25" customHeight="1">
      <c r="B120" s="154"/>
      <c r="C120" s="154"/>
      <c r="D120" s="40"/>
      <c r="E120" s="40"/>
      <c r="F120" s="40"/>
      <c r="G120" s="40"/>
      <c r="H120" s="40"/>
      <c r="I120" s="40"/>
      <c r="J120" s="40">
        <f t="shared" si="1"/>
        <v>0</v>
      </c>
      <c r="K120" s="44"/>
      <c r="L120" s="40"/>
    </row>
    <row r="121" ht="14.25" customHeight="1">
      <c r="B121" s="154"/>
      <c r="C121" s="154"/>
      <c r="D121" s="40"/>
      <c r="E121" s="40"/>
      <c r="F121" s="40"/>
      <c r="G121" s="40"/>
      <c r="H121" s="40"/>
      <c r="I121" s="40"/>
      <c r="J121" s="40">
        <f t="shared" si="1"/>
        <v>0</v>
      </c>
      <c r="K121" s="40"/>
      <c r="L121" s="40"/>
    </row>
    <row r="122" ht="14.25" customHeight="1">
      <c r="B122" s="154"/>
      <c r="C122" s="173"/>
      <c r="D122" s="40"/>
      <c r="E122" s="40"/>
      <c r="F122" s="40"/>
      <c r="G122" s="40"/>
      <c r="H122" s="40"/>
      <c r="I122" s="40"/>
      <c r="J122" s="40">
        <f t="shared" si="1"/>
        <v>0</v>
      </c>
      <c r="K122" s="44"/>
      <c r="L122" s="40"/>
    </row>
    <row r="123" ht="14.25" customHeight="1">
      <c r="B123" s="154"/>
      <c r="C123" s="154"/>
      <c r="D123" s="40"/>
      <c r="E123" s="40"/>
      <c r="F123" s="40"/>
      <c r="G123" s="40"/>
      <c r="H123" s="40"/>
      <c r="I123" s="40"/>
      <c r="J123" s="40">
        <f t="shared" si="1"/>
        <v>0</v>
      </c>
      <c r="K123" s="44"/>
      <c r="L123" s="40"/>
    </row>
    <row r="124" ht="14.25" customHeight="1">
      <c r="B124" s="154"/>
      <c r="C124" s="154"/>
      <c r="D124" s="40"/>
      <c r="E124" s="40"/>
      <c r="F124" s="40"/>
      <c r="G124" s="40"/>
      <c r="H124" s="40"/>
      <c r="I124" s="40"/>
      <c r="J124" s="40">
        <f t="shared" si="1"/>
        <v>0</v>
      </c>
      <c r="K124" s="44"/>
      <c r="L124" s="40"/>
    </row>
    <row r="125" ht="14.25" customHeight="1">
      <c r="B125" s="154"/>
      <c r="C125" s="154"/>
      <c r="D125" s="40"/>
      <c r="E125" s="40"/>
      <c r="F125" s="40"/>
      <c r="G125" s="40"/>
      <c r="H125" s="40"/>
      <c r="I125" s="40"/>
      <c r="J125" s="40">
        <f t="shared" si="1"/>
        <v>0</v>
      </c>
      <c r="K125" s="40"/>
      <c r="L125" s="40"/>
    </row>
    <row r="126" ht="14.25" customHeight="1">
      <c r="B126" s="154"/>
      <c r="C126" s="173"/>
      <c r="D126" s="40"/>
      <c r="E126" s="40"/>
      <c r="F126" s="40"/>
      <c r="G126" s="40"/>
      <c r="H126" s="40"/>
      <c r="I126" s="40"/>
      <c r="J126" s="40">
        <f t="shared" si="1"/>
        <v>0</v>
      </c>
      <c r="K126" s="44"/>
      <c r="L126" s="40"/>
    </row>
    <row r="127" ht="14.25" customHeight="1">
      <c r="B127" s="154"/>
      <c r="C127" s="154"/>
      <c r="D127" s="40"/>
      <c r="E127" s="40"/>
      <c r="F127" s="40"/>
      <c r="G127" s="40"/>
      <c r="H127" s="40"/>
      <c r="I127" s="40"/>
      <c r="J127" s="40">
        <f t="shared" si="1"/>
        <v>0</v>
      </c>
      <c r="K127" s="44"/>
      <c r="L127" s="40"/>
    </row>
    <row r="128" ht="14.25" customHeight="1">
      <c r="B128" s="154"/>
      <c r="C128" s="154"/>
      <c r="D128" s="40"/>
      <c r="E128" s="40"/>
      <c r="F128" s="40"/>
      <c r="G128" s="40"/>
      <c r="H128" s="40"/>
      <c r="I128" s="40"/>
      <c r="J128" s="40">
        <f t="shared" si="1"/>
        <v>0</v>
      </c>
      <c r="K128" s="44"/>
      <c r="L128" s="40"/>
    </row>
    <row r="129" ht="14.25" customHeight="1">
      <c r="B129" s="154"/>
      <c r="C129" s="154"/>
      <c r="D129" s="40"/>
      <c r="E129" s="40"/>
      <c r="F129" s="40"/>
      <c r="G129" s="40"/>
      <c r="H129" s="40"/>
      <c r="I129" s="40"/>
      <c r="J129" s="40">
        <f t="shared" si="1"/>
        <v>0</v>
      </c>
      <c r="K129" s="40"/>
      <c r="L129" s="40"/>
    </row>
    <row r="130" ht="14.25" customHeight="1">
      <c r="B130" s="154"/>
      <c r="C130" s="173"/>
      <c r="D130" s="40"/>
      <c r="E130" s="40"/>
      <c r="F130" s="40"/>
      <c r="G130" s="40"/>
      <c r="H130" s="40"/>
      <c r="I130" s="40"/>
      <c r="J130" s="40">
        <f t="shared" si="1"/>
        <v>0</v>
      </c>
      <c r="K130" s="44"/>
      <c r="L130" s="40"/>
    </row>
    <row r="131" ht="14.25" customHeight="1">
      <c r="B131" s="154"/>
      <c r="C131" s="154"/>
      <c r="D131" s="40"/>
      <c r="E131" s="40"/>
      <c r="F131" s="40"/>
      <c r="G131" s="40"/>
      <c r="H131" s="40"/>
      <c r="I131" s="40"/>
      <c r="J131" s="40">
        <f t="shared" si="1"/>
        <v>0</v>
      </c>
      <c r="K131" s="44"/>
      <c r="L131" s="40"/>
    </row>
    <row r="132" ht="14.25" customHeight="1">
      <c r="B132" s="154"/>
      <c r="C132" s="154"/>
      <c r="D132" s="40"/>
      <c r="E132" s="40"/>
      <c r="F132" s="40"/>
      <c r="G132" s="40"/>
      <c r="H132" s="40"/>
      <c r="I132" s="40"/>
      <c r="J132" s="40">
        <f t="shared" si="1"/>
        <v>0</v>
      </c>
      <c r="K132" s="44"/>
      <c r="L132" s="40"/>
    </row>
    <row r="133" ht="14.25" customHeight="1">
      <c r="B133" s="154"/>
      <c r="C133" s="154"/>
      <c r="D133" s="40"/>
      <c r="E133" s="40"/>
      <c r="F133" s="40"/>
      <c r="G133" s="40"/>
      <c r="H133" s="40"/>
      <c r="I133" s="40"/>
      <c r="J133" s="40">
        <f t="shared" si="1"/>
        <v>0</v>
      </c>
      <c r="K133" s="40"/>
      <c r="L133" s="40"/>
    </row>
    <row r="134" ht="14.25" customHeight="1">
      <c r="B134" s="154"/>
      <c r="C134" s="173"/>
      <c r="D134" s="40"/>
      <c r="E134" s="40"/>
      <c r="F134" s="40"/>
      <c r="G134" s="40"/>
      <c r="H134" s="40"/>
      <c r="I134" s="40"/>
      <c r="J134" s="40">
        <f t="shared" si="1"/>
        <v>0</v>
      </c>
      <c r="K134" s="44"/>
      <c r="L134" s="40"/>
    </row>
    <row r="135" ht="14.25" customHeight="1">
      <c r="B135" s="154"/>
      <c r="C135" s="154"/>
      <c r="D135" s="40"/>
      <c r="E135" s="40"/>
      <c r="F135" s="40"/>
      <c r="G135" s="40"/>
      <c r="H135" s="40"/>
      <c r="I135" s="40"/>
      <c r="J135" s="40">
        <f t="shared" si="1"/>
        <v>0</v>
      </c>
      <c r="K135" s="44"/>
      <c r="L135" s="40"/>
    </row>
    <row r="136" ht="14.25" customHeight="1">
      <c r="B136" s="154"/>
      <c r="C136" s="154"/>
      <c r="D136" s="40"/>
      <c r="E136" s="40"/>
      <c r="F136" s="40"/>
      <c r="G136" s="40"/>
      <c r="H136" s="40"/>
      <c r="I136" s="40"/>
      <c r="J136" s="40">
        <f t="shared" si="1"/>
        <v>0</v>
      </c>
      <c r="K136" s="44"/>
      <c r="L136" s="40"/>
    </row>
    <row r="137" ht="14.25" customHeight="1">
      <c r="B137" s="154"/>
      <c r="C137" s="154"/>
      <c r="D137" s="40"/>
      <c r="E137" s="40"/>
      <c r="F137" s="40"/>
      <c r="G137" s="40"/>
      <c r="H137" s="40"/>
      <c r="I137" s="40"/>
      <c r="J137" s="40">
        <f t="shared" si="1"/>
        <v>0</v>
      </c>
      <c r="K137" s="40"/>
      <c r="L137" s="40"/>
    </row>
    <row r="138" ht="14.25" customHeight="1">
      <c r="B138" s="154"/>
      <c r="C138" s="173"/>
      <c r="D138" s="40"/>
      <c r="E138" s="40"/>
      <c r="F138" s="40"/>
      <c r="G138" s="40"/>
      <c r="H138" s="40"/>
      <c r="I138" s="40"/>
      <c r="J138" s="40">
        <f t="shared" si="1"/>
        <v>0</v>
      </c>
      <c r="K138" s="44"/>
      <c r="L138" s="40"/>
    </row>
    <row r="139" ht="14.25" customHeight="1">
      <c r="B139" s="154"/>
      <c r="C139" s="154"/>
      <c r="D139" s="40"/>
      <c r="E139" s="40"/>
      <c r="F139" s="40"/>
      <c r="G139" s="40"/>
      <c r="H139" s="40"/>
      <c r="I139" s="40"/>
      <c r="J139" s="40">
        <f t="shared" si="1"/>
        <v>0</v>
      </c>
      <c r="K139" s="44"/>
      <c r="L139" s="40"/>
    </row>
    <row r="140" ht="14.25" customHeight="1">
      <c r="B140" s="154"/>
      <c r="C140" s="154"/>
      <c r="D140" s="40"/>
      <c r="E140" s="40"/>
      <c r="F140" s="40"/>
      <c r="G140" s="40"/>
      <c r="H140" s="40"/>
      <c r="I140" s="40"/>
      <c r="J140" s="40">
        <f t="shared" si="1"/>
        <v>0</v>
      </c>
      <c r="K140" s="44"/>
      <c r="L140" s="40"/>
    </row>
    <row r="141" ht="14.25" customHeight="1">
      <c r="B141" s="154"/>
      <c r="C141" s="154"/>
      <c r="D141" s="40"/>
      <c r="E141" s="40"/>
      <c r="F141" s="40"/>
      <c r="G141" s="40"/>
      <c r="H141" s="40"/>
      <c r="I141" s="40"/>
      <c r="J141" s="40">
        <f t="shared" si="1"/>
        <v>0</v>
      </c>
      <c r="K141" s="40"/>
      <c r="L141" s="40"/>
    </row>
    <row r="142" ht="14.25" customHeight="1">
      <c r="B142" s="154"/>
      <c r="C142" s="173"/>
      <c r="D142" s="40"/>
      <c r="E142" s="40"/>
      <c r="F142" s="40"/>
      <c r="G142" s="40"/>
      <c r="H142" s="40"/>
      <c r="I142" s="40"/>
      <c r="J142" s="40">
        <f t="shared" si="1"/>
        <v>0</v>
      </c>
      <c r="K142" s="44"/>
      <c r="L142" s="40"/>
    </row>
    <row r="143" ht="14.25" customHeight="1">
      <c r="B143" s="154"/>
      <c r="C143" s="154"/>
      <c r="D143" s="40"/>
      <c r="E143" s="40"/>
      <c r="F143" s="40"/>
      <c r="G143" s="40"/>
      <c r="H143" s="40"/>
      <c r="I143" s="40"/>
      <c r="J143" s="40">
        <f t="shared" si="1"/>
        <v>0</v>
      </c>
      <c r="K143" s="44"/>
      <c r="L143" s="40"/>
    </row>
    <row r="144" ht="14.25" customHeight="1">
      <c r="B144" s="154"/>
      <c r="C144" s="154"/>
      <c r="D144" s="40"/>
      <c r="E144" s="40"/>
      <c r="F144" s="40"/>
      <c r="G144" s="40"/>
      <c r="H144" s="40"/>
      <c r="I144" s="40"/>
      <c r="J144" s="40">
        <f t="shared" si="1"/>
        <v>0</v>
      </c>
      <c r="K144" s="44"/>
      <c r="L144" s="40"/>
    </row>
    <row r="145" ht="14.25" customHeight="1">
      <c r="B145" s="154"/>
      <c r="C145" s="154"/>
      <c r="D145" s="40"/>
      <c r="E145" s="40"/>
      <c r="F145" s="40"/>
      <c r="G145" s="40"/>
      <c r="H145" s="40"/>
      <c r="I145" s="40"/>
      <c r="J145" s="40">
        <f t="shared" si="1"/>
        <v>0</v>
      </c>
      <c r="K145" s="40"/>
      <c r="L145" s="40"/>
    </row>
    <row r="146" ht="14.25" customHeight="1">
      <c r="B146" s="154"/>
      <c r="C146" s="173"/>
      <c r="D146" s="40"/>
      <c r="E146" s="40"/>
      <c r="F146" s="40"/>
      <c r="G146" s="40"/>
      <c r="H146" s="40"/>
      <c r="I146" s="40"/>
      <c r="J146" s="40">
        <f t="shared" si="1"/>
        <v>0</v>
      </c>
      <c r="K146" s="44"/>
      <c r="L146" s="40"/>
    </row>
    <row r="147" ht="14.25" customHeight="1">
      <c r="B147" s="154"/>
      <c r="C147" s="154"/>
      <c r="D147" s="40"/>
      <c r="E147" s="40"/>
      <c r="F147" s="40"/>
      <c r="G147" s="40"/>
      <c r="H147" s="40"/>
      <c r="I147" s="40"/>
      <c r="J147" s="40">
        <f t="shared" si="1"/>
        <v>0</v>
      </c>
      <c r="K147" s="44"/>
      <c r="L147" s="40"/>
    </row>
    <row r="148" ht="14.25" customHeight="1">
      <c r="B148" s="154"/>
      <c r="C148" s="154"/>
      <c r="D148" s="40"/>
      <c r="E148" s="40"/>
      <c r="F148" s="40"/>
      <c r="G148" s="40"/>
      <c r="H148" s="40"/>
      <c r="I148" s="40"/>
      <c r="J148" s="40">
        <f t="shared" si="1"/>
        <v>0</v>
      </c>
      <c r="K148" s="44"/>
      <c r="L148" s="40"/>
    </row>
    <row r="149" ht="14.25" customHeight="1">
      <c r="B149" s="154"/>
      <c r="C149" s="154"/>
      <c r="D149" s="40"/>
      <c r="E149" s="40"/>
      <c r="F149" s="40"/>
      <c r="G149" s="40"/>
      <c r="H149" s="40"/>
      <c r="I149" s="40"/>
      <c r="J149" s="40">
        <f t="shared" si="1"/>
        <v>0</v>
      </c>
      <c r="K149" s="40"/>
      <c r="L149" s="40"/>
    </row>
    <row r="150" ht="14.25" customHeight="1">
      <c r="B150" s="154"/>
      <c r="C150" s="173"/>
      <c r="D150" s="40"/>
      <c r="E150" s="40"/>
      <c r="F150" s="40"/>
      <c r="G150" s="40"/>
      <c r="H150" s="40"/>
      <c r="I150" s="40"/>
      <c r="J150" s="40">
        <f t="shared" si="1"/>
        <v>0</v>
      </c>
      <c r="K150" s="44"/>
      <c r="L150" s="40"/>
    </row>
    <row r="151" ht="14.25" customHeight="1">
      <c r="B151" s="154"/>
      <c r="C151" s="154"/>
      <c r="D151" s="40"/>
      <c r="E151" s="40"/>
      <c r="F151" s="40"/>
      <c r="G151" s="40"/>
      <c r="H151" s="40"/>
      <c r="I151" s="40"/>
      <c r="J151" s="40">
        <f t="shared" si="1"/>
        <v>0</v>
      </c>
      <c r="K151" s="44"/>
      <c r="L151" s="40"/>
    </row>
    <row r="152" ht="14.25" customHeight="1">
      <c r="B152" s="154"/>
      <c r="C152" s="154"/>
      <c r="D152" s="40"/>
      <c r="E152" s="40"/>
      <c r="F152" s="40"/>
      <c r="G152" s="40"/>
      <c r="H152" s="40"/>
      <c r="I152" s="40"/>
      <c r="J152" s="40">
        <f t="shared" si="1"/>
        <v>0</v>
      </c>
      <c r="K152" s="44"/>
      <c r="L152" s="40"/>
    </row>
    <row r="153" ht="14.25" customHeight="1">
      <c r="B153" s="154"/>
      <c r="C153" s="154"/>
      <c r="D153" s="40"/>
      <c r="E153" s="40"/>
      <c r="F153" s="40"/>
      <c r="G153" s="40"/>
      <c r="H153" s="40"/>
      <c r="I153" s="40"/>
      <c r="J153" s="40">
        <f t="shared" si="1"/>
        <v>0</v>
      </c>
      <c r="K153" s="40"/>
      <c r="L153" s="40"/>
    </row>
    <row r="154" ht="14.25" customHeight="1">
      <c r="B154" s="154"/>
      <c r="C154" s="173"/>
      <c r="D154" s="40"/>
      <c r="E154" s="40"/>
      <c r="F154" s="40"/>
      <c r="G154" s="40"/>
      <c r="H154" s="40"/>
      <c r="I154" s="40"/>
      <c r="J154" s="40">
        <f t="shared" si="1"/>
        <v>0</v>
      </c>
      <c r="K154" s="44"/>
      <c r="L154" s="40"/>
    </row>
    <row r="155" ht="14.25" customHeight="1">
      <c r="B155" s="154"/>
      <c r="C155" s="154"/>
      <c r="D155" s="40"/>
      <c r="E155" s="40"/>
      <c r="F155" s="40"/>
      <c r="G155" s="40"/>
      <c r="H155" s="40"/>
      <c r="I155" s="40"/>
      <c r="J155" s="40">
        <f t="shared" si="1"/>
        <v>0</v>
      </c>
      <c r="K155" s="44"/>
      <c r="L155" s="40"/>
    </row>
    <row r="156" ht="14.25" customHeight="1">
      <c r="B156" s="154"/>
      <c r="C156" s="154"/>
      <c r="D156" s="40"/>
      <c r="E156" s="40"/>
      <c r="F156" s="40"/>
      <c r="G156" s="40"/>
      <c r="H156" s="40"/>
      <c r="I156" s="40"/>
      <c r="J156" s="40">
        <f t="shared" si="1"/>
        <v>0</v>
      </c>
      <c r="K156" s="44"/>
      <c r="L156" s="40"/>
    </row>
    <row r="157" ht="14.25" customHeight="1">
      <c r="B157" s="154"/>
      <c r="C157" s="154"/>
      <c r="D157" s="40"/>
      <c r="E157" s="40"/>
      <c r="F157" s="40"/>
      <c r="G157" s="40"/>
      <c r="H157" s="40"/>
      <c r="I157" s="40"/>
      <c r="J157" s="40">
        <f t="shared" si="1"/>
        <v>0</v>
      </c>
      <c r="K157" s="40"/>
      <c r="L157" s="40"/>
    </row>
    <row r="158" ht="14.25" customHeight="1">
      <c r="B158" s="154"/>
      <c r="C158" s="173"/>
      <c r="D158" s="40"/>
      <c r="E158" s="40"/>
      <c r="F158" s="40"/>
      <c r="G158" s="40"/>
      <c r="H158" s="40"/>
      <c r="I158" s="40"/>
      <c r="J158" s="40">
        <f t="shared" si="1"/>
        <v>0</v>
      </c>
      <c r="K158" s="44"/>
      <c r="L158" s="40"/>
    </row>
    <row r="159" ht="14.25" customHeight="1">
      <c r="B159" s="154"/>
      <c r="C159" s="154"/>
      <c r="D159" s="40"/>
      <c r="E159" s="40"/>
      <c r="F159" s="40"/>
      <c r="G159" s="40"/>
      <c r="H159" s="40"/>
      <c r="I159" s="40"/>
      <c r="J159" s="40">
        <f t="shared" si="1"/>
        <v>0</v>
      </c>
      <c r="K159" s="44"/>
      <c r="L159" s="40"/>
    </row>
    <row r="160" ht="14.25" customHeight="1">
      <c r="B160" s="154"/>
      <c r="C160" s="154"/>
      <c r="D160" s="40"/>
      <c r="E160" s="40"/>
      <c r="F160" s="40"/>
      <c r="G160" s="40"/>
      <c r="H160" s="40"/>
      <c r="I160" s="40"/>
      <c r="J160" s="40">
        <f t="shared" si="1"/>
        <v>0</v>
      </c>
      <c r="K160" s="44"/>
      <c r="L160" s="40"/>
    </row>
    <row r="161" ht="14.25" customHeight="1">
      <c r="B161" s="154"/>
      <c r="C161" s="154"/>
      <c r="D161" s="40"/>
      <c r="E161" s="40"/>
      <c r="F161" s="40"/>
      <c r="G161" s="40"/>
      <c r="H161" s="40"/>
      <c r="I161" s="40"/>
      <c r="J161" s="40">
        <f t="shared" si="1"/>
        <v>0</v>
      </c>
      <c r="K161" s="40"/>
      <c r="L161" s="40"/>
    </row>
    <row r="162" ht="14.25" customHeight="1">
      <c r="B162" s="154"/>
      <c r="C162" s="173"/>
      <c r="D162" s="40"/>
      <c r="E162" s="40"/>
      <c r="F162" s="40"/>
      <c r="G162" s="40"/>
      <c r="H162" s="40"/>
      <c r="I162" s="40"/>
      <c r="J162" s="40">
        <f t="shared" si="1"/>
        <v>0</v>
      </c>
      <c r="K162" s="44"/>
      <c r="L162" s="40"/>
    </row>
    <row r="163" ht="14.25" customHeight="1">
      <c r="B163" s="154"/>
      <c r="C163" s="154"/>
      <c r="D163" s="40"/>
      <c r="E163" s="40"/>
      <c r="F163" s="40"/>
      <c r="G163" s="40"/>
      <c r="H163" s="40"/>
      <c r="I163" s="40"/>
      <c r="J163" s="40">
        <f t="shared" si="1"/>
        <v>0</v>
      </c>
      <c r="K163" s="44"/>
      <c r="L163" s="40"/>
    </row>
    <row r="164" ht="14.25" customHeight="1">
      <c r="B164" s="154"/>
      <c r="C164" s="154"/>
      <c r="D164" s="40"/>
      <c r="E164" s="40"/>
      <c r="F164" s="40"/>
      <c r="G164" s="40"/>
      <c r="H164" s="40"/>
      <c r="I164" s="40"/>
      <c r="J164" s="40">
        <f t="shared" si="1"/>
        <v>0</v>
      </c>
      <c r="K164" s="44"/>
      <c r="L164" s="40"/>
    </row>
    <row r="165" ht="14.25" customHeight="1">
      <c r="B165" s="154"/>
      <c r="C165" s="154"/>
      <c r="D165" s="40"/>
      <c r="E165" s="40"/>
      <c r="F165" s="40"/>
      <c r="G165" s="40"/>
      <c r="H165" s="40"/>
      <c r="I165" s="40"/>
      <c r="J165" s="40">
        <f t="shared" si="1"/>
        <v>0</v>
      </c>
      <c r="K165" s="40"/>
      <c r="L165" s="40"/>
    </row>
    <row r="166" ht="14.25" customHeight="1">
      <c r="B166" s="154"/>
      <c r="C166" s="173"/>
      <c r="D166" s="40"/>
      <c r="E166" s="40"/>
      <c r="F166" s="40"/>
      <c r="G166" s="40"/>
      <c r="H166" s="40"/>
      <c r="I166" s="40"/>
      <c r="J166" s="40">
        <f t="shared" si="1"/>
        <v>0</v>
      </c>
      <c r="K166" s="44"/>
      <c r="L166" s="40"/>
    </row>
    <row r="167" ht="14.25" customHeight="1">
      <c r="B167" s="154"/>
      <c r="C167" s="154"/>
      <c r="D167" s="40"/>
      <c r="E167" s="40"/>
      <c r="F167" s="40"/>
      <c r="G167" s="40"/>
      <c r="H167" s="40"/>
      <c r="I167" s="40"/>
      <c r="J167" s="40">
        <f t="shared" si="1"/>
        <v>0</v>
      </c>
      <c r="K167" s="44"/>
      <c r="L167" s="40"/>
    </row>
    <row r="168" ht="14.25" customHeight="1">
      <c r="B168" s="154"/>
      <c r="C168" s="154"/>
      <c r="D168" s="40"/>
      <c r="E168" s="40"/>
      <c r="F168" s="40"/>
      <c r="G168" s="40"/>
      <c r="H168" s="40"/>
      <c r="I168" s="40"/>
      <c r="J168" s="40">
        <f t="shared" si="1"/>
        <v>0</v>
      </c>
      <c r="K168" s="44"/>
      <c r="L168" s="40"/>
    </row>
    <row r="169" ht="14.25" customHeight="1">
      <c r="B169" s="154"/>
      <c r="C169" s="154"/>
      <c r="D169" s="40"/>
      <c r="E169" s="40"/>
      <c r="F169" s="40"/>
      <c r="G169" s="40"/>
      <c r="H169" s="40"/>
      <c r="I169" s="40"/>
      <c r="J169" s="40">
        <f t="shared" si="1"/>
        <v>0</v>
      </c>
      <c r="K169" s="40"/>
      <c r="L169" s="40"/>
    </row>
    <row r="170" ht="14.25" customHeight="1">
      <c r="B170" s="154"/>
      <c r="C170" s="173"/>
      <c r="D170" s="40"/>
      <c r="E170" s="40"/>
      <c r="F170" s="40"/>
      <c r="G170" s="40"/>
      <c r="H170" s="40"/>
      <c r="I170" s="40"/>
      <c r="J170" s="40">
        <f t="shared" si="1"/>
        <v>0</v>
      </c>
      <c r="K170" s="44"/>
      <c r="L170" s="40"/>
    </row>
    <row r="171" ht="14.25" customHeight="1">
      <c r="B171" s="154"/>
      <c r="C171" s="154"/>
      <c r="D171" s="40"/>
      <c r="E171" s="40"/>
      <c r="F171" s="40"/>
      <c r="G171" s="40"/>
      <c r="H171" s="40"/>
      <c r="I171" s="40"/>
      <c r="J171" s="40">
        <f t="shared" si="1"/>
        <v>0</v>
      </c>
      <c r="K171" s="44"/>
      <c r="L171" s="40"/>
    </row>
    <row r="172" ht="14.25" customHeight="1">
      <c r="B172" s="154"/>
      <c r="C172" s="154"/>
      <c r="D172" s="40"/>
      <c r="E172" s="40"/>
      <c r="F172" s="40"/>
      <c r="G172" s="40"/>
      <c r="H172" s="40"/>
      <c r="I172" s="40"/>
      <c r="J172" s="40">
        <f t="shared" si="1"/>
        <v>0</v>
      </c>
      <c r="K172" s="44"/>
      <c r="L172" s="40"/>
    </row>
    <row r="173" ht="14.25" customHeight="1">
      <c r="B173" s="154"/>
      <c r="C173" s="154"/>
      <c r="D173" s="40"/>
      <c r="E173" s="40"/>
      <c r="F173" s="40"/>
      <c r="G173" s="40"/>
      <c r="H173" s="40"/>
      <c r="I173" s="40"/>
      <c r="J173" s="40">
        <f t="shared" si="1"/>
        <v>0</v>
      </c>
      <c r="K173" s="40"/>
      <c r="L173" s="40"/>
    </row>
    <row r="174" ht="14.25" customHeight="1">
      <c r="B174" s="154"/>
      <c r="C174" s="173"/>
      <c r="D174" s="40"/>
      <c r="E174" s="40"/>
      <c r="F174" s="40"/>
      <c r="G174" s="40"/>
      <c r="H174" s="40"/>
      <c r="I174" s="40"/>
      <c r="J174" s="40">
        <f t="shared" si="1"/>
        <v>0</v>
      </c>
      <c r="K174" s="44"/>
      <c r="L174" s="40"/>
    </row>
    <row r="175" ht="14.25" customHeight="1">
      <c r="B175" s="154"/>
      <c r="C175" s="154"/>
      <c r="D175" s="40"/>
      <c r="E175" s="40"/>
      <c r="F175" s="40"/>
      <c r="G175" s="40"/>
      <c r="H175" s="40"/>
      <c r="I175" s="40"/>
      <c r="J175" s="40">
        <f t="shared" si="1"/>
        <v>0</v>
      </c>
      <c r="K175" s="44"/>
      <c r="L175" s="40"/>
    </row>
    <row r="176" ht="14.25" customHeight="1">
      <c r="B176" s="154"/>
      <c r="C176" s="154"/>
      <c r="D176" s="40"/>
      <c r="E176" s="40"/>
      <c r="F176" s="40"/>
      <c r="G176" s="40"/>
      <c r="H176" s="40"/>
      <c r="I176" s="40"/>
      <c r="J176" s="40">
        <f t="shared" si="1"/>
        <v>0</v>
      </c>
      <c r="K176" s="44"/>
      <c r="L176" s="40"/>
    </row>
    <row r="177" ht="14.25" customHeight="1">
      <c r="B177" s="154"/>
      <c r="C177" s="154"/>
      <c r="D177" s="40"/>
      <c r="E177" s="40"/>
      <c r="F177" s="40"/>
      <c r="G177" s="40"/>
      <c r="H177" s="40"/>
      <c r="I177" s="40"/>
      <c r="J177" s="40">
        <f t="shared" si="1"/>
        <v>0</v>
      </c>
      <c r="K177" s="40"/>
      <c r="L177" s="40"/>
    </row>
    <row r="178" ht="14.25" customHeight="1">
      <c r="B178" s="154"/>
      <c r="C178" s="173"/>
      <c r="D178" s="40"/>
      <c r="E178" s="40"/>
      <c r="F178" s="40"/>
      <c r="G178" s="40"/>
      <c r="H178" s="40"/>
      <c r="I178" s="40"/>
      <c r="J178" s="40">
        <f t="shared" si="1"/>
        <v>0</v>
      </c>
      <c r="K178" s="44"/>
      <c r="L178" s="40"/>
    </row>
    <row r="179" ht="14.25" customHeight="1">
      <c r="B179" s="154"/>
      <c r="C179" s="154"/>
      <c r="D179" s="40"/>
      <c r="E179" s="40"/>
      <c r="F179" s="40"/>
      <c r="G179" s="40"/>
      <c r="H179" s="40"/>
      <c r="I179" s="40"/>
      <c r="J179" s="40">
        <f t="shared" si="1"/>
        <v>0</v>
      </c>
      <c r="K179" s="44"/>
      <c r="L179" s="40"/>
    </row>
    <row r="180" ht="14.25" customHeight="1">
      <c r="B180" s="154"/>
      <c r="C180" s="154"/>
      <c r="D180" s="40"/>
      <c r="E180" s="40"/>
      <c r="F180" s="40"/>
      <c r="G180" s="40"/>
      <c r="H180" s="40"/>
      <c r="I180" s="40"/>
      <c r="J180" s="40">
        <f t="shared" si="1"/>
        <v>0</v>
      </c>
      <c r="K180" s="44"/>
      <c r="L180" s="40"/>
    </row>
    <row r="181" ht="14.25" customHeight="1">
      <c r="B181" s="154"/>
      <c r="C181" s="154"/>
      <c r="D181" s="40"/>
      <c r="E181" s="40"/>
      <c r="F181" s="40"/>
      <c r="G181" s="40"/>
      <c r="H181" s="40"/>
      <c r="I181" s="40"/>
      <c r="J181" s="40">
        <f t="shared" si="1"/>
        <v>0</v>
      </c>
      <c r="K181" s="40"/>
      <c r="L181" s="40"/>
    </row>
    <row r="182" ht="14.25" customHeight="1">
      <c r="B182" s="154"/>
      <c r="C182" s="173"/>
      <c r="D182" s="40"/>
      <c r="E182" s="40"/>
      <c r="F182" s="40"/>
      <c r="G182" s="40"/>
      <c r="H182" s="40"/>
      <c r="I182" s="40"/>
      <c r="J182" s="40">
        <f t="shared" si="1"/>
        <v>0</v>
      </c>
      <c r="K182" s="44"/>
      <c r="L182" s="40"/>
    </row>
    <row r="183" ht="14.25" customHeight="1">
      <c r="B183" s="154"/>
      <c r="C183" s="154"/>
      <c r="D183" s="40"/>
      <c r="E183" s="40"/>
      <c r="F183" s="40"/>
      <c r="G183" s="40"/>
      <c r="H183" s="40"/>
      <c r="I183" s="40"/>
      <c r="J183" s="40">
        <f t="shared" si="1"/>
        <v>0</v>
      </c>
      <c r="K183" s="44"/>
      <c r="L183" s="40"/>
    </row>
    <row r="184" ht="14.25" customHeight="1">
      <c r="B184" s="154"/>
      <c r="C184" s="154"/>
      <c r="D184" s="40"/>
      <c r="E184" s="40"/>
      <c r="F184" s="40"/>
      <c r="G184" s="40"/>
      <c r="H184" s="40"/>
      <c r="I184" s="40"/>
      <c r="J184" s="40">
        <f t="shared" si="1"/>
        <v>0</v>
      </c>
      <c r="K184" s="44"/>
      <c r="L184" s="40"/>
    </row>
    <row r="185" ht="14.25" customHeight="1">
      <c r="B185" s="154"/>
      <c r="C185" s="154"/>
      <c r="D185" s="40"/>
      <c r="E185" s="40"/>
      <c r="F185" s="40"/>
      <c r="G185" s="40"/>
      <c r="H185" s="40"/>
      <c r="I185" s="40"/>
      <c r="J185" s="40">
        <f t="shared" si="1"/>
        <v>0</v>
      </c>
      <c r="K185" s="40"/>
      <c r="L185" s="40"/>
    </row>
    <row r="186" ht="14.25" customHeight="1">
      <c r="B186" s="154"/>
      <c r="C186" s="173"/>
      <c r="D186" s="40"/>
      <c r="E186" s="40"/>
      <c r="F186" s="40"/>
      <c r="G186" s="40"/>
      <c r="H186" s="40"/>
      <c r="I186" s="40"/>
      <c r="J186" s="40">
        <f t="shared" si="1"/>
        <v>0</v>
      </c>
      <c r="K186" s="44"/>
      <c r="L186" s="40"/>
    </row>
    <row r="187" ht="14.25" customHeight="1">
      <c r="B187" s="154"/>
      <c r="C187" s="154"/>
      <c r="D187" s="40"/>
      <c r="E187" s="40"/>
      <c r="F187" s="40"/>
      <c r="G187" s="40"/>
      <c r="H187" s="40"/>
      <c r="I187" s="40"/>
      <c r="J187" s="40">
        <f t="shared" si="1"/>
        <v>0</v>
      </c>
      <c r="K187" s="44"/>
      <c r="L187" s="40"/>
    </row>
    <row r="188" ht="14.25" customHeight="1">
      <c r="B188" s="154"/>
      <c r="C188" s="154"/>
      <c r="D188" s="40"/>
      <c r="E188" s="40"/>
      <c r="F188" s="40"/>
      <c r="G188" s="40"/>
      <c r="H188" s="40"/>
      <c r="I188" s="40"/>
      <c r="J188" s="40">
        <f t="shared" si="1"/>
        <v>0</v>
      </c>
      <c r="K188" s="44"/>
      <c r="L188" s="40"/>
    </row>
    <row r="189" ht="14.25" customHeight="1">
      <c r="B189" s="154"/>
      <c r="C189" s="154"/>
      <c r="D189" s="40"/>
      <c r="E189" s="40"/>
      <c r="F189" s="40"/>
      <c r="G189" s="40"/>
      <c r="H189" s="40"/>
      <c r="I189" s="40"/>
      <c r="J189" s="40">
        <f t="shared" si="1"/>
        <v>0</v>
      </c>
      <c r="K189" s="40"/>
      <c r="L189" s="40"/>
    </row>
    <row r="190" ht="14.25" customHeight="1">
      <c r="B190" s="154"/>
      <c r="C190" s="173"/>
      <c r="D190" s="40"/>
      <c r="E190" s="40"/>
      <c r="F190" s="40"/>
      <c r="G190" s="40"/>
      <c r="H190" s="40"/>
      <c r="I190" s="40"/>
      <c r="J190" s="40">
        <f t="shared" si="1"/>
        <v>0</v>
      </c>
      <c r="K190" s="44"/>
      <c r="L190" s="40"/>
    </row>
    <row r="191" ht="14.25" customHeight="1">
      <c r="B191" s="154"/>
      <c r="C191" s="154"/>
      <c r="D191" s="40"/>
      <c r="E191" s="40"/>
      <c r="F191" s="40"/>
      <c r="G191" s="40"/>
      <c r="H191" s="40"/>
      <c r="I191" s="40"/>
      <c r="J191" s="40">
        <f t="shared" si="1"/>
        <v>0</v>
      </c>
      <c r="K191" s="44"/>
      <c r="L191" s="40"/>
    </row>
    <row r="192" ht="14.25" customHeight="1">
      <c r="B192" s="154"/>
      <c r="C192" s="154"/>
      <c r="D192" s="40"/>
      <c r="E192" s="40"/>
      <c r="F192" s="40"/>
      <c r="G192" s="40"/>
      <c r="H192" s="40"/>
      <c r="I192" s="40"/>
      <c r="J192" s="40">
        <f t="shared" si="1"/>
        <v>0</v>
      </c>
      <c r="K192" s="44"/>
      <c r="L192" s="40"/>
    </row>
    <row r="193" ht="14.25" customHeight="1">
      <c r="B193" s="154"/>
      <c r="C193" s="154"/>
      <c r="D193" s="40"/>
      <c r="E193" s="40"/>
      <c r="F193" s="40"/>
      <c r="G193" s="40"/>
      <c r="H193" s="40"/>
      <c r="I193" s="40"/>
      <c r="J193" s="40">
        <f t="shared" si="1"/>
        <v>0</v>
      </c>
      <c r="K193" s="40"/>
      <c r="L193" s="40"/>
    </row>
    <row r="194" ht="14.25" customHeight="1">
      <c r="B194" s="154"/>
      <c r="C194" s="173"/>
      <c r="D194" s="40"/>
      <c r="E194" s="40"/>
      <c r="F194" s="40"/>
      <c r="G194" s="40"/>
      <c r="H194" s="40"/>
      <c r="I194" s="40"/>
      <c r="J194" s="40">
        <f t="shared" si="1"/>
        <v>0</v>
      </c>
      <c r="K194" s="44"/>
      <c r="L194" s="40"/>
    </row>
    <row r="195" ht="14.25" customHeight="1">
      <c r="B195" s="154"/>
      <c r="C195" s="154"/>
      <c r="D195" s="40"/>
      <c r="E195" s="40"/>
      <c r="F195" s="40"/>
      <c r="G195" s="40"/>
      <c r="H195" s="40"/>
      <c r="I195" s="40"/>
      <c r="J195" s="40">
        <f t="shared" si="1"/>
        <v>0</v>
      </c>
      <c r="K195" s="44"/>
      <c r="L195" s="40"/>
    </row>
    <row r="196" ht="14.25" customHeight="1">
      <c r="B196" s="154"/>
      <c r="C196" s="154"/>
      <c r="D196" s="40"/>
      <c r="E196" s="40"/>
      <c r="F196" s="40"/>
      <c r="G196" s="40"/>
      <c r="H196" s="40"/>
      <c r="I196" s="40"/>
      <c r="J196" s="40">
        <f t="shared" si="1"/>
        <v>0</v>
      </c>
      <c r="K196" s="44"/>
      <c r="L196" s="40"/>
    </row>
    <row r="197" ht="14.25" customHeight="1">
      <c r="B197" s="154"/>
      <c r="C197" s="154"/>
      <c r="D197" s="40"/>
      <c r="E197" s="40"/>
      <c r="F197" s="40"/>
      <c r="G197" s="40"/>
      <c r="H197" s="40"/>
      <c r="I197" s="40"/>
      <c r="J197" s="40">
        <f t="shared" si="1"/>
        <v>0</v>
      </c>
      <c r="K197" s="40"/>
      <c r="L197" s="40"/>
    </row>
    <row r="198" ht="14.25" customHeight="1">
      <c r="B198" s="154"/>
      <c r="C198" s="173"/>
      <c r="D198" s="40"/>
      <c r="E198" s="40"/>
      <c r="F198" s="40"/>
      <c r="G198" s="40"/>
      <c r="H198" s="40"/>
      <c r="I198" s="40"/>
      <c r="J198" s="40">
        <f t="shared" si="1"/>
        <v>0</v>
      </c>
      <c r="K198" s="44"/>
      <c r="L198" s="40"/>
    </row>
    <row r="199" ht="14.25" customHeight="1">
      <c r="B199" s="154"/>
      <c r="C199" s="154"/>
      <c r="D199" s="40"/>
      <c r="E199" s="40"/>
      <c r="F199" s="40"/>
      <c r="G199" s="40"/>
      <c r="H199" s="40"/>
      <c r="I199" s="40"/>
      <c r="J199" s="40">
        <f t="shared" si="1"/>
        <v>0</v>
      </c>
      <c r="K199" s="44"/>
      <c r="L199" s="40"/>
    </row>
    <row r="200" ht="14.25" customHeight="1">
      <c r="B200" s="154"/>
      <c r="C200" s="154"/>
      <c r="D200" s="40"/>
      <c r="E200" s="40"/>
      <c r="F200" s="40"/>
      <c r="G200" s="40"/>
      <c r="H200" s="40"/>
      <c r="I200" s="40"/>
      <c r="J200" s="40">
        <f t="shared" si="1"/>
        <v>0</v>
      </c>
      <c r="K200" s="44"/>
      <c r="L200" s="40"/>
    </row>
    <row r="201" ht="14.25" customHeight="1">
      <c r="B201" s="154"/>
      <c r="C201" s="154"/>
      <c r="D201" s="40"/>
      <c r="E201" s="40"/>
      <c r="F201" s="40"/>
      <c r="G201" s="40"/>
      <c r="H201" s="40"/>
      <c r="I201" s="40"/>
      <c r="J201" s="40">
        <f t="shared" si="1"/>
        <v>0</v>
      </c>
      <c r="K201" s="40"/>
      <c r="L201" s="40"/>
    </row>
    <row r="202" ht="14.25" customHeight="1">
      <c r="B202" s="154"/>
      <c r="C202" s="173"/>
      <c r="D202" s="40"/>
      <c r="E202" s="40"/>
      <c r="F202" s="40"/>
      <c r="G202" s="40"/>
      <c r="H202" s="40"/>
      <c r="I202" s="40"/>
      <c r="J202" s="40">
        <f t="shared" si="1"/>
        <v>0</v>
      </c>
      <c r="K202" s="44"/>
      <c r="L202" s="40"/>
    </row>
    <row r="203" ht="14.25" customHeight="1">
      <c r="B203" s="154"/>
      <c r="C203" s="154"/>
      <c r="D203" s="40"/>
      <c r="E203" s="40"/>
      <c r="F203" s="40"/>
      <c r="G203" s="40"/>
      <c r="H203" s="40"/>
      <c r="I203" s="40"/>
      <c r="J203" s="40">
        <f t="shared" si="1"/>
        <v>0</v>
      </c>
      <c r="K203" s="44"/>
      <c r="L203" s="40"/>
    </row>
    <row r="204" ht="14.25" customHeight="1">
      <c r="B204" s="154"/>
      <c r="C204" s="154"/>
      <c r="D204" s="40"/>
      <c r="E204" s="40"/>
      <c r="F204" s="40"/>
      <c r="G204" s="40"/>
      <c r="H204" s="40"/>
      <c r="I204" s="40"/>
      <c r="J204" s="40">
        <f t="shared" si="1"/>
        <v>0</v>
      </c>
      <c r="K204" s="44"/>
      <c r="L204" s="40"/>
    </row>
    <row r="205" ht="14.25" customHeight="1">
      <c r="B205" s="154"/>
      <c r="C205" s="154"/>
      <c r="D205" s="40"/>
      <c r="E205" s="40"/>
      <c r="F205" s="40"/>
      <c r="G205" s="40"/>
      <c r="H205" s="40"/>
      <c r="I205" s="40"/>
      <c r="J205" s="40">
        <f t="shared" si="1"/>
        <v>0</v>
      </c>
      <c r="K205" s="40"/>
      <c r="L205" s="40"/>
    </row>
    <row r="206" ht="14.25" customHeight="1">
      <c r="B206" s="154"/>
      <c r="C206" s="173"/>
      <c r="D206" s="40"/>
      <c r="E206" s="40"/>
      <c r="F206" s="40"/>
      <c r="G206" s="40"/>
      <c r="H206" s="40"/>
      <c r="I206" s="40"/>
      <c r="J206" s="40">
        <f t="shared" si="1"/>
        <v>0</v>
      </c>
      <c r="K206" s="44"/>
      <c r="L206" s="40"/>
    </row>
    <row r="207" ht="14.25" customHeight="1">
      <c r="B207" s="154"/>
      <c r="C207" s="154"/>
      <c r="D207" s="40"/>
      <c r="E207" s="40"/>
      <c r="F207" s="40"/>
      <c r="G207" s="40"/>
      <c r="H207" s="40"/>
      <c r="I207" s="40"/>
      <c r="J207" s="40">
        <f t="shared" si="1"/>
        <v>0</v>
      </c>
      <c r="K207" s="44"/>
      <c r="L207" s="40"/>
    </row>
    <row r="208" ht="14.25" customHeight="1">
      <c r="B208" s="154"/>
      <c r="C208" s="154"/>
      <c r="D208" s="40"/>
      <c r="E208" s="40"/>
      <c r="F208" s="40"/>
      <c r="G208" s="40"/>
      <c r="H208" s="40"/>
      <c r="I208" s="40"/>
      <c r="J208" s="40">
        <f t="shared" si="1"/>
        <v>0</v>
      </c>
      <c r="K208" s="44"/>
      <c r="L208" s="40"/>
    </row>
    <row r="209" ht="14.25" customHeight="1">
      <c r="B209" s="154"/>
      <c r="C209" s="154"/>
      <c r="D209" s="40"/>
      <c r="E209" s="40"/>
      <c r="F209" s="40"/>
      <c r="G209" s="40"/>
      <c r="H209" s="40"/>
      <c r="I209" s="40"/>
      <c r="J209" s="40">
        <f t="shared" si="1"/>
        <v>0</v>
      </c>
      <c r="K209" s="40"/>
      <c r="L209" s="40"/>
    </row>
    <row r="210" ht="14.25" customHeight="1">
      <c r="B210" s="154"/>
      <c r="C210" s="173"/>
      <c r="D210" s="40"/>
      <c r="E210" s="40"/>
      <c r="F210" s="40"/>
      <c r="G210" s="40"/>
      <c r="H210" s="40"/>
      <c r="I210" s="40"/>
      <c r="J210" s="40">
        <f t="shared" si="1"/>
        <v>0</v>
      </c>
      <c r="K210" s="44"/>
      <c r="L210" s="40"/>
    </row>
    <row r="211" ht="14.25" customHeight="1">
      <c r="B211" s="154"/>
      <c r="C211" s="154"/>
      <c r="D211" s="40"/>
      <c r="E211" s="40"/>
      <c r="F211" s="40"/>
      <c r="G211" s="40"/>
      <c r="H211" s="40"/>
      <c r="I211" s="40"/>
      <c r="J211" s="40">
        <f t="shared" si="1"/>
        <v>0</v>
      </c>
      <c r="K211" s="44"/>
      <c r="L211" s="40"/>
    </row>
    <row r="212" ht="14.25" customHeight="1">
      <c r="B212" s="154"/>
      <c r="C212" s="154"/>
      <c r="D212" s="40"/>
      <c r="E212" s="40"/>
      <c r="F212" s="40"/>
      <c r="G212" s="40"/>
      <c r="H212" s="40"/>
      <c r="I212" s="40"/>
      <c r="J212" s="40">
        <f t="shared" si="1"/>
        <v>0</v>
      </c>
      <c r="K212" s="44"/>
      <c r="L212" s="40"/>
    </row>
    <row r="213" ht="14.25" customHeight="1">
      <c r="B213" s="154"/>
      <c r="C213" s="154"/>
      <c r="D213" s="40"/>
      <c r="E213" s="40"/>
      <c r="F213" s="40"/>
      <c r="G213" s="40"/>
      <c r="H213" s="40"/>
      <c r="I213" s="40"/>
      <c r="J213" s="40">
        <f t="shared" si="1"/>
        <v>0</v>
      </c>
      <c r="K213" s="40"/>
      <c r="L213" s="40"/>
    </row>
    <row r="214" ht="14.25" customHeight="1">
      <c r="B214" s="154"/>
      <c r="C214" s="173"/>
      <c r="D214" s="40"/>
      <c r="E214" s="40"/>
      <c r="F214" s="40"/>
      <c r="G214" s="40"/>
      <c r="H214" s="40"/>
      <c r="I214" s="40"/>
      <c r="J214" s="40">
        <f t="shared" si="1"/>
        <v>0</v>
      </c>
      <c r="K214" s="44"/>
      <c r="L214" s="40"/>
    </row>
    <row r="215" ht="14.25" customHeight="1">
      <c r="B215" s="154"/>
      <c r="C215" s="154"/>
      <c r="D215" s="40"/>
      <c r="E215" s="40"/>
      <c r="F215" s="40"/>
      <c r="G215" s="40"/>
      <c r="H215" s="40"/>
      <c r="I215" s="40"/>
      <c r="J215" s="40">
        <f t="shared" si="1"/>
        <v>0</v>
      </c>
      <c r="K215" s="44"/>
      <c r="L215" s="40"/>
    </row>
    <row r="216" ht="14.25" customHeight="1">
      <c r="B216" s="154"/>
      <c r="C216" s="154"/>
      <c r="D216" s="40"/>
      <c r="E216" s="40"/>
      <c r="F216" s="40"/>
      <c r="G216" s="40"/>
      <c r="H216" s="40"/>
      <c r="I216" s="40"/>
      <c r="J216" s="40">
        <f t="shared" si="1"/>
        <v>0</v>
      </c>
      <c r="K216" s="44"/>
      <c r="L216" s="40"/>
    </row>
    <row r="217" ht="14.25" customHeight="1">
      <c r="B217" s="154"/>
      <c r="C217" s="154"/>
      <c r="D217" s="40"/>
      <c r="E217" s="40"/>
      <c r="F217" s="40"/>
      <c r="G217" s="40"/>
      <c r="H217" s="40"/>
      <c r="I217" s="40"/>
      <c r="J217" s="40">
        <f t="shared" si="1"/>
        <v>0</v>
      </c>
      <c r="K217" s="40"/>
      <c r="L217" s="40"/>
    </row>
    <row r="218" ht="14.25" customHeight="1">
      <c r="B218" s="154"/>
      <c r="C218" s="173"/>
      <c r="D218" s="40"/>
      <c r="E218" s="40"/>
      <c r="F218" s="40"/>
      <c r="G218" s="40"/>
      <c r="H218" s="40"/>
      <c r="I218" s="40"/>
      <c r="J218" s="40">
        <f t="shared" si="1"/>
        <v>0</v>
      </c>
      <c r="K218" s="44"/>
      <c r="L218" s="40"/>
    </row>
    <row r="219" ht="14.25" customHeight="1">
      <c r="B219" s="154"/>
      <c r="C219" s="154"/>
      <c r="D219" s="40"/>
      <c r="E219" s="40"/>
      <c r="F219" s="40"/>
      <c r="G219" s="40"/>
      <c r="H219" s="40"/>
      <c r="I219" s="40"/>
      <c r="J219" s="40">
        <f t="shared" si="1"/>
        <v>0</v>
      </c>
      <c r="K219" s="44"/>
      <c r="L219" s="40"/>
    </row>
    <row r="220" ht="14.25" customHeight="1">
      <c r="B220" s="154"/>
      <c r="C220" s="154"/>
      <c r="D220" s="40"/>
      <c r="E220" s="40"/>
      <c r="F220" s="40"/>
      <c r="G220" s="40"/>
      <c r="H220" s="40"/>
      <c r="I220" s="40"/>
      <c r="J220" s="40">
        <f t="shared" si="1"/>
        <v>0</v>
      </c>
      <c r="K220" s="44"/>
      <c r="L220" s="40"/>
    </row>
    <row r="221" ht="14.25" customHeight="1">
      <c r="B221" s="154"/>
      <c r="C221" s="154"/>
      <c r="D221" s="40"/>
      <c r="E221" s="40"/>
      <c r="F221" s="40"/>
      <c r="G221" s="40"/>
      <c r="H221" s="40"/>
      <c r="I221" s="40"/>
      <c r="J221" s="40">
        <f t="shared" si="1"/>
        <v>0</v>
      </c>
      <c r="K221" s="40"/>
      <c r="L221" s="40"/>
    </row>
    <row r="222" ht="14.25" customHeight="1">
      <c r="B222" s="154"/>
      <c r="C222" s="173"/>
      <c r="D222" s="40"/>
      <c r="E222" s="40"/>
      <c r="F222" s="40"/>
      <c r="G222" s="40"/>
      <c r="H222" s="40"/>
      <c r="I222" s="40"/>
      <c r="J222" s="40">
        <f t="shared" si="1"/>
        <v>0</v>
      </c>
      <c r="K222" s="44"/>
      <c r="L222" s="40"/>
    </row>
    <row r="223" ht="14.25" customHeight="1">
      <c r="B223" s="154"/>
      <c r="C223" s="154"/>
      <c r="D223" s="40"/>
      <c r="E223" s="40"/>
      <c r="F223" s="40"/>
      <c r="G223" s="40"/>
      <c r="H223" s="40"/>
      <c r="I223" s="40"/>
      <c r="J223" s="40">
        <f t="shared" si="1"/>
        <v>0</v>
      </c>
      <c r="K223" s="44"/>
      <c r="L223" s="40"/>
    </row>
    <row r="224" ht="14.25" customHeight="1">
      <c r="B224" s="154"/>
      <c r="C224" s="154"/>
      <c r="D224" s="40"/>
      <c r="E224" s="40"/>
      <c r="F224" s="40"/>
      <c r="G224" s="40"/>
      <c r="H224" s="40"/>
      <c r="I224" s="40"/>
      <c r="J224" s="40">
        <f t="shared" si="1"/>
        <v>0</v>
      </c>
      <c r="K224" s="44"/>
      <c r="L224" s="40"/>
    </row>
    <row r="225" ht="14.25" customHeight="1">
      <c r="B225" s="154"/>
      <c r="C225" s="154"/>
      <c r="D225" s="40"/>
      <c r="E225" s="40"/>
      <c r="F225" s="40"/>
      <c r="G225" s="40"/>
      <c r="H225" s="40"/>
      <c r="I225" s="40"/>
      <c r="J225" s="40">
        <f t="shared" si="1"/>
        <v>0</v>
      </c>
      <c r="K225" s="40"/>
      <c r="L225" s="40"/>
    </row>
    <row r="226" ht="14.25" customHeight="1">
      <c r="B226" s="154"/>
      <c r="C226" s="173"/>
      <c r="D226" s="40"/>
      <c r="E226" s="40"/>
      <c r="F226" s="40"/>
      <c r="G226" s="40"/>
      <c r="H226" s="40"/>
      <c r="I226" s="40"/>
      <c r="J226" s="40">
        <f t="shared" si="1"/>
        <v>0</v>
      </c>
      <c r="K226" s="44"/>
      <c r="L226" s="40"/>
    </row>
    <row r="227" ht="14.25" customHeight="1">
      <c r="B227" s="154"/>
      <c r="C227" s="154"/>
      <c r="D227" s="40"/>
      <c r="E227" s="40"/>
      <c r="F227" s="40"/>
      <c r="G227" s="40"/>
      <c r="H227" s="40"/>
      <c r="I227" s="40"/>
      <c r="J227" s="40">
        <f t="shared" si="1"/>
        <v>0</v>
      </c>
      <c r="K227" s="44"/>
      <c r="L227" s="40"/>
    </row>
    <row r="228" ht="14.25" customHeight="1">
      <c r="B228" s="154"/>
      <c r="C228" s="154"/>
      <c r="D228" s="40"/>
      <c r="E228" s="40"/>
      <c r="F228" s="40"/>
      <c r="G228" s="40"/>
      <c r="H228" s="40"/>
      <c r="I228" s="40"/>
      <c r="J228" s="40">
        <f t="shared" si="1"/>
        <v>0</v>
      </c>
      <c r="K228" s="44"/>
      <c r="L228" s="40"/>
    </row>
    <row r="229" ht="14.25" customHeight="1">
      <c r="B229" s="154"/>
      <c r="C229" s="154"/>
      <c r="D229" s="40"/>
      <c r="E229" s="40"/>
      <c r="F229" s="40"/>
      <c r="G229" s="40"/>
      <c r="H229" s="40"/>
      <c r="I229" s="40"/>
      <c r="J229" s="40">
        <f t="shared" si="1"/>
        <v>0</v>
      </c>
      <c r="K229" s="40"/>
      <c r="L229" s="40"/>
    </row>
    <row r="230" ht="14.25" customHeight="1">
      <c r="B230" s="154"/>
      <c r="C230" s="173"/>
      <c r="D230" s="40"/>
      <c r="E230" s="40"/>
      <c r="F230" s="40"/>
      <c r="G230" s="40"/>
      <c r="H230" s="40"/>
      <c r="I230" s="40"/>
      <c r="J230" s="40">
        <f t="shared" si="1"/>
        <v>0</v>
      </c>
      <c r="K230" s="44"/>
      <c r="L230" s="40"/>
    </row>
    <row r="231" ht="14.25" customHeight="1">
      <c r="B231" s="154"/>
      <c r="C231" s="154"/>
      <c r="D231" s="40"/>
      <c r="E231" s="40"/>
      <c r="F231" s="40"/>
      <c r="G231" s="40"/>
      <c r="H231" s="40"/>
      <c r="I231" s="40"/>
      <c r="J231" s="40">
        <f t="shared" si="1"/>
        <v>0</v>
      </c>
      <c r="K231" s="44"/>
      <c r="L231" s="40"/>
    </row>
    <row r="232" ht="14.25" customHeight="1">
      <c r="B232" s="154"/>
      <c r="C232" s="154"/>
      <c r="D232" s="40"/>
      <c r="E232" s="40"/>
      <c r="F232" s="40"/>
      <c r="G232" s="40"/>
      <c r="H232" s="40"/>
      <c r="I232" s="40"/>
      <c r="J232" s="40">
        <f t="shared" si="1"/>
        <v>0</v>
      </c>
      <c r="K232" s="44"/>
      <c r="L232" s="40"/>
    </row>
    <row r="233" ht="14.25" customHeight="1">
      <c r="B233" s="154"/>
      <c r="C233" s="154"/>
      <c r="D233" s="40"/>
      <c r="E233" s="40"/>
      <c r="F233" s="40"/>
      <c r="G233" s="40"/>
      <c r="H233" s="40"/>
      <c r="I233" s="40"/>
      <c r="J233" s="40">
        <f t="shared" si="1"/>
        <v>0</v>
      </c>
      <c r="K233" s="40"/>
      <c r="L233" s="40"/>
    </row>
    <row r="234" ht="14.25" customHeight="1">
      <c r="B234" s="154"/>
      <c r="C234" s="173"/>
      <c r="D234" s="40"/>
      <c r="E234" s="40"/>
      <c r="F234" s="40"/>
      <c r="G234" s="40"/>
      <c r="H234" s="40"/>
      <c r="I234" s="40"/>
      <c r="J234" s="40">
        <f t="shared" si="1"/>
        <v>0</v>
      </c>
      <c r="K234" s="44"/>
      <c r="L234" s="40"/>
    </row>
    <row r="235" ht="14.25" customHeight="1">
      <c r="B235" s="154"/>
      <c r="C235" s="154"/>
      <c r="D235" s="40"/>
      <c r="E235" s="40"/>
      <c r="F235" s="40"/>
      <c r="G235" s="40"/>
      <c r="H235" s="40"/>
      <c r="I235" s="40"/>
      <c r="J235" s="40">
        <f t="shared" si="1"/>
        <v>0</v>
      </c>
      <c r="K235" s="44"/>
      <c r="L235" s="40"/>
    </row>
    <row r="236" ht="14.25" customHeight="1">
      <c r="B236" s="154"/>
      <c r="C236" s="154"/>
      <c r="D236" s="40"/>
      <c r="E236" s="40"/>
      <c r="F236" s="40"/>
      <c r="G236" s="40"/>
      <c r="H236" s="40"/>
      <c r="I236" s="40"/>
      <c r="J236" s="40">
        <f t="shared" si="1"/>
        <v>0</v>
      </c>
      <c r="K236" s="44"/>
      <c r="L236" s="40"/>
    </row>
    <row r="237" ht="14.25" customHeight="1">
      <c r="B237" s="154"/>
      <c r="C237" s="154"/>
      <c r="D237" s="40"/>
      <c r="E237" s="40"/>
      <c r="F237" s="40"/>
      <c r="G237" s="40"/>
      <c r="H237" s="40"/>
      <c r="I237" s="40"/>
      <c r="J237" s="40">
        <f t="shared" si="1"/>
        <v>0</v>
      </c>
      <c r="K237" s="40"/>
      <c r="L237" s="40"/>
    </row>
    <row r="238" ht="14.25" customHeight="1">
      <c r="B238" s="154"/>
      <c r="C238" s="173"/>
      <c r="D238" s="40"/>
      <c r="E238" s="40"/>
      <c r="F238" s="40"/>
      <c r="G238" s="40"/>
      <c r="H238" s="40"/>
      <c r="I238" s="40"/>
      <c r="J238" s="40">
        <f t="shared" si="1"/>
        <v>0</v>
      </c>
      <c r="K238" s="44"/>
      <c r="L238" s="40"/>
    </row>
    <row r="239" ht="14.25" customHeight="1">
      <c r="B239" s="154"/>
      <c r="C239" s="154"/>
      <c r="D239" s="40"/>
      <c r="E239" s="40"/>
      <c r="F239" s="40"/>
      <c r="G239" s="40"/>
      <c r="H239" s="40"/>
      <c r="I239" s="40"/>
      <c r="J239" s="40">
        <f t="shared" si="1"/>
        <v>0</v>
      </c>
      <c r="K239" s="44"/>
      <c r="L239" s="40"/>
    </row>
    <row r="240" ht="14.25" customHeight="1">
      <c r="B240" s="154"/>
      <c r="C240" s="154"/>
      <c r="D240" s="40"/>
      <c r="E240" s="40"/>
      <c r="F240" s="40"/>
      <c r="G240" s="40"/>
      <c r="H240" s="40"/>
      <c r="I240" s="40"/>
      <c r="J240" s="40">
        <f t="shared" si="1"/>
        <v>0</v>
      </c>
      <c r="K240" s="44"/>
      <c r="L240" s="40"/>
    </row>
    <row r="241" ht="14.25" customHeight="1">
      <c r="B241" s="154"/>
      <c r="C241" s="154"/>
      <c r="D241" s="40"/>
      <c r="E241" s="40"/>
      <c r="F241" s="40"/>
      <c r="G241" s="40"/>
      <c r="H241" s="40"/>
      <c r="I241" s="40"/>
      <c r="J241" s="40">
        <f t="shared" si="1"/>
        <v>0</v>
      </c>
      <c r="K241" s="40"/>
      <c r="L241" s="40"/>
    </row>
    <row r="242" ht="14.25" customHeight="1">
      <c r="B242" s="154"/>
      <c r="C242" s="173"/>
      <c r="D242" s="40"/>
      <c r="E242" s="40"/>
      <c r="F242" s="40"/>
      <c r="G242" s="40"/>
      <c r="H242" s="40"/>
      <c r="I242" s="40"/>
      <c r="J242" s="40">
        <f t="shared" si="1"/>
        <v>0</v>
      </c>
      <c r="K242" s="44"/>
      <c r="L242" s="40"/>
    </row>
    <row r="243" ht="14.25" customHeight="1">
      <c r="B243" s="154"/>
      <c r="C243" s="154"/>
      <c r="D243" s="40"/>
      <c r="E243" s="40"/>
      <c r="F243" s="40"/>
      <c r="G243" s="40"/>
      <c r="H243" s="40"/>
      <c r="I243" s="40"/>
      <c r="J243" s="40">
        <f t="shared" si="1"/>
        <v>0</v>
      </c>
      <c r="K243" s="44"/>
      <c r="L243" s="40"/>
    </row>
    <row r="244" ht="14.25" customHeight="1">
      <c r="B244" s="154"/>
      <c r="C244" s="154"/>
      <c r="D244" s="40"/>
      <c r="E244" s="40"/>
      <c r="F244" s="40"/>
      <c r="G244" s="40"/>
      <c r="H244" s="40"/>
      <c r="I244" s="40"/>
      <c r="J244" s="40">
        <f t="shared" si="1"/>
        <v>0</v>
      </c>
      <c r="K244" s="44"/>
      <c r="L244" s="40"/>
    </row>
    <row r="245" ht="14.25" customHeight="1"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0"/>
    </row>
    <row r="246" ht="14.25" customHeight="1"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0"/>
    </row>
    <row r="247" ht="14.25" customHeight="1"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0"/>
    </row>
    <row r="248" ht="14.25" customHeight="1"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0"/>
    </row>
    <row r="249" ht="14.25" customHeight="1"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0"/>
    </row>
    <row r="250" ht="14.25" customHeight="1"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0"/>
    </row>
    <row r="251" ht="14.25" customHeight="1"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0"/>
    </row>
    <row r="252" ht="14.25" customHeight="1"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0"/>
    </row>
    <row r="253" ht="14.25" customHeight="1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0"/>
    </row>
    <row r="254" ht="14.25" customHeight="1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0"/>
    </row>
    <row r="255" ht="14.25" customHeight="1"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0"/>
    </row>
    <row r="256" ht="14.25" customHeight="1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0"/>
    </row>
    <row r="257" ht="14.25" customHeight="1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0"/>
    </row>
    <row r="258" ht="14.25" customHeight="1"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0"/>
    </row>
    <row r="259" ht="14.25" customHeight="1"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0"/>
    </row>
    <row r="260" ht="14.25" customHeight="1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0"/>
    </row>
    <row r="261" ht="14.25" customHeight="1"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0"/>
    </row>
    <row r="262" ht="14.25" customHeight="1"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0"/>
    </row>
    <row r="263" ht="14.25" customHeight="1"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0"/>
    </row>
    <row r="264" ht="14.25" customHeight="1"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0"/>
    </row>
    <row r="265" ht="14.25" customHeight="1"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0"/>
    </row>
    <row r="266" ht="14.25" customHeight="1"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0"/>
    </row>
    <row r="267" ht="14.25" customHeight="1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0"/>
    </row>
    <row r="268" ht="14.25" customHeight="1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0"/>
    </row>
    <row r="269" ht="14.25" customHeight="1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0"/>
    </row>
    <row r="270" ht="14.25" customHeight="1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0"/>
    </row>
    <row r="271" ht="14.25" customHeight="1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0"/>
    </row>
    <row r="272" ht="14.25" customHeight="1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0"/>
    </row>
    <row r="273" ht="14.25" customHeight="1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0"/>
    </row>
    <row r="274" ht="14.25" customHeight="1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0"/>
    </row>
    <row r="275" ht="14.25" customHeight="1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0"/>
    </row>
    <row r="276" ht="14.25" customHeight="1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0"/>
    </row>
    <row r="277" ht="14.25" customHeight="1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0"/>
    </row>
    <row r="278" ht="14.25" customHeight="1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0"/>
    </row>
    <row r="279" ht="14.25" customHeight="1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0"/>
    </row>
    <row r="280" ht="14.25" customHeight="1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0"/>
    </row>
    <row r="281" ht="14.25" customHeight="1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0"/>
    </row>
    <row r="282" ht="14.25" customHeight="1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0"/>
    </row>
    <row r="283" ht="14.25" customHeight="1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0"/>
    </row>
    <row r="284" ht="14.25" customHeight="1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0"/>
    </row>
    <row r="285" ht="14.25" customHeight="1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0"/>
    </row>
    <row r="286" ht="14.25" customHeight="1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0"/>
    </row>
    <row r="287" ht="14.25" customHeight="1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0"/>
    </row>
    <row r="288" ht="14.25" customHeight="1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0"/>
    </row>
    <row r="289" ht="14.25" customHeight="1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0"/>
    </row>
    <row r="290" ht="14.25" customHeight="1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0"/>
    </row>
    <row r="291" ht="14.25" customHeight="1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0"/>
    </row>
    <row r="292" ht="14.25" customHeight="1"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0"/>
    </row>
    <row r="293" ht="14.25" customHeight="1"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0"/>
    </row>
    <row r="294" ht="14.25" customHeight="1"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0"/>
    </row>
    <row r="295" ht="14.25" customHeight="1"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0"/>
    </row>
    <row r="296" ht="14.25" customHeight="1"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0"/>
    </row>
    <row r="297" ht="14.25" customHeight="1"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0"/>
    </row>
    <row r="298" ht="14.25" customHeight="1"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0"/>
    </row>
    <row r="299" ht="14.25" customHeight="1"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0"/>
    </row>
    <row r="300" ht="14.25" customHeight="1"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0"/>
    </row>
    <row r="301" ht="14.25" customHeight="1"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0"/>
    </row>
    <row r="302" ht="14.25" customHeight="1"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0"/>
    </row>
    <row r="303" ht="14.25" customHeight="1"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0"/>
    </row>
    <row r="304" ht="14.25" customHeight="1"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0"/>
    </row>
    <row r="305" ht="14.25" customHeight="1"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0"/>
    </row>
    <row r="306" ht="14.25" customHeight="1"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0"/>
    </row>
    <row r="307" ht="14.25" customHeight="1"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0"/>
    </row>
    <row r="308" ht="14.25" customHeight="1"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0"/>
    </row>
    <row r="309" ht="14.25" customHeight="1"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0"/>
    </row>
    <row r="310" ht="14.25" customHeight="1"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0"/>
    </row>
    <row r="311" ht="14.25" customHeight="1"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0"/>
    </row>
    <row r="312" ht="14.25" customHeight="1"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0"/>
    </row>
    <row r="313" ht="14.25" customHeight="1"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0"/>
    </row>
    <row r="314" ht="14.25" customHeight="1"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0"/>
    </row>
    <row r="315" ht="14.25" customHeight="1"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0"/>
    </row>
    <row r="316" ht="14.25" customHeight="1"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0"/>
    </row>
    <row r="317" ht="14.25" customHeight="1"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0"/>
    </row>
    <row r="318" ht="14.25" customHeight="1"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0"/>
    </row>
    <row r="319" ht="14.25" customHeight="1"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0"/>
    </row>
    <row r="320" ht="14.25" customHeight="1"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0"/>
    </row>
    <row r="321" ht="14.25" customHeight="1"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0"/>
    </row>
    <row r="322" ht="14.25" customHeight="1"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0"/>
    </row>
    <row r="323" ht="14.25" customHeight="1"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0"/>
    </row>
    <row r="324" ht="14.25" customHeight="1"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0"/>
    </row>
    <row r="325" ht="14.25" customHeight="1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0"/>
    </row>
    <row r="326" ht="14.25" customHeight="1"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0"/>
    </row>
    <row r="327" ht="14.25" customHeight="1"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0"/>
    </row>
    <row r="328" ht="14.25" customHeight="1"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0"/>
    </row>
    <row r="329" ht="14.25" customHeight="1"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0"/>
    </row>
    <row r="330" ht="14.25" customHeight="1"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0"/>
    </row>
    <row r="331" ht="14.25" customHeight="1"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0"/>
    </row>
    <row r="332" ht="14.25" customHeight="1"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0"/>
    </row>
    <row r="333" ht="14.25" customHeight="1"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0"/>
    </row>
    <row r="334" ht="14.25" customHeight="1"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0"/>
    </row>
    <row r="335" ht="14.25" customHeight="1"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0"/>
    </row>
    <row r="336" ht="14.25" customHeight="1"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0"/>
    </row>
    <row r="337" ht="14.25" customHeight="1"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0"/>
    </row>
    <row r="338" ht="14.25" customHeight="1"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0"/>
    </row>
    <row r="339" ht="14.25" customHeight="1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0"/>
    </row>
    <row r="340" ht="14.25" customHeight="1"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0"/>
    </row>
    <row r="341" ht="14.25" customHeight="1"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0"/>
    </row>
    <row r="342" ht="14.25" customHeight="1"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0"/>
    </row>
    <row r="343" ht="14.25" customHeight="1"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0"/>
    </row>
    <row r="344" ht="14.25" customHeight="1"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</row>
    <row r="345" ht="14.25" customHeight="1"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</row>
    <row r="346" ht="14.25" customHeight="1"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</row>
    <row r="347" ht="14.25" customHeight="1"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</row>
    <row r="348" ht="14.25" customHeight="1"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</row>
    <row r="349" ht="14.25" customHeight="1"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</row>
    <row r="350" ht="14.25" customHeight="1"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</row>
    <row r="351" ht="14.25" customHeight="1"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</row>
    <row r="352" ht="14.25" customHeight="1"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</row>
    <row r="353" ht="14.25" customHeight="1"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</row>
    <row r="354" ht="14.25" customHeight="1"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</row>
    <row r="355" ht="14.25" customHeight="1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</row>
    <row r="356" ht="14.25" customHeight="1"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</row>
    <row r="357" ht="14.25" customHeight="1"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</row>
    <row r="358" ht="14.25" customHeight="1"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</row>
    <row r="359" ht="14.25" customHeight="1"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</row>
    <row r="360" ht="14.25" customHeight="1"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</row>
    <row r="361" ht="14.25" customHeight="1"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</row>
    <row r="362" ht="14.25" customHeight="1"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</row>
    <row r="363" ht="14.25" customHeight="1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</row>
    <row r="364" ht="14.25" customHeight="1"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</row>
    <row r="365" ht="14.25" customHeight="1"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</row>
    <row r="366" ht="14.25" customHeight="1"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</row>
    <row r="367" ht="14.25" customHeight="1"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</row>
    <row r="368" ht="14.25" customHeight="1"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</row>
    <row r="369" ht="14.25" customHeight="1"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</row>
    <row r="370" ht="14.25" customHeight="1"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</row>
    <row r="371" ht="14.25" customHeight="1"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</row>
    <row r="372" ht="14.25" customHeight="1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</row>
    <row r="373" ht="14.25" customHeight="1"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</row>
    <row r="374" ht="14.25" customHeight="1"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</row>
    <row r="375" ht="14.25" customHeight="1"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</row>
    <row r="376" ht="14.25" customHeight="1"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</row>
    <row r="377" ht="14.25" customHeight="1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</row>
    <row r="378" ht="14.25" customHeight="1"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</row>
    <row r="379" ht="14.25" customHeight="1"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</row>
    <row r="380" ht="14.25" customHeight="1"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</row>
    <row r="381" ht="14.25" customHeight="1"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</row>
    <row r="382" ht="14.25" customHeight="1"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</row>
    <row r="383" ht="14.25" customHeight="1"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</row>
    <row r="384" ht="14.25" customHeight="1"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</row>
    <row r="385" ht="14.25" customHeight="1"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</row>
    <row r="386" ht="14.25" customHeight="1"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</row>
    <row r="387" ht="14.25" customHeight="1"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</row>
    <row r="388" ht="14.25" customHeight="1"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</row>
    <row r="389" ht="14.25" customHeight="1"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</row>
    <row r="390" ht="14.25" customHeight="1"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</row>
    <row r="391" ht="14.25" customHeight="1"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</row>
    <row r="392" ht="14.25" customHeight="1"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</row>
    <row r="393" ht="14.25" customHeight="1"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</row>
    <row r="394" ht="14.25" customHeight="1"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</row>
    <row r="395" ht="14.25" customHeight="1"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</row>
    <row r="396" ht="14.25" customHeight="1"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</row>
    <row r="397" ht="14.25" customHeight="1"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</row>
    <row r="398" ht="14.25" customHeight="1"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</row>
    <row r="399" ht="14.25" customHeight="1"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</row>
    <row r="400" ht="14.25" customHeight="1"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</row>
    <row r="401" ht="14.25" customHeight="1"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</row>
    <row r="402" ht="14.25" customHeight="1"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</row>
    <row r="403" ht="14.25" customHeight="1"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</row>
    <row r="404" ht="14.25" customHeight="1"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</row>
    <row r="405" ht="14.25" customHeight="1"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</row>
    <row r="406" ht="14.25" customHeight="1"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</row>
    <row r="407" ht="14.25" customHeight="1"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</row>
    <row r="408" ht="14.25" customHeight="1"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</row>
    <row r="409" ht="14.25" customHeight="1"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</row>
    <row r="410" ht="14.25" customHeight="1"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</row>
    <row r="411" ht="14.25" customHeight="1"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</row>
    <row r="412" ht="14.25" customHeight="1"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</row>
    <row r="413" ht="14.25" customHeight="1"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</row>
    <row r="414" ht="14.25" customHeight="1"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</row>
    <row r="415" ht="14.25" customHeight="1"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</row>
    <row r="416" ht="14.25" customHeight="1"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</row>
    <row r="417" ht="14.25" customHeight="1"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</row>
    <row r="418" ht="14.25" customHeight="1"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</row>
    <row r="419" ht="14.25" customHeight="1"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</row>
    <row r="420" ht="14.25" customHeight="1"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</row>
    <row r="421" ht="14.25" customHeight="1"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</row>
    <row r="422" ht="14.25" customHeight="1"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</row>
    <row r="423" ht="14.25" customHeight="1"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</row>
    <row r="424" ht="14.25" customHeight="1"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</row>
    <row r="425" ht="14.25" customHeight="1"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</row>
    <row r="426" ht="14.25" customHeight="1"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</row>
    <row r="427" ht="14.25" customHeight="1"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</row>
    <row r="428" ht="14.25" customHeight="1"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</row>
    <row r="429" ht="14.25" customHeight="1"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</row>
    <row r="430" ht="14.25" customHeight="1"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</row>
    <row r="431" ht="14.25" customHeight="1"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</row>
    <row r="432" ht="14.25" customHeight="1"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</row>
    <row r="433" ht="14.25" customHeight="1"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</row>
    <row r="434" ht="14.25" customHeight="1"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</row>
    <row r="435" ht="14.25" customHeight="1"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</row>
    <row r="436" ht="14.25" customHeight="1"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</row>
    <row r="437" ht="14.25" customHeight="1"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</row>
    <row r="438" ht="14.25" customHeight="1"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</row>
    <row r="439" ht="14.25" customHeight="1"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</row>
    <row r="440" ht="14.25" customHeight="1"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</row>
    <row r="441" ht="14.25" customHeight="1"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</row>
    <row r="442" ht="14.25" customHeight="1"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</row>
    <row r="443" ht="14.25" customHeight="1"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</row>
    <row r="444" ht="14.25" customHeight="1"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</row>
    <row r="445" ht="15.75" customHeight="1"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</row>
    <row r="446" ht="15.75" customHeight="1"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</row>
    <row r="447" ht="15.75" customHeight="1"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</row>
    <row r="448" ht="15.75" customHeight="1"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</row>
    <row r="449" ht="15.75" customHeight="1"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</row>
    <row r="450" ht="15.75" customHeight="1"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</row>
    <row r="451" ht="15.75" customHeight="1"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</row>
    <row r="452" ht="15.75" customHeight="1"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</row>
    <row r="453" ht="15.75" customHeight="1"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</row>
    <row r="454" ht="15.75" customHeight="1"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</row>
    <row r="455" ht="15.75" customHeight="1"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</row>
    <row r="456" ht="15.75" customHeight="1"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</row>
    <row r="457" ht="15.75" customHeight="1"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</row>
    <row r="458" ht="15.75" customHeight="1"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</row>
    <row r="459" ht="15.75" customHeight="1"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</row>
    <row r="460" ht="15.75" customHeight="1"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</row>
    <row r="461" ht="15.75" customHeight="1"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</row>
    <row r="462" ht="15.75" customHeight="1"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</row>
    <row r="463" ht="15.75" customHeight="1"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</row>
    <row r="464" ht="15.75" customHeight="1"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</row>
    <row r="465" ht="15.75" customHeight="1"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</row>
    <row r="466" ht="15.75" customHeight="1"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</row>
    <row r="467" ht="15.75" customHeight="1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</row>
    <row r="468" ht="15.75" customHeight="1"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</row>
    <row r="469" ht="15.75" customHeight="1"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</row>
    <row r="470" ht="15.75" customHeight="1"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</row>
    <row r="471" ht="15.75" customHeight="1"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</row>
    <row r="472" ht="15.75" customHeight="1"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</row>
    <row r="473" ht="15.75" customHeight="1"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</row>
    <row r="474" ht="15.75" customHeight="1"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</row>
    <row r="475" ht="15.75" customHeight="1"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</row>
    <row r="476" ht="15.75" customHeight="1"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</row>
    <row r="477" ht="15.75" customHeight="1"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</row>
    <row r="478" ht="15.75" customHeight="1"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</row>
    <row r="479" ht="15.75" customHeight="1"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</row>
    <row r="480" ht="15.75" customHeight="1"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</row>
    <row r="481" ht="15.75" customHeight="1"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</row>
    <row r="482" ht="15.75" customHeight="1"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</row>
    <row r="483" ht="15.75" customHeight="1"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</row>
    <row r="484" ht="15.75" customHeight="1"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</row>
    <row r="485" ht="15.75" customHeight="1"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</row>
    <row r="486" ht="15.75" customHeight="1"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</row>
    <row r="487" ht="15.75" customHeight="1"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</row>
    <row r="488" ht="15.75" customHeight="1"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</row>
    <row r="489" ht="15.75" customHeight="1"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</row>
    <row r="490" ht="15.75" customHeight="1"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</row>
    <row r="491" ht="15.75" customHeight="1"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</row>
    <row r="492" ht="15.75" customHeight="1"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</row>
    <row r="493" ht="15.75" customHeight="1"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</row>
    <row r="494" ht="15.75" customHeight="1"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</row>
    <row r="495" ht="15.75" customHeight="1"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</row>
    <row r="496" ht="15.75" customHeight="1"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</row>
    <row r="497" ht="15.75" customHeight="1"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</row>
    <row r="498" ht="15.75" customHeight="1"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</row>
    <row r="499" ht="15.75" customHeight="1"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</row>
    <row r="500" ht="15.75" customHeight="1"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</row>
    <row r="501" ht="15.75" customHeight="1"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</row>
    <row r="502" ht="15.75" customHeight="1"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</row>
    <row r="503" ht="15.75" customHeight="1"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</row>
    <row r="504" ht="15.75" customHeight="1"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</row>
    <row r="505" ht="15.75" customHeight="1"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</row>
    <row r="506" ht="15.75" customHeight="1"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</row>
    <row r="507" ht="15.75" customHeight="1"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</row>
    <row r="508" ht="15.75" customHeight="1"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</row>
    <row r="509" ht="15.75" customHeight="1"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</row>
    <row r="510" ht="15.75" customHeight="1"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</row>
    <row r="511" ht="15.75" customHeight="1"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</row>
    <row r="512" ht="15.75" customHeight="1"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</row>
    <row r="513" ht="15.75" customHeight="1"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</row>
    <row r="514" ht="15.75" customHeight="1"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</row>
    <row r="515" ht="15.75" customHeight="1"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</row>
    <row r="516" ht="15.75" customHeight="1"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</row>
    <row r="517" ht="15.75" customHeight="1"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</row>
    <row r="518" ht="15.75" customHeight="1"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</row>
    <row r="519" ht="15.75" customHeight="1"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</row>
    <row r="520" ht="15.75" customHeight="1"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</row>
    <row r="521" ht="15.75" customHeight="1"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</row>
    <row r="522" ht="15.75" customHeight="1"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</row>
    <row r="523" ht="15.75" customHeight="1"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</row>
    <row r="524" ht="15.75" customHeight="1"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</row>
    <row r="525" ht="15.75" customHeight="1"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</row>
    <row r="526" ht="15.75" customHeight="1"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</row>
    <row r="527" ht="15.75" customHeight="1"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</row>
    <row r="528" ht="15.75" customHeight="1"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</row>
    <row r="529" ht="15.75" customHeight="1"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</row>
    <row r="530" ht="15.75" customHeight="1"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</row>
    <row r="531" ht="15.75" customHeight="1"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</row>
    <row r="532" ht="15.75" customHeight="1"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</row>
    <row r="533" ht="15.75" customHeight="1"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</row>
    <row r="534" ht="15.75" customHeight="1"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</row>
    <row r="535" ht="15.75" customHeight="1"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</row>
    <row r="536" ht="15.75" customHeight="1"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</row>
    <row r="537" ht="15.75" customHeight="1"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</row>
    <row r="538" ht="15.75" customHeight="1"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</row>
    <row r="539" ht="15.75" customHeight="1"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</row>
    <row r="540" ht="15.75" customHeight="1"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</row>
    <row r="541" ht="15.75" customHeight="1"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</row>
    <row r="542" ht="15.75" customHeight="1"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</row>
    <row r="543" ht="15.75" customHeight="1"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</row>
    <row r="544" ht="15.75" customHeight="1"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</row>
    <row r="545" ht="15.75" customHeight="1"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</row>
    <row r="546" ht="15.75" customHeight="1"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</row>
    <row r="547" ht="15.75" customHeight="1"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</row>
    <row r="548" ht="15.75" customHeight="1"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</row>
    <row r="549" ht="15.75" customHeight="1"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</row>
    <row r="550" ht="15.75" customHeight="1"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</row>
    <row r="551" ht="15.75" customHeight="1"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</row>
    <row r="552" ht="15.75" customHeight="1"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</row>
    <row r="553" ht="15.75" customHeight="1"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</row>
    <row r="554" ht="15.75" customHeight="1"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</row>
    <row r="555" ht="15.75" customHeight="1"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</row>
    <row r="556" ht="15.75" customHeight="1"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</row>
    <row r="557" ht="15.75" customHeight="1"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</row>
    <row r="558" ht="15.75" customHeight="1"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</row>
    <row r="559" ht="15.75" customHeight="1"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</row>
    <row r="560" ht="15.75" customHeight="1"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</row>
    <row r="561" ht="15.75" customHeight="1"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</row>
    <row r="562" ht="15.75" customHeight="1"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</row>
    <row r="563" ht="15.75" customHeight="1"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</row>
    <row r="564" ht="15.75" customHeight="1"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</row>
    <row r="565" ht="15.75" customHeight="1"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</row>
    <row r="566" ht="15.75" customHeight="1"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</row>
    <row r="567" ht="15.75" customHeight="1"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</row>
    <row r="568" ht="15.75" customHeight="1"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</row>
    <row r="569" ht="15.75" customHeight="1"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</row>
    <row r="570" ht="15.75" customHeight="1"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</row>
    <row r="571" ht="15.75" customHeight="1"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</row>
    <row r="572" ht="15.75" customHeight="1"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</row>
    <row r="573" ht="15.75" customHeight="1"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</row>
    <row r="574" ht="15.75" customHeight="1"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</row>
    <row r="575" ht="15.75" customHeight="1"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</row>
    <row r="576" ht="15.75" customHeight="1"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</row>
    <row r="577" ht="15.75" customHeight="1"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</row>
    <row r="578" ht="15.75" customHeight="1"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</row>
    <row r="579" ht="15.75" customHeight="1"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</row>
    <row r="580" ht="15.75" customHeight="1"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</row>
    <row r="581" ht="15.75" customHeight="1"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</row>
    <row r="582" ht="15.75" customHeight="1"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</row>
    <row r="583" ht="15.75" customHeight="1"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</row>
    <row r="584" ht="15.75" customHeight="1"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</row>
    <row r="585" ht="15.75" customHeight="1"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</row>
    <row r="586" ht="15.75" customHeight="1"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</row>
    <row r="587" ht="15.75" customHeight="1"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</row>
    <row r="588" ht="15.75" customHeight="1"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</row>
    <row r="589" ht="15.75" customHeight="1"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</row>
    <row r="590" ht="15.75" customHeight="1"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</row>
    <row r="591" ht="15.75" customHeight="1"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</row>
    <row r="592" ht="15.75" customHeight="1"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</row>
    <row r="593" ht="15.75" customHeight="1"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</row>
    <row r="594" ht="15.75" customHeight="1"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</row>
    <row r="595" ht="15.75" customHeight="1"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</row>
    <row r="596" ht="15.75" customHeight="1"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</row>
    <row r="597" ht="15.75" customHeight="1"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</row>
    <row r="598" ht="15.75" customHeight="1"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</row>
    <row r="599" ht="15.75" customHeight="1"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</row>
    <row r="600" ht="15.75" customHeight="1"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</row>
    <row r="601" ht="15.75" customHeight="1"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</row>
    <row r="602" ht="15.75" customHeight="1"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</row>
    <row r="603" ht="15.75" customHeight="1"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</row>
    <row r="604" ht="15.75" customHeight="1"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</row>
    <row r="605" ht="15.75" customHeight="1"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</row>
    <row r="606" ht="15.75" customHeight="1"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</row>
    <row r="607" ht="15.75" customHeight="1"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</row>
    <row r="608" ht="15.75" customHeight="1"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</row>
    <row r="609" ht="15.75" customHeight="1"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</row>
    <row r="610" ht="15.75" customHeight="1"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</row>
    <row r="611" ht="15.75" customHeight="1"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</row>
    <row r="612" ht="15.75" customHeight="1"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</row>
    <row r="613" ht="15.75" customHeight="1"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</row>
    <row r="614" ht="15.75" customHeight="1"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</row>
    <row r="615" ht="15.75" customHeight="1"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</row>
    <row r="616" ht="15.75" customHeight="1"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</row>
    <row r="617" ht="15.75" customHeight="1"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</row>
    <row r="618" ht="15.75" customHeight="1"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</row>
    <row r="619" ht="15.75" customHeight="1"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</row>
    <row r="620" ht="15.75" customHeight="1"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</row>
    <row r="621" ht="15.75" customHeight="1"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</row>
    <row r="622" ht="15.75" customHeight="1"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</row>
    <row r="623" ht="15.75" customHeight="1"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</row>
    <row r="624" ht="15.75" customHeight="1"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</row>
    <row r="625" ht="15.75" customHeight="1"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</row>
    <row r="626" ht="15.75" customHeight="1"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</row>
    <row r="627" ht="15.75" customHeight="1"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</row>
    <row r="628" ht="15.75" customHeight="1"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</row>
    <row r="629" ht="15.75" customHeight="1"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</row>
    <row r="630" ht="15.75" customHeight="1"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</row>
    <row r="631" ht="15.75" customHeight="1"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</row>
    <row r="632" ht="15.75" customHeight="1"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</row>
    <row r="633" ht="15.75" customHeight="1"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</row>
    <row r="634" ht="15.75" customHeight="1"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</row>
    <row r="635" ht="15.75" customHeight="1"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</row>
    <row r="636" ht="15.75" customHeight="1"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</row>
    <row r="637" ht="15.75" customHeight="1"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</row>
    <row r="638" ht="15.75" customHeight="1"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</row>
    <row r="639" ht="15.75" customHeight="1"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</row>
    <row r="640" ht="15.75" customHeight="1"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</row>
    <row r="641" ht="15.75" customHeight="1"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</row>
    <row r="642" ht="15.75" customHeight="1"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</row>
    <row r="643" ht="15.75" customHeight="1"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</row>
    <row r="644" ht="15.75" customHeight="1"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</row>
    <row r="645" ht="15.75" customHeight="1"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</row>
    <row r="646" ht="15.75" customHeight="1"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</row>
    <row r="647" ht="15.75" customHeight="1"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</row>
    <row r="648" ht="15.75" customHeight="1"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</row>
    <row r="649" ht="15.75" customHeight="1"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</row>
    <row r="650" ht="15.75" customHeight="1"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</row>
    <row r="651" ht="15.75" customHeight="1"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</row>
    <row r="652" ht="15.75" customHeight="1"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</row>
    <row r="653" ht="15.75" customHeight="1"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</row>
    <row r="654" ht="15.75" customHeight="1"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</row>
    <row r="655" ht="15.75" customHeight="1"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</row>
    <row r="656" ht="15.75" customHeight="1"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</row>
    <row r="657" ht="15.75" customHeight="1"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</row>
    <row r="658" ht="15.75" customHeight="1"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</row>
    <row r="659" ht="15.75" customHeight="1"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</row>
    <row r="660" ht="15.75" customHeight="1"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</row>
    <row r="661" ht="15.75" customHeight="1"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</row>
    <row r="662" ht="15.75" customHeight="1"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</row>
    <row r="663" ht="15.75" customHeight="1"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</row>
    <row r="664" ht="15.75" customHeight="1"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</row>
    <row r="665" ht="15.75" customHeight="1"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</row>
    <row r="666" ht="15.75" customHeight="1"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</row>
    <row r="667" ht="15.75" customHeight="1"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</row>
    <row r="668" ht="15.75" customHeight="1"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</row>
    <row r="669" ht="15.75" customHeight="1"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</row>
    <row r="670" ht="15.75" customHeight="1"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</row>
    <row r="671" ht="15.75" customHeight="1"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</row>
    <row r="672" ht="15.75" customHeight="1"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</row>
    <row r="673" ht="15.75" customHeight="1"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</row>
    <row r="674" ht="15.75" customHeight="1"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</row>
    <row r="675" ht="15.75" customHeight="1"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</row>
    <row r="676" ht="15.75" customHeight="1"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</row>
    <row r="677" ht="15.75" customHeight="1"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</row>
    <row r="678" ht="15.75" customHeight="1"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</row>
    <row r="679" ht="15.75" customHeight="1"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</row>
    <row r="680" ht="15.75" customHeight="1"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</row>
    <row r="681" ht="15.75" customHeight="1"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</row>
    <row r="682" ht="15.75" customHeight="1"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</row>
    <row r="683" ht="15.75" customHeight="1"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</row>
    <row r="684" ht="15.75" customHeight="1"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</row>
    <row r="685" ht="15.75" customHeight="1"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</row>
    <row r="686" ht="15.75" customHeight="1"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</row>
    <row r="687" ht="15.75" customHeight="1"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</row>
    <row r="688" ht="15.75" customHeight="1"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</row>
    <row r="689" ht="15.75" customHeight="1"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</row>
    <row r="690" ht="15.75" customHeight="1"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</row>
    <row r="691" ht="15.75" customHeight="1"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</row>
    <row r="692" ht="15.75" customHeight="1"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</row>
    <row r="693" ht="15.75" customHeight="1"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</row>
    <row r="694" ht="15.75" customHeight="1"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</row>
    <row r="695" ht="15.75" customHeight="1"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</row>
    <row r="696" ht="15.75" customHeight="1"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</row>
    <row r="697" ht="15.75" customHeight="1"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</row>
    <row r="698" ht="15.75" customHeight="1"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</row>
    <row r="699" ht="15.75" customHeight="1"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</row>
    <row r="700" ht="15.75" customHeight="1"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</row>
    <row r="701" ht="15.75" customHeight="1"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</row>
    <row r="702" ht="15.75" customHeight="1"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</row>
    <row r="703" ht="15.75" customHeight="1"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</row>
    <row r="704" ht="15.75" customHeight="1"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</row>
    <row r="705" ht="15.75" customHeight="1"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</row>
    <row r="706" ht="15.75" customHeight="1"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</row>
    <row r="707" ht="15.75" customHeight="1"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</row>
    <row r="708" ht="15.75" customHeight="1"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</row>
    <row r="709" ht="15.75" customHeight="1"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</row>
    <row r="710" ht="15.75" customHeight="1"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</row>
    <row r="711" ht="15.75" customHeight="1"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</row>
    <row r="712" ht="15.75" customHeight="1"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</row>
    <row r="713" ht="15.75" customHeight="1"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</row>
    <row r="714" ht="15.75" customHeight="1"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</row>
    <row r="715" ht="15.75" customHeight="1"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</row>
    <row r="716" ht="15.75" customHeight="1"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</row>
    <row r="717" ht="15.75" customHeight="1"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</row>
    <row r="718" ht="15.75" customHeight="1"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</row>
    <row r="719" ht="15.75" customHeight="1"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</row>
    <row r="720" ht="15.75" customHeight="1"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</row>
    <row r="721" ht="15.75" customHeight="1"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</row>
    <row r="722" ht="15.75" customHeight="1"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</row>
    <row r="723" ht="15.75" customHeight="1"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</row>
    <row r="724" ht="15.75" customHeight="1"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</row>
    <row r="725" ht="15.75" customHeight="1"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</row>
    <row r="726" ht="15.75" customHeight="1"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</row>
    <row r="727" ht="15.75" customHeight="1"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</row>
    <row r="728" ht="15.75" customHeight="1"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</row>
    <row r="729" ht="15.75" customHeight="1"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</row>
    <row r="730" ht="15.75" customHeight="1"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</row>
    <row r="731" ht="15.75" customHeight="1"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</row>
    <row r="732" ht="15.75" customHeight="1"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</row>
    <row r="733" ht="15.75" customHeight="1"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</row>
    <row r="734" ht="15.75" customHeight="1"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</row>
    <row r="735" ht="15.75" customHeight="1"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</row>
    <row r="736" ht="15.75" customHeight="1"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</row>
    <row r="737" ht="15.75" customHeight="1"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</row>
    <row r="738" ht="15.75" customHeight="1"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</row>
    <row r="739" ht="15.75" customHeight="1"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</row>
    <row r="740" ht="15.75" customHeight="1"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</row>
    <row r="741" ht="15.75" customHeight="1"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</row>
    <row r="742" ht="15.75" customHeight="1"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</row>
    <row r="743" ht="15.75" customHeight="1"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</row>
    <row r="744" ht="15.75" customHeight="1"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</row>
    <row r="745" ht="15.75" customHeight="1"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</row>
    <row r="746" ht="15.75" customHeight="1"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</row>
    <row r="747" ht="15.75" customHeight="1"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</row>
    <row r="748" ht="15.75" customHeight="1"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</row>
    <row r="749" ht="15.75" customHeight="1"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</row>
    <row r="750" ht="15.75" customHeight="1"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</row>
    <row r="751" ht="15.75" customHeight="1"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</row>
    <row r="752" ht="15.75" customHeight="1"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</row>
    <row r="753" ht="15.75" customHeight="1"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</row>
    <row r="754" ht="15.75" customHeight="1"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</row>
    <row r="755" ht="15.75" customHeight="1"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</row>
    <row r="756" ht="15.75" customHeight="1"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</row>
    <row r="757" ht="15.75" customHeight="1"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</row>
    <row r="758" ht="15.75" customHeight="1"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</row>
    <row r="759" ht="15.75" customHeight="1"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</row>
    <row r="760" ht="15.75" customHeight="1"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</row>
    <row r="761" ht="15.75" customHeight="1"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</row>
    <row r="762" ht="15.75" customHeight="1"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</row>
    <row r="763" ht="15.75" customHeight="1"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</row>
    <row r="764" ht="15.75" customHeight="1"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</row>
    <row r="765" ht="15.75" customHeight="1"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</row>
    <row r="766" ht="15.75" customHeight="1"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</row>
    <row r="767" ht="15.75" customHeight="1"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</row>
    <row r="768" ht="15.75" customHeight="1"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</row>
    <row r="769" ht="15.75" customHeight="1"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</row>
    <row r="770" ht="15.75" customHeight="1"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</row>
    <row r="771" ht="15.75" customHeight="1"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</row>
    <row r="772" ht="15.75" customHeight="1"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</row>
    <row r="773" ht="15.75" customHeight="1"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</row>
    <row r="774" ht="15.75" customHeight="1"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</row>
    <row r="775" ht="15.75" customHeight="1"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</row>
    <row r="776" ht="15.75" customHeight="1"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</row>
    <row r="777" ht="15.75" customHeight="1"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</row>
    <row r="778" ht="15.75" customHeight="1"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</row>
    <row r="779" ht="15.75" customHeight="1"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</row>
    <row r="780" ht="15.75" customHeight="1"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</row>
    <row r="781" ht="15.75" customHeight="1"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</row>
    <row r="782" ht="15.75" customHeight="1"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</row>
    <row r="783" ht="15.75" customHeight="1"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</row>
    <row r="784" ht="15.75" customHeight="1"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</row>
    <row r="785" ht="15.75" customHeight="1"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</row>
    <row r="786" ht="15.75" customHeight="1"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</row>
    <row r="787" ht="15.75" customHeight="1"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</row>
    <row r="788" ht="15.75" customHeight="1"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</row>
    <row r="789" ht="15.75" customHeight="1"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</row>
    <row r="790" ht="15.75" customHeight="1"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</row>
    <row r="791" ht="15.75" customHeight="1"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</row>
    <row r="792" ht="15.75" customHeight="1"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</row>
    <row r="793" ht="15.75" customHeight="1"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</row>
    <row r="794" ht="15.75" customHeight="1"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</row>
    <row r="795" ht="15.75" customHeight="1"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</row>
    <row r="796" ht="15.75" customHeight="1"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</row>
    <row r="797" ht="15.75" customHeight="1"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</row>
    <row r="798" ht="15.75" customHeight="1"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</row>
    <row r="799" ht="15.75" customHeight="1"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</row>
    <row r="800" ht="15.75" customHeight="1"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</row>
    <row r="801" ht="15.75" customHeight="1"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</row>
    <row r="802" ht="15.75" customHeight="1"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</row>
    <row r="803" ht="15.75" customHeight="1"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</row>
    <row r="804" ht="15.75" customHeight="1"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</row>
    <row r="805" ht="15.75" customHeight="1"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</row>
    <row r="806" ht="15.75" customHeight="1"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</row>
    <row r="807" ht="15.75" customHeight="1"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</row>
    <row r="808" ht="15.75" customHeight="1"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</row>
    <row r="809" ht="15.75" customHeight="1"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</row>
    <row r="810" ht="15.75" customHeight="1"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</row>
    <row r="811" ht="15.75" customHeight="1"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</row>
    <row r="812" ht="15.75" customHeight="1"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</row>
    <row r="813" ht="15.75" customHeight="1"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</row>
    <row r="814" ht="15.75" customHeight="1"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</row>
    <row r="815" ht="15.75" customHeight="1"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</row>
    <row r="816" ht="15.75" customHeight="1"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</row>
    <row r="817" ht="15.75" customHeight="1"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</row>
    <row r="818" ht="15.75" customHeight="1"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</row>
    <row r="819" ht="15.75" customHeight="1"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</row>
    <row r="820" ht="15.75" customHeight="1"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</row>
    <row r="821" ht="15.75" customHeight="1"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</row>
    <row r="822" ht="15.75" customHeight="1"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</row>
    <row r="823" ht="15.75" customHeight="1"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</row>
    <row r="824" ht="15.75" customHeight="1"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</row>
    <row r="825" ht="15.75" customHeight="1"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</row>
    <row r="826" ht="15.75" customHeight="1"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</row>
    <row r="827" ht="15.75" customHeight="1"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</row>
    <row r="828" ht="15.75" customHeight="1"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</row>
    <row r="829" ht="15.75" customHeight="1"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</row>
    <row r="830" ht="15.75" customHeight="1"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</row>
    <row r="831" ht="15.75" customHeight="1"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</row>
    <row r="832" ht="15.75" customHeight="1"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</row>
    <row r="833" ht="15.75" customHeight="1"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</row>
    <row r="834" ht="15.75" customHeight="1"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</row>
    <row r="835" ht="15.75" customHeight="1"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</row>
    <row r="836" ht="15.75" customHeight="1"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</row>
    <row r="837" ht="15.75" customHeight="1"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</row>
    <row r="838" ht="15.75" customHeight="1"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</row>
    <row r="839" ht="15.75" customHeight="1"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</row>
    <row r="840" ht="15.75" customHeight="1"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</row>
    <row r="841" ht="15.75" customHeight="1"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</row>
    <row r="842" ht="15.75" customHeight="1"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</row>
    <row r="843" ht="15.75" customHeight="1"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</row>
    <row r="844" ht="15.75" customHeight="1"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</row>
    <row r="845" ht="15.75" customHeight="1"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</row>
    <row r="846" ht="15.75" customHeight="1"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</row>
    <row r="847" ht="15.75" customHeight="1"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</row>
    <row r="848" ht="15.75" customHeight="1"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</row>
    <row r="849" ht="15.75" customHeight="1"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</row>
    <row r="850" ht="15.75" customHeight="1"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</row>
    <row r="851" ht="15.75" customHeight="1"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</row>
    <row r="852" ht="15.75" customHeight="1"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</row>
    <row r="853" ht="15.75" customHeight="1"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</row>
    <row r="854" ht="15.75" customHeight="1"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</row>
    <row r="855" ht="15.75" customHeight="1"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</row>
    <row r="856" ht="15.75" customHeight="1"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</row>
    <row r="857" ht="15.75" customHeight="1"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</row>
    <row r="858" ht="15.75" customHeight="1"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</row>
    <row r="859" ht="15.75" customHeight="1"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</row>
    <row r="860" ht="15.75" customHeight="1"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</row>
    <row r="861" ht="15.75" customHeight="1"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</row>
    <row r="862" ht="15.75" customHeight="1"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</row>
    <row r="863" ht="15.75" customHeight="1"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</row>
    <row r="864" ht="15.75" customHeight="1"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</row>
    <row r="865" ht="15.75" customHeight="1"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</row>
    <row r="866" ht="15.75" customHeight="1"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</row>
    <row r="867" ht="15.75" customHeight="1"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</row>
    <row r="868" ht="15.75" customHeight="1"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</row>
    <row r="869" ht="15.75" customHeight="1"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</row>
    <row r="870" ht="15.75" customHeight="1"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</row>
    <row r="871" ht="15.75" customHeight="1"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</row>
    <row r="872" ht="15.75" customHeight="1"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</row>
    <row r="873" ht="15.75" customHeight="1"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</row>
    <row r="874" ht="15.75" customHeight="1"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</row>
    <row r="875" ht="15.75" customHeight="1"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</row>
    <row r="876" ht="15.75" customHeight="1"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</row>
    <row r="877" ht="15.75" customHeight="1"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</row>
    <row r="878" ht="15.75" customHeight="1"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</row>
    <row r="879" ht="15.75" customHeight="1"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</row>
    <row r="880" ht="15.75" customHeight="1"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</row>
    <row r="881" ht="15.75" customHeight="1"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</row>
    <row r="882" ht="15.75" customHeight="1"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</row>
    <row r="883" ht="15.75" customHeight="1"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</row>
    <row r="884" ht="15.75" customHeight="1"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</row>
    <row r="885" ht="15.75" customHeight="1"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</row>
    <row r="886" ht="15.75" customHeight="1"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</row>
    <row r="887" ht="15.75" customHeight="1"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</row>
    <row r="888" ht="15.75" customHeight="1"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</row>
    <row r="889" ht="15.75" customHeight="1"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</row>
    <row r="890" ht="15.75" customHeight="1"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</row>
    <row r="891" ht="15.75" customHeight="1"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</row>
    <row r="892" ht="15.75" customHeight="1"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</row>
    <row r="893" ht="15.75" customHeight="1"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</row>
    <row r="894" ht="15.75" customHeight="1"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</row>
    <row r="895" ht="15.75" customHeight="1"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</row>
    <row r="896" ht="15.75" customHeight="1"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</row>
    <row r="897" ht="15.75" customHeight="1"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</row>
    <row r="898" ht="15.75" customHeight="1"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</row>
    <row r="899" ht="15.75" customHeight="1"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</row>
    <row r="900" ht="15.75" customHeight="1"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</row>
    <row r="901" ht="15.75" customHeight="1"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</row>
    <row r="902" ht="15.75" customHeight="1"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</row>
    <row r="903" ht="15.75" customHeight="1"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</row>
    <row r="904" ht="15.75" customHeight="1"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</row>
    <row r="905" ht="15.75" customHeight="1"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</row>
    <row r="906" ht="15.75" customHeight="1"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</row>
    <row r="907" ht="15.75" customHeight="1"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</row>
    <row r="908" ht="15.75" customHeight="1"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</row>
    <row r="909" ht="15.75" customHeight="1"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</row>
    <row r="910" ht="15.75" customHeight="1"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</row>
    <row r="911" ht="15.75" customHeight="1"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</row>
    <row r="912" ht="15.75" customHeight="1"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</row>
    <row r="913" ht="15.75" customHeight="1"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</row>
    <row r="914" ht="15.75" customHeight="1"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</row>
    <row r="915" ht="15.75" customHeight="1"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</row>
    <row r="916" ht="15.75" customHeight="1"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</row>
    <row r="917" ht="15.75" customHeight="1"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</row>
    <row r="918" ht="15.75" customHeight="1"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</row>
    <row r="919" ht="15.75" customHeight="1"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</row>
    <row r="920" ht="15.75" customHeight="1"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</row>
    <row r="921" ht="15.75" customHeight="1"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</row>
    <row r="922" ht="15.75" customHeight="1"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</row>
    <row r="923" ht="15.75" customHeight="1"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</row>
    <row r="924" ht="15.75" customHeight="1"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</row>
    <row r="925" ht="15.75" customHeight="1"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</row>
    <row r="926" ht="15.75" customHeight="1"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</row>
    <row r="927" ht="15.75" customHeight="1"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</row>
    <row r="928" ht="15.75" customHeight="1"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</row>
    <row r="929" ht="15.75" customHeight="1"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</row>
    <row r="930" ht="15.75" customHeight="1"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</row>
    <row r="931" ht="15.75" customHeight="1"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</row>
    <row r="932" ht="15.75" customHeight="1"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</row>
    <row r="933" ht="15.75" customHeight="1"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</row>
    <row r="934" ht="15.75" customHeight="1"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</row>
    <row r="935" ht="15.75" customHeight="1"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</row>
    <row r="936" ht="15.75" customHeight="1"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</row>
    <row r="937" ht="15.75" customHeight="1"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</row>
    <row r="938" ht="15.75" customHeight="1"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</row>
    <row r="939" ht="15.75" customHeight="1"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</row>
    <row r="940" ht="15.75" customHeight="1"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</row>
    <row r="941" ht="15.75" customHeight="1"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</row>
    <row r="942" ht="15.75" customHeight="1"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</row>
    <row r="943" ht="15.75" customHeight="1"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</row>
    <row r="944" ht="15.75" customHeight="1"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</row>
    <row r="945" ht="15.75" customHeight="1"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</row>
    <row r="946" ht="15.75" customHeight="1"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</row>
    <row r="947" ht="15.75" customHeight="1"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</row>
    <row r="948" ht="15.75" customHeight="1"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</row>
    <row r="949" ht="15.75" customHeight="1"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</row>
    <row r="950" ht="15.75" customHeight="1"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</row>
    <row r="951" ht="15.75" customHeight="1"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</row>
    <row r="952" ht="15.75" customHeight="1"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</row>
    <row r="953" ht="15.75" customHeight="1"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</row>
    <row r="954" ht="15.75" customHeight="1"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</row>
    <row r="955" ht="15.75" customHeight="1"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</row>
    <row r="956" ht="15.75" customHeight="1"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</row>
    <row r="957" ht="15.75" customHeight="1"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</row>
    <row r="958" ht="15.75" customHeight="1"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</row>
    <row r="959" ht="15.75" customHeight="1"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</row>
    <row r="960" ht="15.75" customHeight="1"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</row>
    <row r="961" ht="15.75" customHeight="1"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</row>
    <row r="962" ht="15.75" customHeight="1"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</row>
    <row r="963" ht="15.75" customHeight="1"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</row>
    <row r="964" ht="15.75" customHeight="1"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</row>
    <row r="965" ht="15.75" customHeight="1"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</row>
    <row r="966" ht="15.75" customHeight="1"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</row>
    <row r="967" ht="15.75" customHeight="1"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</row>
    <row r="968" ht="15.75" customHeight="1"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</row>
    <row r="969" ht="15.75" customHeight="1"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</row>
    <row r="970" ht="15.75" customHeight="1"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</row>
    <row r="971" ht="15.75" customHeight="1"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</row>
    <row r="972" ht="15.75" customHeight="1"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</row>
    <row r="973" ht="15.75" customHeight="1"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</row>
    <row r="974" ht="15.75" customHeight="1"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</row>
    <row r="975" ht="15.75" customHeight="1"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</row>
    <row r="976" ht="15.75" customHeight="1"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</row>
    <row r="977" ht="15.75" customHeight="1"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</row>
    <row r="978" ht="15.75" customHeight="1"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</row>
    <row r="979" ht="15.75" customHeight="1"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</row>
    <row r="980" ht="15.75" customHeight="1"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</row>
    <row r="981" ht="15.75" customHeight="1"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</row>
    <row r="982" ht="15.75" customHeight="1"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</row>
    <row r="983" ht="15.75" customHeight="1"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</row>
    <row r="984" ht="15.75" customHeight="1"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</row>
    <row r="985" ht="15.75" customHeight="1"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</row>
    <row r="986" ht="15.75" customHeight="1"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</row>
    <row r="987" ht="15.75" customHeight="1"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</row>
    <row r="988" ht="15.75" customHeight="1"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</row>
    <row r="989" ht="15.75" customHeight="1"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</row>
    <row r="990" ht="15.75" customHeight="1"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</row>
    <row r="991" ht="15.75" customHeight="1"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</row>
    <row r="992" ht="15.75" customHeight="1"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</row>
    <row r="993" ht="15.75" customHeight="1"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</row>
    <row r="994" ht="15.75" customHeight="1"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</row>
    <row r="995" ht="15.75" customHeight="1"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</row>
    <row r="996" ht="15.75" customHeight="1"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</row>
    <row r="997" ht="15.75" customHeight="1"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</row>
    <row r="998" ht="15.75" customHeight="1"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</row>
    <row r="999" ht="15.75" customHeight="1"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</row>
    <row r="1000" ht="15.75" customHeight="1"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</row>
  </sheetData>
  <mergeCells count="2">
    <mergeCell ref="C2:L5"/>
    <mergeCell ref="C62:F62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0.57"/>
    <col customWidth="1" min="3" max="3" width="12.43"/>
    <col customWidth="1" min="4" max="4" width="25.86"/>
    <col customWidth="1" min="5" max="5" width="19.14"/>
    <col customWidth="1" min="6" max="6" width="15.0"/>
    <col customWidth="1" min="7" max="7" width="14.43"/>
    <col customWidth="1" min="8" max="8" width="15.43"/>
    <col customWidth="1" min="9" max="9" width="11.86"/>
    <col customWidth="1" min="10" max="10" width="9.43"/>
    <col customWidth="1" min="11" max="11" width="15.71"/>
    <col customWidth="1" min="12" max="13" width="22.14"/>
    <col customWidth="1" min="14" max="24" width="8.71"/>
  </cols>
  <sheetData>
    <row r="1" ht="21.0" customHeight="1">
      <c r="B1" s="152" t="s">
        <v>977</v>
      </c>
      <c r="C1" s="4"/>
      <c r="D1" s="4"/>
      <c r="E1" s="4"/>
      <c r="F1" s="4"/>
      <c r="G1" s="4"/>
      <c r="H1" s="4"/>
      <c r="I1" s="4"/>
      <c r="J1" s="4"/>
      <c r="K1" s="5"/>
      <c r="L1" s="6"/>
      <c r="M1" s="6"/>
      <c r="N1" s="6"/>
      <c r="O1" s="6"/>
      <c r="P1" s="6"/>
      <c r="Q1" s="6"/>
    </row>
    <row r="2" ht="21.0" customHeight="1">
      <c r="B2" s="7"/>
      <c r="K2" s="8"/>
      <c r="L2" s="6"/>
      <c r="M2" s="6"/>
      <c r="N2" s="6"/>
      <c r="O2" s="6"/>
      <c r="P2" s="6"/>
      <c r="Q2" s="6"/>
      <c r="T2" s="9"/>
      <c r="U2" s="9"/>
      <c r="V2" s="9"/>
      <c r="W2" s="9"/>
      <c r="X2" s="9"/>
    </row>
    <row r="3" ht="15.0" customHeight="1">
      <c r="B3" s="7"/>
      <c r="K3" s="8"/>
      <c r="L3" s="6"/>
      <c r="M3" s="6"/>
      <c r="N3" s="6"/>
      <c r="O3" s="6"/>
      <c r="P3" s="6"/>
      <c r="Q3" s="6"/>
      <c r="T3" s="9"/>
      <c r="U3" s="9"/>
      <c r="V3" s="9"/>
      <c r="W3" s="9"/>
      <c r="X3" s="9"/>
    </row>
    <row r="4" ht="27.75" customHeight="1">
      <c r="B4" s="10"/>
      <c r="C4" s="11"/>
      <c r="D4" s="11"/>
      <c r="E4" s="11"/>
      <c r="F4" s="11"/>
      <c r="G4" s="11"/>
      <c r="H4" s="11"/>
      <c r="I4" s="11"/>
      <c r="J4" s="11"/>
      <c r="K4" s="12"/>
      <c r="L4" s="6"/>
      <c r="M4" s="6"/>
      <c r="N4" s="6"/>
      <c r="O4" s="6"/>
      <c r="P4" s="6"/>
      <c r="Q4" s="6"/>
      <c r="U4" s="9"/>
      <c r="V4" s="9"/>
      <c r="W4" s="9"/>
      <c r="X4" s="9"/>
    </row>
    <row r="5" ht="14.25" customHeight="1">
      <c r="B5" s="174" t="s">
        <v>1</v>
      </c>
      <c r="C5" s="15" t="s">
        <v>2</v>
      </c>
      <c r="D5" s="15" t="s">
        <v>3</v>
      </c>
      <c r="E5" s="15" t="s">
        <v>5</v>
      </c>
      <c r="F5" s="15" t="s">
        <v>270</v>
      </c>
      <c r="G5" s="15" t="s">
        <v>271</v>
      </c>
      <c r="H5" s="15" t="s">
        <v>272</v>
      </c>
      <c r="I5" s="15" t="s">
        <v>155</v>
      </c>
      <c r="J5" s="15" t="s">
        <v>916</v>
      </c>
      <c r="K5" s="15" t="s">
        <v>978</v>
      </c>
      <c r="L5" s="15" t="s">
        <v>979</v>
      </c>
      <c r="M5" s="15" t="s">
        <v>10</v>
      </c>
      <c r="O5" s="16"/>
      <c r="P5" s="9"/>
      <c r="Q5" s="9"/>
      <c r="R5" s="9"/>
    </row>
    <row r="6" ht="14.25" customHeight="1">
      <c r="B6" s="175">
        <v>45124.0</v>
      </c>
      <c r="C6" s="175">
        <v>45138.0</v>
      </c>
      <c r="D6" s="18" t="s">
        <v>187</v>
      </c>
      <c r="E6" s="19" t="s">
        <v>980</v>
      </c>
      <c r="F6" s="19">
        <v>10044.5</v>
      </c>
      <c r="G6" s="19">
        <v>10156.0</v>
      </c>
      <c r="H6" s="19">
        <f t="shared" ref="H6:H59" si="1">G6-F6</f>
        <v>111.5</v>
      </c>
      <c r="I6" s="19">
        <v>679.0</v>
      </c>
      <c r="J6" s="176">
        <v>4.5</v>
      </c>
      <c r="K6" s="177">
        <v>230.0</v>
      </c>
      <c r="L6" s="178">
        <f t="shared" ref="L6:L60" si="2">(K6*H6)-(I6*J6)</f>
        <v>22589.5</v>
      </c>
      <c r="M6" s="1" t="s">
        <v>981</v>
      </c>
      <c r="O6" s="16"/>
      <c r="P6" s="9"/>
      <c r="Q6" s="9"/>
      <c r="R6" s="9"/>
    </row>
    <row r="7" ht="14.25" customHeight="1">
      <c r="B7" s="175">
        <v>45139.0</v>
      </c>
      <c r="C7" s="179">
        <v>45161.0</v>
      </c>
      <c r="D7" s="18" t="s">
        <v>187</v>
      </c>
      <c r="E7" s="19" t="s">
        <v>980</v>
      </c>
      <c r="F7" s="19">
        <v>10156.0</v>
      </c>
      <c r="G7" s="19">
        <v>10354.0</v>
      </c>
      <c r="H7" s="19">
        <f t="shared" si="1"/>
        <v>198</v>
      </c>
      <c r="I7" s="19">
        <v>1215.0</v>
      </c>
      <c r="J7" s="134">
        <v>5.2</v>
      </c>
      <c r="K7" s="177">
        <v>230.0</v>
      </c>
      <c r="L7" s="178">
        <f t="shared" si="2"/>
        <v>39222</v>
      </c>
      <c r="M7" s="1" t="s">
        <v>981</v>
      </c>
      <c r="O7" s="16"/>
      <c r="P7" s="9"/>
      <c r="Q7" s="9"/>
      <c r="R7" s="9"/>
    </row>
    <row r="8" ht="14.25" customHeight="1">
      <c r="B8" s="179"/>
      <c r="C8" s="179"/>
      <c r="D8" s="1" t="s">
        <v>982</v>
      </c>
      <c r="E8" s="19"/>
      <c r="F8" s="19"/>
      <c r="G8" s="19"/>
      <c r="H8" s="19">
        <f t="shared" si="1"/>
        <v>0</v>
      </c>
      <c r="J8" s="134"/>
      <c r="K8" s="177"/>
      <c r="L8" s="178">
        <f t="shared" si="2"/>
        <v>0</v>
      </c>
    </row>
    <row r="9" ht="14.25" customHeight="1">
      <c r="B9" s="175"/>
      <c r="C9" s="18"/>
      <c r="D9" s="18"/>
      <c r="E9" s="19"/>
      <c r="F9" s="19"/>
      <c r="G9" s="19"/>
      <c r="H9" s="19">
        <f t="shared" si="1"/>
        <v>0</v>
      </c>
      <c r="I9" s="19"/>
      <c r="J9" s="134"/>
      <c r="K9" s="177"/>
      <c r="L9" s="178">
        <f t="shared" si="2"/>
        <v>0</v>
      </c>
    </row>
    <row r="10" ht="14.25" customHeight="1">
      <c r="B10" s="175"/>
      <c r="C10" s="18"/>
      <c r="D10" s="18"/>
      <c r="E10" s="19"/>
      <c r="F10" s="19"/>
      <c r="G10" s="19"/>
      <c r="H10" s="19">
        <f t="shared" si="1"/>
        <v>0</v>
      </c>
      <c r="I10" s="19"/>
      <c r="J10" s="134"/>
      <c r="K10" s="177"/>
      <c r="L10" s="178">
        <f t="shared" si="2"/>
        <v>0</v>
      </c>
    </row>
    <row r="11" ht="14.25" customHeight="1">
      <c r="B11" s="18"/>
      <c r="C11" s="18"/>
      <c r="D11" s="18"/>
      <c r="E11" s="19"/>
      <c r="F11" s="19"/>
      <c r="G11" s="19"/>
      <c r="H11" s="19">
        <f t="shared" si="1"/>
        <v>0</v>
      </c>
      <c r="I11" s="19"/>
      <c r="J11" s="134"/>
      <c r="K11" s="177"/>
      <c r="L11" s="178">
        <f t="shared" si="2"/>
        <v>0</v>
      </c>
    </row>
    <row r="12" ht="14.25" customHeight="1">
      <c r="B12" s="18"/>
      <c r="C12" s="18"/>
      <c r="D12" s="18"/>
      <c r="E12" s="19"/>
      <c r="F12" s="19"/>
      <c r="G12" s="19"/>
      <c r="H12" s="19">
        <f t="shared" si="1"/>
        <v>0</v>
      </c>
      <c r="I12" s="19"/>
      <c r="J12" s="134"/>
      <c r="K12" s="177"/>
      <c r="L12" s="178">
        <f t="shared" si="2"/>
        <v>0</v>
      </c>
    </row>
    <row r="13" ht="14.25" customHeight="1">
      <c r="B13" s="18"/>
      <c r="C13" s="18"/>
      <c r="D13" s="18"/>
      <c r="E13" s="19"/>
      <c r="F13" s="19"/>
      <c r="G13" s="19"/>
      <c r="H13" s="19">
        <f t="shared" si="1"/>
        <v>0</v>
      </c>
      <c r="I13" s="19"/>
      <c r="J13" s="134"/>
      <c r="K13" s="177"/>
      <c r="L13" s="178">
        <f t="shared" si="2"/>
        <v>0</v>
      </c>
    </row>
    <row r="14" ht="14.25" customHeight="1">
      <c r="B14" s="18"/>
      <c r="C14" s="18"/>
      <c r="D14" s="18"/>
      <c r="E14" s="19"/>
      <c r="F14" s="19"/>
      <c r="G14" s="19"/>
      <c r="H14" s="19">
        <f t="shared" si="1"/>
        <v>0</v>
      </c>
      <c r="I14" s="19"/>
      <c r="J14" s="134"/>
      <c r="K14" s="177"/>
      <c r="L14" s="178">
        <f t="shared" si="2"/>
        <v>0</v>
      </c>
    </row>
    <row r="15" ht="14.25" customHeight="1">
      <c r="B15" s="175"/>
      <c r="C15" s="18"/>
      <c r="D15" s="18"/>
      <c r="E15" s="19"/>
      <c r="F15" s="19"/>
      <c r="G15" s="19"/>
      <c r="H15" s="19">
        <f t="shared" si="1"/>
        <v>0</v>
      </c>
      <c r="I15" s="19"/>
      <c r="J15" s="134"/>
      <c r="K15" s="177"/>
      <c r="L15" s="178">
        <f t="shared" si="2"/>
        <v>0</v>
      </c>
    </row>
    <row r="16" ht="14.25" customHeight="1">
      <c r="B16" s="175"/>
      <c r="C16" s="18"/>
      <c r="D16" s="19"/>
      <c r="E16" s="19"/>
      <c r="F16" s="19"/>
      <c r="G16" s="19"/>
      <c r="H16" s="19">
        <f t="shared" si="1"/>
        <v>0</v>
      </c>
      <c r="I16" s="19"/>
      <c r="J16" s="134"/>
      <c r="K16" s="177"/>
      <c r="L16" s="178">
        <f t="shared" si="2"/>
        <v>0</v>
      </c>
    </row>
    <row r="17" ht="14.25" customHeight="1">
      <c r="B17" s="175"/>
      <c r="C17" s="18"/>
      <c r="D17" s="19"/>
      <c r="E17" s="19"/>
      <c r="F17" s="19"/>
      <c r="G17" s="19"/>
      <c r="H17" s="19">
        <f t="shared" si="1"/>
        <v>0</v>
      </c>
      <c r="I17" s="19"/>
      <c r="J17" s="134"/>
      <c r="K17" s="177"/>
      <c r="L17" s="178">
        <f t="shared" si="2"/>
        <v>0</v>
      </c>
    </row>
    <row r="18" ht="14.25" customHeight="1">
      <c r="B18" s="175"/>
      <c r="C18" s="18"/>
      <c r="D18" s="19"/>
      <c r="E18" s="19"/>
      <c r="F18" s="19"/>
      <c r="G18" s="19"/>
      <c r="H18" s="19">
        <f t="shared" si="1"/>
        <v>0</v>
      </c>
      <c r="I18" s="19"/>
      <c r="J18" s="134"/>
      <c r="K18" s="177"/>
      <c r="L18" s="178">
        <f t="shared" si="2"/>
        <v>0</v>
      </c>
    </row>
    <row r="19" ht="14.25" customHeight="1">
      <c r="B19" s="175"/>
      <c r="C19" s="18"/>
      <c r="D19" s="19"/>
      <c r="E19" s="19"/>
      <c r="F19" s="19"/>
      <c r="G19" s="19"/>
      <c r="H19" s="19">
        <f t="shared" si="1"/>
        <v>0</v>
      </c>
      <c r="I19" s="19"/>
      <c r="J19" s="134"/>
      <c r="K19" s="177"/>
      <c r="L19" s="178">
        <f t="shared" si="2"/>
        <v>0</v>
      </c>
    </row>
    <row r="20" ht="14.25" customHeight="1">
      <c r="B20" s="175"/>
      <c r="C20" s="18"/>
      <c r="D20" s="19"/>
      <c r="E20" s="19"/>
      <c r="F20" s="19"/>
      <c r="G20" s="19"/>
      <c r="H20" s="19">
        <f t="shared" si="1"/>
        <v>0</v>
      </c>
      <c r="I20" s="19"/>
      <c r="J20" s="134"/>
      <c r="K20" s="177"/>
      <c r="L20" s="178">
        <f t="shared" si="2"/>
        <v>0</v>
      </c>
    </row>
    <row r="21" ht="14.25" customHeight="1">
      <c r="B21" s="175"/>
      <c r="C21" s="18"/>
      <c r="D21" s="18"/>
      <c r="E21" s="19"/>
      <c r="F21" s="19"/>
      <c r="G21" s="19"/>
      <c r="H21" s="19">
        <f t="shared" si="1"/>
        <v>0</v>
      </c>
      <c r="I21" s="19"/>
      <c r="J21" s="134"/>
      <c r="K21" s="177"/>
      <c r="L21" s="178">
        <f t="shared" si="2"/>
        <v>0</v>
      </c>
    </row>
    <row r="22" ht="14.25" customHeight="1">
      <c r="B22" s="175"/>
      <c r="C22" s="18"/>
      <c r="D22" s="19"/>
      <c r="E22" s="19"/>
      <c r="F22" s="19"/>
      <c r="G22" s="19"/>
      <c r="H22" s="19">
        <f t="shared" si="1"/>
        <v>0</v>
      </c>
      <c r="I22" s="19"/>
      <c r="J22" s="134"/>
      <c r="K22" s="177"/>
      <c r="L22" s="178">
        <f t="shared" si="2"/>
        <v>0</v>
      </c>
    </row>
    <row r="23" ht="14.25" customHeight="1">
      <c r="B23" s="175"/>
      <c r="C23" s="18"/>
      <c r="D23" s="19"/>
      <c r="E23" s="19"/>
      <c r="F23" s="19"/>
      <c r="G23" s="19"/>
      <c r="H23" s="19">
        <f t="shared" si="1"/>
        <v>0</v>
      </c>
      <c r="I23" s="19"/>
      <c r="J23" s="134"/>
      <c r="K23" s="177"/>
      <c r="L23" s="178">
        <f t="shared" si="2"/>
        <v>0</v>
      </c>
    </row>
    <row r="24" ht="14.25" customHeight="1">
      <c r="B24" s="175"/>
      <c r="C24" s="18"/>
      <c r="D24" s="19"/>
      <c r="E24" s="19"/>
      <c r="F24" s="19"/>
      <c r="G24" s="19"/>
      <c r="H24" s="19">
        <f t="shared" si="1"/>
        <v>0</v>
      </c>
      <c r="I24" s="19"/>
      <c r="J24" s="134"/>
      <c r="K24" s="177"/>
      <c r="L24" s="178">
        <f t="shared" si="2"/>
        <v>0</v>
      </c>
    </row>
    <row r="25" ht="14.25" customHeight="1">
      <c r="B25" s="175"/>
      <c r="C25" s="19"/>
      <c r="D25" s="19"/>
      <c r="E25" s="19"/>
      <c r="F25" s="19"/>
      <c r="G25" s="19"/>
      <c r="H25" s="19">
        <f t="shared" si="1"/>
        <v>0</v>
      </c>
      <c r="I25" s="19"/>
      <c r="J25" s="134"/>
      <c r="K25" s="177"/>
      <c r="L25" s="178">
        <f t="shared" si="2"/>
        <v>0</v>
      </c>
    </row>
    <row r="26" ht="14.25" customHeight="1">
      <c r="B26" s="26"/>
      <c r="C26" s="19"/>
      <c r="D26" s="19"/>
      <c r="E26" s="19"/>
      <c r="F26" s="19"/>
      <c r="G26" s="19"/>
      <c r="H26" s="19">
        <f t="shared" si="1"/>
        <v>0</v>
      </c>
      <c r="I26" s="19"/>
      <c r="J26" s="134"/>
      <c r="K26" s="177"/>
      <c r="L26" s="178">
        <f t="shared" si="2"/>
        <v>0</v>
      </c>
    </row>
    <row r="27" ht="14.25" customHeight="1">
      <c r="B27" s="26"/>
      <c r="C27" s="19"/>
      <c r="D27" s="19"/>
      <c r="E27" s="19"/>
      <c r="F27" s="19"/>
      <c r="G27" s="19"/>
      <c r="H27" s="19">
        <f t="shared" si="1"/>
        <v>0</v>
      </c>
      <c r="I27" s="19"/>
      <c r="J27" s="134"/>
      <c r="K27" s="177"/>
      <c r="L27" s="178">
        <f t="shared" si="2"/>
        <v>0</v>
      </c>
    </row>
    <row r="28" ht="14.25" customHeight="1">
      <c r="B28" s="26"/>
      <c r="C28" s="19"/>
      <c r="D28" s="19"/>
      <c r="E28" s="19"/>
      <c r="F28" s="19"/>
      <c r="G28" s="19"/>
      <c r="H28" s="19">
        <f t="shared" si="1"/>
        <v>0</v>
      </c>
      <c r="I28" s="19"/>
      <c r="J28" s="134"/>
      <c r="K28" s="177"/>
      <c r="L28" s="178">
        <f t="shared" si="2"/>
        <v>0</v>
      </c>
    </row>
    <row r="29" ht="14.25" customHeight="1">
      <c r="B29" s="26"/>
      <c r="C29" s="19"/>
      <c r="D29" s="19"/>
      <c r="E29" s="19"/>
      <c r="F29" s="19"/>
      <c r="G29" s="19"/>
      <c r="H29" s="19">
        <f t="shared" si="1"/>
        <v>0</v>
      </c>
      <c r="I29" s="19"/>
      <c r="J29" s="134"/>
      <c r="K29" s="177"/>
      <c r="L29" s="178">
        <f t="shared" si="2"/>
        <v>0</v>
      </c>
    </row>
    <row r="30" ht="14.25" customHeight="1">
      <c r="B30" s="26"/>
      <c r="C30" s="19"/>
      <c r="D30" s="19"/>
      <c r="E30" s="19"/>
      <c r="F30" s="19"/>
      <c r="G30" s="19"/>
      <c r="H30" s="19">
        <f t="shared" si="1"/>
        <v>0</v>
      </c>
      <c r="I30" s="19"/>
      <c r="J30" s="134"/>
      <c r="K30" s="177"/>
      <c r="L30" s="178">
        <f t="shared" si="2"/>
        <v>0</v>
      </c>
    </row>
    <row r="31" ht="14.25" customHeight="1">
      <c r="B31" s="26"/>
      <c r="C31" s="19"/>
      <c r="D31" s="19"/>
      <c r="E31" s="19"/>
      <c r="F31" s="19"/>
      <c r="G31" s="19"/>
      <c r="H31" s="19">
        <f t="shared" si="1"/>
        <v>0</v>
      </c>
      <c r="I31" s="19"/>
      <c r="J31" s="134"/>
      <c r="K31" s="177"/>
      <c r="L31" s="178">
        <f t="shared" si="2"/>
        <v>0</v>
      </c>
    </row>
    <row r="32" ht="14.25" customHeight="1">
      <c r="B32" s="26"/>
      <c r="C32" s="19"/>
      <c r="D32" s="19"/>
      <c r="E32" s="19"/>
      <c r="F32" s="19"/>
      <c r="G32" s="19"/>
      <c r="H32" s="19">
        <f t="shared" si="1"/>
        <v>0</v>
      </c>
      <c r="I32" s="19"/>
      <c r="J32" s="134"/>
      <c r="K32" s="177"/>
      <c r="L32" s="178">
        <f t="shared" si="2"/>
        <v>0</v>
      </c>
    </row>
    <row r="33" ht="14.25" customHeight="1">
      <c r="B33" s="26"/>
      <c r="C33" s="19"/>
      <c r="D33" s="19"/>
      <c r="E33" s="19"/>
      <c r="F33" s="19"/>
      <c r="G33" s="19"/>
      <c r="H33" s="19">
        <f t="shared" si="1"/>
        <v>0</v>
      </c>
      <c r="I33" s="19"/>
      <c r="J33" s="134"/>
      <c r="K33" s="177"/>
      <c r="L33" s="178">
        <f t="shared" si="2"/>
        <v>0</v>
      </c>
    </row>
    <row r="34" ht="14.25" customHeight="1">
      <c r="B34" s="26"/>
      <c r="C34" s="19"/>
      <c r="D34" s="19"/>
      <c r="E34" s="19"/>
      <c r="F34" s="19"/>
      <c r="G34" s="19"/>
      <c r="H34" s="19">
        <f t="shared" si="1"/>
        <v>0</v>
      </c>
      <c r="I34" s="19"/>
      <c r="J34" s="134"/>
      <c r="K34" s="177"/>
      <c r="L34" s="178">
        <f t="shared" si="2"/>
        <v>0</v>
      </c>
    </row>
    <row r="35" ht="14.25" customHeight="1">
      <c r="B35" s="26"/>
      <c r="C35" s="19"/>
      <c r="D35" s="19"/>
      <c r="E35" s="19"/>
      <c r="F35" s="19"/>
      <c r="G35" s="19"/>
      <c r="H35" s="19">
        <f t="shared" si="1"/>
        <v>0</v>
      </c>
      <c r="I35" s="19"/>
      <c r="J35" s="134"/>
      <c r="K35" s="177"/>
      <c r="L35" s="178">
        <f t="shared" si="2"/>
        <v>0</v>
      </c>
    </row>
    <row r="36" ht="14.25" customHeight="1">
      <c r="B36" s="26"/>
      <c r="C36" s="19"/>
      <c r="D36" s="19"/>
      <c r="E36" s="19"/>
      <c r="F36" s="19"/>
      <c r="G36" s="19"/>
      <c r="H36" s="19">
        <f t="shared" si="1"/>
        <v>0</v>
      </c>
      <c r="I36" s="19"/>
      <c r="J36" s="134"/>
      <c r="K36" s="177"/>
      <c r="L36" s="178">
        <f t="shared" si="2"/>
        <v>0</v>
      </c>
    </row>
    <row r="37" ht="14.25" customHeight="1">
      <c r="B37" s="26"/>
      <c r="C37" s="19"/>
      <c r="D37" s="19"/>
      <c r="E37" s="19"/>
      <c r="F37" s="19"/>
      <c r="G37" s="19"/>
      <c r="H37" s="19">
        <f t="shared" si="1"/>
        <v>0</v>
      </c>
      <c r="I37" s="19"/>
      <c r="J37" s="134"/>
      <c r="K37" s="177"/>
      <c r="L37" s="178">
        <f t="shared" si="2"/>
        <v>0</v>
      </c>
    </row>
    <row r="38" ht="14.25" customHeight="1">
      <c r="B38" s="26"/>
      <c r="C38" s="19"/>
      <c r="D38" s="19"/>
      <c r="E38" s="19"/>
      <c r="F38" s="19"/>
      <c r="G38" s="19"/>
      <c r="H38" s="19">
        <f t="shared" si="1"/>
        <v>0</v>
      </c>
      <c r="I38" s="19"/>
      <c r="J38" s="134"/>
      <c r="K38" s="177"/>
      <c r="L38" s="178">
        <f t="shared" si="2"/>
        <v>0</v>
      </c>
    </row>
    <row r="39" ht="14.25" customHeight="1">
      <c r="B39" s="26"/>
      <c r="C39" s="19"/>
      <c r="D39" s="19"/>
      <c r="E39" s="19"/>
      <c r="F39" s="19"/>
      <c r="G39" s="19"/>
      <c r="H39" s="19">
        <f t="shared" si="1"/>
        <v>0</v>
      </c>
      <c r="I39" s="19"/>
      <c r="J39" s="134"/>
      <c r="K39" s="177"/>
      <c r="L39" s="178">
        <f t="shared" si="2"/>
        <v>0</v>
      </c>
    </row>
    <row r="40" ht="14.25" customHeight="1">
      <c r="B40" s="26"/>
      <c r="C40" s="19"/>
      <c r="D40" s="19"/>
      <c r="E40" s="19"/>
      <c r="F40" s="19"/>
      <c r="G40" s="19"/>
      <c r="H40" s="19">
        <f t="shared" si="1"/>
        <v>0</v>
      </c>
      <c r="I40" s="19"/>
      <c r="J40" s="134"/>
      <c r="K40" s="177"/>
      <c r="L40" s="178">
        <f t="shared" si="2"/>
        <v>0</v>
      </c>
    </row>
    <row r="41" ht="14.25" customHeight="1">
      <c r="B41" s="26"/>
      <c r="C41" s="19"/>
      <c r="D41" s="19"/>
      <c r="E41" s="19"/>
      <c r="F41" s="19"/>
      <c r="G41" s="19"/>
      <c r="H41" s="19">
        <f t="shared" si="1"/>
        <v>0</v>
      </c>
      <c r="I41" s="19"/>
      <c r="J41" s="134"/>
      <c r="K41" s="177"/>
      <c r="L41" s="178">
        <f t="shared" si="2"/>
        <v>0</v>
      </c>
    </row>
    <row r="42" ht="14.25" customHeight="1">
      <c r="B42" s="26"/>
      <c r="C42" s="19"/>
      <c r="D42" s="19"/>
      <c r="E42" s="19"/>
      <c r="F42" s="19"/>
      <c r="G42" s="19"/>
      <c r="H42" s="19">
        <f t="shared" si="1"/>
        <v>0</v>
      </c>
      <c r="I42" s="19"/>
      <c r="J42" s="134"/>
      <c r="K42" s="177"/>
      <c r="L42" s="178">
        <f t="shared" si="2"/>
        <v>0</v>
      </c>
    </row>
    <row r="43" ht="14.25" customHeight="1">
      <c r="B43" s="26"/>
      <c r="C43" s="19"/>
      <c r="D43" s="19"/>
      <c r="E43" s="19"/>
      <c r="F43" s="19"/>
      <c r="G43" s="19"/>
      <c r="H43" s="19">
        <f t="shared" si="1"/>
        <v>0</v>
      </c>
      <c r="I43" s="19"/>
      <c r="J43" s="134"/>
      <c r="K43" s="177"/>
      <c r="L43" s="178">
        <f t="shared" si="2"/>
        <v>0</v>
      </c>
    </row>
    <row r="44" ht="14.25" customHeight="1">
      <c r="B44" s="26"/>
      <c r="C44" s="19"/>
      <c r="D44" s="19"/>
      <c r="E44" s="19"/>
      <c r="F44" s="19"/>
      <c r="G44" s="19"/>
      <c r="H44" s="19">
        <f t="shared" si="1"/>
        <v>0</v>
      </c>
      <c r="I44" s="19"/>
      <c r="J44" s="134"/>
      <c r="K44" s="177"/>
      <c r="L44" s="178">
        <f t="shared" si="2"/>
        <v>0</v>
      </c>
    </row>
    <row r="45" ht="14.25" customHeight="1">
      <c r="B45" s="26"/>
      <c r="C45" s="19"/>
      <c r="D45" s="19"/>
      <c r="E45" s="19"/>
      <c r="F45" s="19"/>
      <c r="G45" s="19"/>
      <c r="H45" s="19">
        <f t="shared" si="1"/>
        <v>0</v>
      </c>
      <c r="I45" s="19"/>
      <c r="J45" s="134"/>
      <c r="K45" s="177"/>
      <c r="L45" s="178">
        <f t="shared" si="2"/>
        <v>0</v>
      </c>
    </row>
    <row r="46" ht="14.25" customHeight="1">
      <c r="B46" s="26"/>
      <c r="C46" s="19"/>
      <c r="D46" s="19"/>
      <c r="E46" s="19"/>
      <c r="F46" s="19"/>
      <c r="G46" s="19"/>
      <c r="H46" s="19">
        <f t="shared" si="1"/>
        <v>0</v>
      </c>
      <c r="I46" s="19"/>
      <c r="J46" s="134"/>
      <c r="K46" s="177"/>
      <c r="L46" s="178">
        <f t="shared" si="2"/>
        <v>0</v>
      </c>
    </row>
    <row r="47" ht="14.25" customHeight="1">
      <c r="B47" s="26"/>
      <c r="C47" s="19"/>
      <c r="D47" s="19"/>
      <c r="E47" s="19"/>
      <c r="F47" s="19"/>
      <c r="G47" s="19"/>
      <c r="H47" s="19">
        <f t="shared" si="1"/>
        <v>0</v>
      </c>
      <c r="I47" s="19"/>
      <c r="J47" s="134"/>
      <c r="K47" s="177"/>
      <c r="L47" s="178">
        <f t="shared" si="2"/>
        <v>0</v>
      </c>
    </row>
    <row r="48" ht="14.25" customHeight="1">
      <c r="B48" s="26"/>
      <c r="C48" s="19"/>
      <c r="D48" s="19"/>
      <c r="E48" s="19"/>
      <c r="F48" s="19"/>
      <c r="G48" s="19"/>
      <c r="H48" s="19">
        <f t="shared" si="1"/>
        <v>0</v>
      </c>
      <c r="I48" s="19"/>
      <c r="J48" s="134"/>
      <c r="K48" s="177"/>
      <c r="L48" s="178">
        <f t="shared" si="2"/>
        <v>0</v>
      </c>
    </row>
    <row r="49" ht="14.25" customHeight="1">
      <c r="B49" s="26"/>
      <c r="C49" s="19"/>
      <c r="D49" s="19"/>
      <c r="E49" s="19"/>
      <c r="F49" s="19"/>
      <c r="G49" s="19"/>
      <c r="H49" s="19">
        <f t="shared" si="1"/>
        <v>0</v>
      </c>
      <c r="I49" s="19"/>
      <c r="J49" s="134"/>
      <c r="K49" s="177"/>
      <c r="L49" s="178">
        <f t="shared" si="2"/>
        <v>0</v>
      </c>
    </row>
    <row r="50" ht="14.25" customHeight="1">
      <c r="B50" s="26"/>
      <c r="C50" s="19"/>
      <c r="D50" s="19"/>
      <c r="E50" s="19"/>
      <c r="F50" s="19"/>
      <c r="G50" s="19"/>
      <c r="H50" s="19">
        <f t="shared" si="1"/>
        <v>0</v>
      </c>
      <c r="I50" s="19"/>
      <c r="J50" s="134"/>
      <c r="K50" s="177"/>
      <c r="L50" s="178">
        <f t="shared" si="2"/>
        <v>0</v>
      </c>
    </row>
    <row r="51" ht="14.25" customHeight="1">
      <c r="B51" s="26"/>
      <c r="C51" s="19"/>
      <c r="D51" s="19"/>
      <c r="E51" s="19"/>
      <c r="F51" s="19"/>
      <c r="G51" s="19"/>
      <c r="H51" s="19">
        <f t="shared" si="1"/>
        <v>0</v>
      </c>
      <c r="I51" s="19"/>
      <c r="J51" s="134"/>
      <c r="K51" s="177"/>
      <c r="L51" s="178">
        <f t="shared" si="2"/>
        <v>0</v>
      </c>
    </row>
    <row r="52" ht="14.25" customHeight="1">
      <c r="B52" s="26"/>
      <c r="C52" s="19"/>
      <c r="D52" s="19"/>
      <c r="E52" s="19"/>
      <c r="F52" s="19"/>
      <c r="G52" s="19"/>
      <c r="H52" s="19">
        <f t="shared" si="1"/>
        <v>0</v>
      </c>
      <c r="I52" s="19"/>
      <c r="J52" s="134"/>
      <c r="K52" s="177"/>
      <c r="L52" s="178">
        <f t="shared" si="2"/>
        <v>0</v>
      </c>
    </row>
    <row r="53" ht="14.25" customHeight="1">
      <c r="B53" s="26"/>
      <c r="C53" s="19"/>
      <c r="D53" s="19"/>
      <c r="E53" s="19"/>
      <c r="F53" s="19"/>
      <c r="G53" s="19"/>
      <c r="H53" s="19">
        <f t="shared" si="1"/>
        <v>0</v>
      </c>
      <c r="I53" s="19"/>
      <c r="J53" s="134"/>
      <c r="K53" s="177"/>
      <c r="L53" s="178">
        <f t="shared" si="2"/>
        <v>0</v>
      </c>
    </row>
    <row r="54" ht="14.25" customHeight="1">
      <c r="B54" s="26"/>
      <c r="C54" s="19"/>
      <c r="D54" s="19"/>
      <c r="E54" s="19"/>
      <c r="F54" s="19"/>
      <c r="G54" s="19"/>
      <c r="H54" s="19">
        <f t="shared" si="1"/>
        <v>0</v>
      </c>
      <c r="I54" s="19"/>
      <c r="J54" s="134"/>
      <c r="K54" s="177"/>
      <c r="L54" s="178">
        <f t="shared" si="2"/>
        <v>0</v>
      </c>
    </row>
    <row r="55" ht="14.25" customHeight="1">
      <c r="B55" s="26"/>
      <c r="C55" s="19"/>
      <c r="D55" s="19"/>
      <c r="E55" s="19"/>
      <c r="F55" s="19"/>
      <c r="G55" s="19"/>
      <c r="H55" s="19">
        <f t="shared" si="1"/>
        <v>0</v>
      </c>
      <c r="I55" s="19"/>
      <c r="J55" s="134"/>
      <c r="K55" s="177"/>
      <c r="L55" s="178">
        <f t="shared" si="2"/>
        <v>0</v>
      </c>
    </row>
    <row r="56" ht="14.25" customHeight="1">
      <c r="B56" s="26"/>
      <c r="C56" s="19"/>
      <c r="D56" s="19"/>
      <c r="E56" s="19"/>
      <c r="F56" s="19"/>
      <c r="G56" s="19"/>
      <c r="H56" s="19">
        <f t="shared" si="1"/>
        <v>0</v>
      </c>
      <c r="I56" s="19"/>
      <c r="J56" s="134"/>
      <c r="K56" s="177"/>
      <c r="L56" s="178">
        <f t="shared" si="2"/>
        <v>0</v>
      </c>
    </row>
    <row r="57" ht="14.25" customHeight="1">
      <c r="B57" s="26"/>
      <c r="C57" s="19"/>
      <c r="D57" s="19"/>
      <c r="E57" s="19"/>
      <c r="F57" s="19"/>
      <c r="G57" s="19"/>
      <c r="H57" s="19">
        <f t="shared" si="1"/>
        <v>0</v>
      </c>
      <c r="I57" s="19"/>
      <c r="J57" s="134"/>
      <c r="K57" s="177"/>
      <c r="L57" s="178">
        <f t="shared" si="2"/>
        <v>0</v>
      </c>
    </row>
    <row r="58" ht="14.25" customHeight="1">
      <c r="B58" s="26"/>
      <c r="C58" s="19"/>
      <c r="D58" s="19"/>
      <c r="E58" s="19"/>
      <c r="F58" s="19"/>
      <c r="G58" s="19"/>
      <c r="H58" s="19">
        <f t="shared" si="1"/>
        <v>0</v>
      </c>
      <c r="I58" s="19"/>
      <c r="J58" s="134"/>
      <c r="K58" s="177"/>
      <c r="L58" s="178">
        <f t="shared" si="2"/>
        <v>0</v>
      </c>
    </row>
    <row r="59" ht="14.25" customHeight="1">
      <c r="B59" s="26"/>
      <c r="C59" s="19"/>
      <c r="D59" s="19"/>
      <c r="E59" s="19"/>
      <c r="F59" s="19"/>
      <c r="G59" s="19"/>
      <c r="H59" s="19">
        <f t="shared" si="1"/>
        <v>0</v>
      </c>
      <c r="I59" s="19"/>
      <c r="J59" s="134"/>
      <c r="K59" s="177"/>
      <c r="L59" s="178">
        <f t="shared" si="2"/>
        <v>0</v>
      </c>
    </row>
    <row r="60" ht="14.25" customHeight="1">
      <c r="J60" s="134"/>
      <c r="K60" s="177"/>
      <c r="L60" s="178">
        <f t="shared" si="2"/>
        <v>0</v>
      </c>
    </row>
    <row r="61" ht="14.25" customHeight="1">
      <c r="J61" s="134"/>
      <c r="K61" s="177"/>
    </row>
    <row r="62" ht="14.25" customHeight="1">
      <c r="J62" s="134"/>
      <c r="K62" s="177"/>
    </row>
    <row r="63" ht="14.25" customHeight="1">
      <c r="J63" s="134"/>
      <c r="K63" s="177"/>
    </row>
    <row r="64" ht="14.25" customHeight="1">
      <c r="J64" s="19"/>
      <c r="K64" s="177"/>
    </row>
    <row r="65" ht="14.25" customHeight="1">
      <c r="J65" s="19"/>
      <c r="K65" s="177"/>
    </row>
    <row r="66" ht="14.25" customHeight="1">
      <c r="K66" s="177"/>
    </row>
    <row r="67" ht="14.25" customHeight="1">
      <c r="K67" s="177"/>
    </row>
    <row r="68" ht="14.25" customHeight="1">
      <c r="K68" s="177"/>
    </row>
    <row r="69" ht="14.25" customHeight="1">
      <c r="K69" s="177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4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22.29"/>
    <col customWidth="1" min="4" max="4" width="16.57"/>
    <col customWidth="1" min="5" max="5" width="15.29"/>
    <col customWidth="1" min="6" max="6" width="15.0"/>
    <col customWidth="1" min="7" max="7" width="16.0"/>
    <col customWidth="1" min="8" max="8" width="39.71"/>
    <col customWidth="1" min="9" max="9" width="19.71"/>
    <col customWidth="1" min="10" max="20" width="8.71"/>
  </cols>
  <sheetData>
    <row r="1" ht="90.0" hidden="1" customHeight="1"/>
    <row r="2" ht="21.0" customHeight="1">
      <c r="B2" s="152" t="s">
        <v>983</v>
      </c>
      <c r="C2" s="4"/>
      <c r="D2" s="4"/>
      <c r="E2" s="4"/>
      <c r="F2" s="4"/>
      <c r="G2" s="4"/>
      <c r="H2" s="5"/>
      <c r="I2" s="6"/>
      <c r="J2" s="6"/>
      <c r="K2" s="6"/>
      <c r="L2" s="6"/>
      <c r="M2" s="6"/>
    </row>
    <row r="3" ht="48.0" customHeight="1">
      <c r="B3" s="7"/>
      <c r="H3" s="8"/>
      <c r="I3" s="6"/>
      <c r="J3" s="6"/>
      <c r="K3" s="6"/>
      <c r="L3" s="6"/>
      <c r="M3" s="6"/>
      <c r="P3" s="9"/>
      <c r="Q3" s="9"/>
      <c r="R3" s="9"/>
      <c r="S3" s="9"/>
      <c r="T3" s="9"/>
    </row>
    <row r="4" ht="15.0" customHeight="1">
      <c r="B4" s="7"/>
      <c r="H4" s="8"/>
      <c r="I4" s="6"/>
      <c r="J4" s="6"/>
      <c r="K4" s="6"/>
      <c r="L4" s="6"/>
      <c r="M4" s="6"/>
      <c r="P4" s="9"/>
      <c r="Q4" s="9"/>
      <c r="R4" s="9"/>
      <c r="S4" s="9"/>
      <c r="T4" s="9"/>
    </row>
    <row r="5" ht="15.0" customHeight="1">
      <c r="B5" s="10"/>
      <c r="C5" s="11"/>
      <c r="D5" s="11"/>
      <c r="E5" s="11"/>
      <c r="F5" s="11"/>
      <c r="G5" s="11"/>
      <c r="H5" s="12"/>
      <c r="I5" s="6"/>
      <c r="J5" s="6"/>
      <c r="K5" s="6"/>
      <c r="L5" s="6"/>
      <c r="M5" s="6"/>
      <c r="Q5" s="9"/>
      <c r="R5" s="9"/>
      <c r="S5" s="9"/>
      <c r="T5" s="9"/>
    </row>
    <row r="6" ht="14.25" customHeight="1">
      <c r="B6" s="174" t="s">
        <v>984</v>
      </c>
      <c r="C6" s="15" t="s">
        <v>5</v>
      </c>
      <c r="D6" s="15" t="s">
        <v>985</v>
      </c>
      <c r="E6" s="15" t="s">
        <v>986</v>
      </c>
      <c r="F6" s="15" t="s">
        <v>987</v>
      </c>
      <c r="G6" s="15" t="s">
        <v>474</v>
      </c>
      <c r="H6" s="15" t="s">
        <v>10</v>
      </c>
      <c r="K6" s="16"/>
      <c r="L6" s="9"/>
      <c r="M6" s="9"/>
      <c r="N6" s="9"/>
    </row>
    <row r="7" ht="14.25" customHeight="1">
      <c r="B7" s="175"/>
      <c r="C7" s="19"/>
      <c r="D7" s="19"/>
      <c r="E7" s="19"/>
      <c r="F7" s="19"/>
      <c r="G7" s="19"/>
      <c r="H7" s="19"/>
      <c r="K7" s="16"/>
      <c r="L7" s="9"/>
      <c r="M7" s="9"/>
      <c r="N7" s="9"/>
    </row>
    <row r="8" ht="14.25" customHeight="1">
      <c r="B8" s="175"/>
      <c r="C8" s="19"/>
      <c r="D8" s="19"/>
      <c r="E8" s="19"/>
      <c r="F8" s="19"/>
      <c r="G8" s="19"/>
      <c r="H8" s="19"/>
      <c r="K8" s="16"/>
      <c r="L8" s="9"/>
      <c r="M8" s="9"/>
      <c r="N8" s="9"/>
    </row>
    <row r="9" ht="14.25" customHeight="1">
      <c r="B9" s="175"/>
      <c r="C9" s="19"/>
      <c r="D9" s="19"/>
      <c r="E9" s="19"/>
      <c r="F9" s="19"/>
      <c r="G9" s="19"/>
      <c r="H9" s="19"/>
      <c r="K9" s="16"/>
      <c r="L9" s="9"/>
      <c r="M9" s="9"/>
      <c r="N9" s="9"/>
    </row>
    <row r="10" ht="14.25" customHeight="1">
      <c r="B10" s="175"/>
      <c r="C10" s="19"/>
      <c r="D10" s="19"/>
      <c r="E10" s="19"/>
      <c r="F10" s="19"/>
      <c r="G10" s="19"/>
      <c r="H10" s="19"/>
      <c r="K10" s="16"/>
      <c r="L10" s="9"/>
      <c r="M10" s="9"/>
      <c r="N10" s="9"/>
    </row>
    <row r="11" ht="14.25" customHeight="1">
      <c r="B11" s="175"/>
      <c r="C11" s="19"/>
      <c r="D11" s="19"/>
      <c r="E11" s="19"/>
      <c r="F11" s="19"/>
      <c r="G11" s="19"/>
      <c r="H11" s="19"/>
      <c r="K11" s="16"/>
      <c r="L11" s="9"/>
      <c r="M11" s="9"/>
      <c r="N11" s="9"/>
    </row>
    <row r="12" ht="14.25" customHeight="1">
      <c r="B12" s="175"/>
      <c r="C12" s="19"/>
      <c r="D12" s="19"/>
      <c r="E12" s="19"/>
      <c r="F12" s="19"/>
      <c r="G12" s="19"/>
      <c r="H12" s="19"/>
      <c r="K12" s="16"/>
      <c r="L12" s="9"/>
      <c r="M12" s="9"/>
      <c r="N12" s="9"/>
    </row>
    <row r="13" ht="14.25" customHeight="1">
      <c r="B13" s="175"/>
      <c r="C13" s="19"/>
      <c r="D13" s="19"/>
      <c r="E13" s="19"/>
      <c r="F13" s="19"/>
      <c r="G13" s="19"/>
      <c r="H13" s="19"/>
      <c r="K13" s="16"/>
      <c r="L13" s="9"/>
      <c r="M13" s="9"/>
      <c r="N13" s="9"/>
    </row>
    <row r="14" ht="14.25" customHeight="1">
      <c r="B14" s="175"/>
      <c r="C14" s="19"/>
      <c r="D14" s="19"/>
      <c r="E14" s="19"/>
      <c r="F14" s="19"/>
      <c r="G14" s="19"/>
      <c r="H14" s="19"/>
      <c r="K14" s="16"/>
      <c r="L14" s="9"/>
      <c r="M14" s="9"/>
      <c r="N14" s="9"/>
    </row>
    <row r="15" ht="14.25" customHeight="1">
      <c r="B15" s="175"/>
      <c r="C15" s="19"/>
      <c r="D15" s="19"/>
      <c r="E15" s="19"/>
      <c r="F15" s="19"/>
      <c r="G15" s="19"/>
      <c r="H15" s="19"/>
      <c r="L15" s="9"/>
      <c r="M15" s="9"/>
      <c r="N15" s="9"/>
    </row>
    <row r="16" ht="14.25" customHeight="1">
      <c r="B16" s="175"/>
      <c r="C16" s="19"/>
      <c r="D16" s="19"/>
      <c r="E16" s="19"/>
      <c r="F16" s="19"/>
      <c r="G16" s="19"/>
      <c r="H16" s="19"/>
    </row>
    <row r="17" ht="14.25" customHeight="1">
      <c r="B17" s="175"/>
      <c r="C17" s="19"/>
      <c r="D17" s="19"/>
      <c r="E17" s="19"/>
      <c r="F17" s="19"/>
      <c r="G17" s="19"/>
      <c r="H17" s="19"/>
    </row>
    <row r="18" ht="14.25" customHeight="1">
      <c r="B18" s="26"/>
      <c r="C18" s="19"/>
      <c r="D18" s="19"/>
      <c r="E18" s="19"/>
      <c r="F18" s="19"/>
      <c r="G18" s="19"/>
      <c r="H18" s="19"/>
    </row>
    <row r="19" ht="14.25" customHeight="1">
      <c r="B19" s="26"/>
      <c r="C19" s="19"/>
      <c r="D19" s="19"/>
      <c r="E19" s="19"/>
      <c r="F19" s="19"/>
      <c r="G19" s="19"/>
      <c r="H19" s="19"/>
    </row>
    <row r="20" ht="14.25" customHeight="1">
      <c r="B20" s="26"/>
      <c r="C20" s="19"/>
      <c r="D20" s="19"/>
      <c r="E20" s="19"/>
      <c r="F20" s="19"/>
      <c r="G20" s="19"/>
      <c r="H20" s="19"/>
    </row>
    <row r="21" ht="14.25" customHeight="1">
      <c r="B21" s="26"/>
      <c r="C21" s="19"/>
      <c r="D21" s="19"/>
      <c r="E21" s="19"/>
      <c r="F21" s="19"/>
      <c r="G21" s="19"/>
      <c r="H21" s="19"/>
    </row>
    <row r="22" ht="14.25" customHeight="1">
      <c r="B22" s="26"/>
      <c r="C22" s="19"/>
      <c r="D22" s="19"/>
      <c r="E22" s="19"/>
      <c r="F22" s="19"/>
      <c r="G22" s="19"/>
      <c r="H22" s="19"/>
    </row>
    <row r="23" ht="14.25" customHeight="1">
      <c r="B23" s="26"/>
      <c r="C23" s="19"/>
      <c r="D23" s="19"/>
      <c r="E23" s="19"/>
      <c r="F23" s="19"/>
      <c r="G23" s="19"/>
      <c r="H23" s="19"/>
    </row>
    <row r="24" ht="14.25" customHeight="1">
      <c r="B24" s="26"/>
      <c r="C24" s="19"/>
      <c r="D24" s="19"/>
      <c r="E24" s="19"/>
      <c r="F24" s="19"/>
      <c r="G24" s="19"/>
      <c r="H24" s="19"/>
    </row>
    <row r="25" ht="16.5" customHeight="1">
      <c r="B25" s="26"/>
      <c r="C25" s="19"/>
      <c r="D25" s="19"/>
      <c r="E25" s="19"/>
      <c r="F25" s="19"/>
      <c r="G25" s="19"/>
      <c r="H25" s="19"/>
    </row>
    <row r="26" ht="14.25" customHeight="1">
      <c r="B26" s="26"/>
      <c r="C26" s="19"/>
      <c r="D26" s="19"/>
      <c r="E26" s="19"/>
      <c r="F26" s="19"/>
      <c r="G26" s="19"/>
      <c r="H26" s="19"/>
    </row>
    <row r="27" ht="14.25" customHeight="1">
      <c r="B27" s="26"/>
      <c r="C27" s="19"/>
      <c r="D27" s="19"/>
      <c r="E27" s="19"/>
      <c r="F27" s="19"/>
      <c r="G27" s="19"/>
      <c r="H27" s="26"/>
    </row>
    <row r="28" ht="14.25" customHeight="1">
      <c r="B28" s="26"/>
      <c r="C28" s="19"/>
      <c r="D28" s="19"/>
      <c r="E28" s="19"/>
      <c r="F28" s="19"/>
      <c r="G28" s="19"/>
      <c r="H28" s="19"/>
    </row>
    <row r="29" ht="14.25" customHeight="1">
      <c r="B29" s="26"/>
      <c r="C29" s="19"/>
      <c r="D29" s="19"/>
      <c r="E29" s="19"/>
      <c r="F29" s="19"/>
      <c r="G29" s="19"/>
      <c r="H29" s="19"/>
    </row>
    <row r="30" ht="14.25" customHeight="1">
      <c r="B30" s="26"/>
      <c r="C30" s="19"/>
      <c r="D30" s="19"/>
      <c r="E30" s="19"/>
      <c r="F30" s="19"/>
      <c r="G30" s="19"/>
      <c r="H30" s="19"/>
    </row>
    <row r="31" ht="14.25" customHeight="1">
      <c r="B31" s="26"/>
      <c r="C31" s="19"/>
      <c r="D31" s="19"/>
      <c r="E31" s="19"/>
      <c r="F31" s="19"/>
      <c r="G31" s="19"/>
      <c r="H31" s="19"/>
    </row>
    <row r="32" ht="14.25" customHeight="1">
      <c r="B32" s="26"/>
      <c r="C32" s="19"/>
      <c r="D32" s="19"/>
      <c r="E32" s="19"/>
      <c r="F32" s="19"/>
      <c r="G32" s="19"/>
      <c r="H32" s="19"/>
    </row>
    <row r="33" ht="14.25" customHeight="1">
      <c r="B33" s="26"/>
      <c r="C33" s="19"/>
      <c r="D33" s="19"/>
      <c r="E33" s="19"/>
      <c r="F33" s="19"/>
      <c r="G33" s="19"/>
      <c r="H33" s="19"/>
    </row>
    <row r="34" ht="14.25" customHeight="1">
      <c r="B34" s="26"/>
      <c r="C34" s="19"/>
      <c r="D34" s="19"/>
      <c r="E34" s="19"/>
      <c r="F34" s="19"/>
      <c r="G34" s="19"/>
      <c r="H34" s="19"/>
    </row>
    <row r="35" ht="14.25" customHeight="1">
      <c r="B35" s="26"/>
      <c r="C35" s="19"/>
      <c r="D35" s="19"/>
      <c r="E35" s="19"/>
      <c r="F35" s="19"/>
      <c r="G35" s="19"/>
      <c r="H35" s="19"/>
    </row>
    <row r="36" ht="14.25" customHeight="1">
      <c r="B36" s="26"/>
      <c r="C36" s="19"/>
      <c r="D36" s="19"/>
      <c r="E36" s="19"/>
      <c r="F36" s="19"/>
      <c r="G36" s="19"/>
      <c r="H36" s="19"/>
    </row>
    <row r="37" ht="14.25" customHeight="1">
      <c r="B37" s="26"/>
      <c r="C37" s="19"/>
      <c r="D37" s="19"/>
      <c r="E37" s="19"/>
      <c r="F37" s="19"/>
      <c r="G37" s="19"/>
      <c r="H37" s="19"/>
    </row>
    <row r="38" ht="14.25" customHeight="1">
      <c r="B38" s="26"/>
      <c r="C38" s="19"/>
      <c r="D38" s="19"/>
      <c r="E38" s="19"/>
      <c r="F38" s="19"/>
      <c r="G38" s="19"/>
      <c r="H38" s="19"/>
    </row>
    <row r="39" ht="14.25" customHeight="1">
      <c r="B39" s="26"/>
      <c r="C39" s="19"/>
      <c r="D39" s="19"/>
      <c r="E39" s="19"/>
      <c r="F39" s="19"/>
      <c r="G39" s="19"/>
      <c r="H39" s="26"/>
    </row>
    <row r="40" ht="14.25" customHeight="1">
      <c r="B40" s="26"/>
      <c r="C40" s="19"/>
      <c r="D40" s="19"/>
      <c r="E40" s="19"/>
      <c r="F40" s="19"/>
      <c r="G40" s="19"/>
      <c r="H40" s="19"/>
    </row>
    <row r="41" ht="14.25" customHeight="1">
      <c r="B41" s="26"/>
      <c r="C41" s="19"/>
      <c r="D41" s="19"/>
      <c r="E41" s="19"/>
      <c r="F41" s="19"/>
      <c r="G41" s="19"/>
      <c r="H41" s="19"/>
    </row>
    <row r="42" ht="14.25" customHeight="1">
      <c r="B42" s="26"/>
      <c r="C42" s="19"/>
      <c r="D42" s="19"/>
      <c r="E42" s="19"/>
      <c r="F42" s="19"/>
      <c r="G42" s="19"/>
      <c r="H42" s="19"/>
    </row>
    <row r="43" ht="14.25" customHeight="1">
      <c r="B43" s="26"/>
      <c r="C43" s="19"/>
      <c r="D43" s="19"/>
      <c r="E43" s="19"/>
      <c r="F43" s="19"/>
      <c r="G43" s="19"/>
      <c r="H43" s="19"/>
    </row>
    <row r="44" ht="14.25" customHeight="1">
      <c r="B44" s="26"/>
      <c r="C44" s="19"/>
      <c r="D44" s="19"/>
      <c r="E44" s="19"/>
      <c r="F44" s="19"/>
      <c r="G44" s="19"/>
      <c r="H44" s="19"/>
    </row>
    <row r="45" ht="14.25" customHeight="1">
      <c r="B45" s="26"/>
      <c r="C45" s="19"/>
      <c r="D45" s="19"/>
      <c r="E45" s="19"/>
      <c r="F45" s="19"/>
      <c r="G45" s="19"/>
      <c r="H45" s="19"/>
    </row>
    <row r="46" ht="14.25" customHeight="1">
      <c r="B46" s="26"/>
      <c r="C46" s="19"/>
      <c r="D46" s="19"/>
      <c r="E46" s="19"/>
      <c r="F46" s="19"/>
      <c r="G46" s="19"/>
      <c r="H46" s="19"/>
    </row>
    <row r="47" ht="14.25" customHeight="1">
      <c r="B47" s="26"/>
      <c r="C47" s="19"/>
      <c r="D47" s="19"/>
      <c r="E47" s="19"/>
      <c r="F47" s="19"/>
      <c r="G47" s="19"/>
      <c r="H47" s="19"/>
    </row>
    <row r="48" ht="14.25" customHeight="1">
      <c r="B48" s="26"/>
      <c r="C48" s="19"/>
      <c r="D48" s="19"/>
      <c r="E48" s="19"/>
      <c r="F48" s="19"/>
      <c r="G48" s="19"/>
      <c r="H48" s="19"/>
    </row>
    <row r="49" ht="14.25" customHeight="1">
      <c r="B49" s="26"/>
      <c r="C49" s="19"/>
      <c r="D49" s="19"/>
      <c r="E49" s="19"/>
      <c r="F49" s="19"/>
      <c r="G49" s="19"/>
      <c r="H49" s="19"/>
    </row>
    <row r="50" ht="14.25" customHeight="1">
      <c r="B50" s="26"/>
      <c r="C50" s="19"/>
      <c r="D50" s="19"/>
      <c r="E50" s="19"/>
      <c r="F50" s="19"/>
      <c r="G50" s="19"/>
      <c r="H50" s="19"/>
    </row>
    <row r="51" ht="14.25" customHeight="1">
      <c r="B51" s="26"/>
      <c r="C51" s="19"/>
      <c r="D51" s="19"/>
      <c r="E51" s="19"/>
      <c r="F51" s="19"/>
      <c r="G51" s="19"/>
      <c r="H51" s="26"/>
    </row>
    <row r="52" ht="14.25" customHeight="1">
      <c r="B52" s="26"/>
      <c r="C52" s="19"/>
      <c r="D52" s="19"/>
      <c r="E52" s="19"/>
      <c r="F52" s="19"/>
      <c r="G52" s="19"/>
      <c r="H52" s="19"/>
    </row>
    <row r="53" ht="14.25" customHeight="1">
      <c r="B53" s="26"/>
      <c r="C53" s="19"/>
      <c r="D53" s="19"/>
      <c r="E53" s="19"/>
      <c r="F53" s="19"/>
      <c r="G53" s="19"/>
      <c r="H53" s="19"/>
    </row>
    <row r="54" ht="14.25" customHeight="1">
      <c r="B54" s="26"/>
      <c r="C54" s="19"/>
      <c r="D54" s="19"/>
      <c r="E54" s="19"/>
      <c r="F54" s="19"/>
      <c r="G54" s="19"/>
      <c r="H54" s="19"/>
    </row>
    <row r="55" ht="14.25" customHeight="1">
      <c r="B55" s="26"/>
      <c r="C55" s="19"/>
      <c r="D55" s="19"/>
      <c r="E55" s="19"/>
      <c r="F55" s="19"/>
      <c r="G55" s="19"/>
      <c r="H55" s="19"/>
    </row>
    <row r="56" ht="14.25" customHeight="1">
      <c r="B56" s="26"/>
      <c r="C56" s="19"/>
      <c r="D56" s="19"/>
      <c r="E56" s="19"/>
      <c r="F56" s="19"/>
      <c r="G56" s="19"/>
      <c r="H56" s="19"/>
    </row>
    <row r="57" ht="14.25" customHeight="1">
      <c r="B57" s="26"/>
      <c r="C57" s="19"/>
      <c r="D57" s="19"/>
      <c r="E57" s="19"/>
      <c r="F57" s="19"/>
      <c r="G57" s="19"/>
      <c r="H57" s="19"/>
    </row>
    <row r="58" ht="14.25" customHeight="1">
      <c r="B58" s="26"/>
      <c r="C58" s="19"/>
      <c r="D58" s="19"/>
      <c r="E58" s="19"/>
      <c r="F58" s="19"/>
      <c r="G58" s="19"/>
      <c r="H58" s="19"/>
    </row>
    <row r="59" ht="14.25" customHeight="1">
      <c r="B59" s="26"/>
      <c r="C59" s="19"/>
      <c r="D59" s="19"/>
      <c r="E59" s="19"/>
      <c r="F59" s="19"/>
      <c r="G59" s="19"/>
      <c r="H59" s="19"/>
    </row>
    <row r="60" ht="14.25" customHeight="1">
      <c r="B60" s="26"/>
      <c r="C60" s="19"/>
      <c r="D60" s="19"/>
      <c r="E60" s="19"/>
      <c r="F60" s="19"/>
      <c r="G60" s="19"/>
      <c r="H60" s="19"/>
    </row>
    <row r="61" ht="14.25" customHeight="1">
      <c r="B61" s="26"/>
      <c r="C61" s="19"/>
      <c r="D61" s="19"/>
      <c r="E61" s="19"/>
      <c r="F61" s="19"/>
      <c r="G61" s="19"/>
      <c r="H61" s="19"/>
    </row>
    <row r="62" ht="14.25" customHeight="1">
      <c r="B62" s="26"/>
      <c r="C62" s="19"/>
      <c r="D62" s="19"/>
      <c r="E62" s="19"/>
      <c r="F62" s="19"/>
      <c r="G62" s="19"/>
      <c r="H62" s="19"/>
    </row>
    <row r="63" ht="14.25" customHeight="1">
      <c r="B63" s="26"/>
      <c r="C63" s="19"/>
      <c r="D63" s="19"/>
      <c r="E63" s="19"/>
      <c r="F63" s="19"/>
      <c r="G63" s="19"/>
      <c r="H63" s="26"/>
    </row>
    <row r="64" ht="14.25" customHeight="1">
      <c r="B64" s="26"/>
      <c r="C64" s="19"/>
      <c r="D64" s="19"/>
      <c r="E64" s="19"/>
      <c r="F64" s="19"/>
      <c r="G64" s="19"/>
      <c r="H64" s="19"/>
    </row>
    <row r="65" ht="14.25" customHeight="1">
      <c r="B65" s="26"/>
      <c r="C65" s="19"/>
      <c r="D65" s="19"/>
      <c r="E65" s="19"/>
      <c r="F65" s="19"/>
      <c r="G65" s="19"/>
      <c r="H65" s="19"/>
    </row>
    <row r="66" ht="14.25" customHeight="1">
      <c r="B66" s="26"/>
      <c r="C66" s="19"/>
      <c r="D66" s="19"/>
      <c r="E66" s="19"/>
      <c r="F66" s="19"/>
      <c r="G66" s="19"/>
      <c r="H66" s="19"/>
    </row>
    <row r="67" ht="14.25" customHeight="1">
      <c r="B67" s="26"/>
      <c r="C67" s="19"/>
      <c r="D67" s="19"/>
      <c r="E67" s="19"/>
      <c r="F67" s="19"/>
      <c r="G67" s="19"/>
      <c r="H67" s="19"/>
    </row>
    <row r="68" ht="14.25" customHeight="1">
      <c r="B68" s="26"/>
      <c r="C68" s="19"/>
      <c r="D68" s="19"/>
      <c r="E68" s="19"/>
      <c r="F68" s="19"/>
      <c r="G68" s="19"/>
      <c r="H68" s="19"/>
    </row>
    <row r="69" ht="14.25" customHeight="1">
      <c r="B69" s="26"/>
      <c r="C69" s="19"/>
      <c r="D69" s="19"/>
      <c r="E69" s="19"/>
      <c r="F69" s="19"/>
      <c r="G69" s="19"/>
      <c r="H69" s="19"/>
    </row>
    <row r="70" ht="14.25" customHeight="1">
      <c r="B70" s="26"/>
      <c r="C70" s="19"/>
      <c r="D70" s="19"/>
      <c r="E70" s="19"/>
      <c r="F70" s="19"/>
      <c r="G70" s="19"/>
      <c r="H70" s="19"/>
    </row>
    <row r="71" ht="14.25" customHeight="1">
      <c r="B71" s="26"/>
      <c r="C71" s="19"/>
      <c r="D71" s="19"/>
      <c r="E71" s="19"/>
      <c r="F71" s="19"/>
      <c r="G71" s="19"/>
      <c r="H71" s="19"/>
    </row>
    <row r="72" ht="14.25" customHeight="1">
      <c r="B72" s="26"/>
      <c r="C72" s="19"/>
      <c r="D72" s="19"/>
      <c r="E72" s="19"/>
      <c r="F72" s="19"/>
      <c r="G72" s="19"/>
      <c r="H72" s="19"/>
    </row>
    <row r="73" ht="14.25" customHeight="1">
      <c r="B73" s="180"/>
      <c r="C73" s="181"/>
      <c r="D73" s="181"/>
      <c r="E73" s="181"/>
      <c r="F73" s="181"/>
      <c r="G73" s="181"/>
      <c r="H73" s="181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6.71"/>
    <col customWidth="1" min="3" max="3" width="37.29"/>
    <col customWidth="1" min="4" max="4" width="16.0"/>
    <col customWidth="1" min="5" max="5" width="18.14"/>
    <col customWidth="1" min="6" max="7" width="20.57"/>
    <col customWidth="1" min="8" max="8" width="54.43"/>
    <col customWidth="1" min="9" max="9" width="14.43"/>
    <col customWidth="1" hidden="1" min="10" max="10" width="12.29"/>
    <col customWidth="1" min="11" max="11" width="42.43"/>
    <col customWidth="1" min="12" max="12" width="14.71"/>
    <col customWidth="1" min="13" max="13" width="17.71"/>
    <col customWidth="1" min="14" max="20" width="8.86"/>
  </cols>
  <sheetData>
    <row r="1" ht="14.25" customHeight="1"/>
    <row r="2" ht="21.0" customHeight="1">
      <c r="B2" s="152" t="s">
        <v>983</v>
      </c>
      <c r="C2" s="4"/>
      <c r="D2" s="4"/>
      <c r="E2" s="4"/>
      <c r="F2" s="4"/>
      <c r="G2" s="4"/>
      <c r="H2" s="5"/>
      <c r="I2" s="6"/>
      <c r="J2" s="6"/>
      <c r="K2" s="6"/>
      <c r="L2" s="6"/>
      <c r="M2" s="6"/>
    </row>
    <row r="3" ht="21.0" customHeight="1">
      <c r="B3" s="7"/>
      <c r="H3" s="8"/>
      <c r="I3" s="6"/>
      <c r="J3" s="6"/>
      <c r="K3" s="6"/>
      <c r="L3" s="6"/>
      <c r="M3" s="6"/>
      <c r="P3" s="9"/>
      <c r="Q3" s="9"/>
      <c r="R3" s="9"/>
      <c r="S3" s="9"/>
      <c r="T3" s="9"/>
    </row>
    <row r="4" ht="15.0" customHeight="1">
      <c r="B4" s="7"/>
      <c r="H4" s="8"/>
      <c r="I4" s="6"/>
      <c r="J4" s="6"/>
      <c r="K4" s="6"/>
      <c r="L4" s="6"/>
      <c r="M4" s="6"/>
      <c r="P4" s="9"/>
      <c r="Q4" s="9"/>
      <c r="R4" s="9"/>
      <c r="S4" s="9"/>
      <c r="T4" s="9"/>
    </row>
    <row r="5" ht="15.0" customHeight="1">
      <c r="B5" s="10"/>
      <c r="C5" s="11"/>
      <c r="D5" s="11"/>
      <c r="E5" s="11"/>
      <c r="F5" s="11"/>
      <c r="G5" s="11"/>
      <c r="H5" s="12"/>
      <c r="I5" s="6"/>
      <c r="J5" s="6"/>
      <c r="K5" s="6"/>
      <c r="L5" s="6"/>
      <c r="M5" s="6"/>
      <c r="Q5" s="9"/>
      <c r="R5" s="9"/>
      <c r="S5" s="9"/>
      <c r="T5" s="9"/>
    </row>
    <row r="6" ht="14.25" customHeight="1">
      <c r="B6" s="174" t="s">
        <v>984</v>
      </c>
      <c r="C6" s="15" t="s">
        <v>5</v>
      </c>
      <c r="D6" s="15" t="s">
        <v>985</v>
      </c>
      <c r="E6" s="15" t="s">
        <v>986</v>
      </c>
      <c r="F6" s="15" t="s">
        <v>987</v>
      </c>
      <c r="G6" s="15" t="s">
        <v>474</v>
      </c>
      <c r="H6" s="15" t="s">
        <v>10</v>
      </c>
      <c r="K6" s="16"/>
      <c r="L6" s="9"/>
      <c r="M6" s="9"/>
      <c r="N6" s="9"/>
    </row>
    <row r="7" ht="14.25" customHeight="1">
      <c r="B7" s="175"/>
      <c r="C7" s="19"/>
      <c r="D7" s="19"/>
      <c r="E7" s="19"/>
      <c r="F7" s="19"/>
      <c r="G7" s="19"/>
      <c r="H7" s="19"/>
      <c r="K7" s="16"/>
      <c r="L7" s="9"/>
      <c r="M7" s="9"/>
      <c r="N7" s="9"/>
    </row>
    <row r="8" ht="14.25" customHeight="1">
      <c r="B8" s="175"/>
      <c r="C8" s="19"/>
      <c r="D8" s="19"/>
      <c r="E8" s="19"/>
      <c r="F8" s="19"/>
      <c r="G8" s="19"/>
      <c r="H8" s="19"/>
      <c r="K8" s="16"/>
      <c r="L8" s="9"/>
      <c r="M8" s="9"/>
      <c r="N8" s="9"/>
    </row>
    <row r="9" ht="14.25" customHeight="1">
      <c r="B9" s="175"/>
      <c r="C9" s="19"/>
      <c r="D9" s="19"/>
      <c r="E9" s="19"/>
      <c r="F9" s="19"/>
      <c r="G9" s="19"/>
      <c r="H9" s="19"/>
      <c r="K9" s="16"/>
      <c r="L9" s="9"/>
      <c r="M9" s="9"/>
      <c r="N9" s="9"/>
    </row>
    <row r="10" ht="14.25" customHeight="1">
      <c r="B10" s="175"/>
      <c r="C10" s="19"/>
      <c r="D10" s="19"/>
      <c r="E10" s="19"/>
      <c r="F10" s="19"/>
      <c r="G10" s="19"/>
      <c r="H10" s="19"/>
      <c r="K10" s="16"/>
      <c r="L10" s="9"/>
      <c r="M10" s="9"/>
      <c r="N10" s="9"/>
    </row>
    <row r="11" ht="14.25" customHeight="1">
      <c r="B11" s="175"/>
      <c r="C11" s="19"/>
      <c r="D11" s="19"/>
      <c r="E11" s="19"/>
      <c r="F11" s="19"/>
      <c r="G11" s="19"/>
      <c r="H11" s="19"/>
      <c r="K11" s="16"/>
      <c r="L11" s="9"/>
      <c r="M11" s="9"/>
      <c r="N11" s="9"/>
    </row>
    <row r="12" ht="14.25" customHeight="1">
      <c r="B12" s="175"/>
      <c r="C12" s="19"/>
      <c r="D12" s="19"/>
      <c r="E12" s="19"/>
      <c r="F12" s="19"/>
      <c r="G12" s="19"/>
      <c r="H12" s="19"/>
      <c r="K12" s="16"/>
      <c r="L12" s="9"/>
      <c r="M12" s="9"/>
      <c r="N12" s="9"/>
    </row>
    <row r="13" ht="14.25" customHeight="1">
      <c r="B13" s="175"/>
      <c r="C13" s="19"/>
      <c r="D13" s="19"/>
      <c r="E13" s="19"/>
      <c r="F13" s="19"/>
      <c r="G13" s="19"/>
      <c r="H13" s="19"/>
      <c r="K13" s="16"/>
      <c r="L13" s="9"/>
      <c r="M13" s="9"/>
      <c r="N13" s="9"/>
    </row>
    <row r="14" ht="14.25" customHeight="1">
      <c r="B14" s="175"/>
      <c r="C14" s="19"/>
      <c r="D14" s="19"/>
      <c r="E14" s="19"/>
      <c r="F14" s="19"/>
      <c r="G14" s="19"/>
      <c r="H14" s="19"/>
      <c r="K14" s="16"/>
      <c r="L14" s="9"/>
      <c r="M14" s="9"/>
      <c r="N14" s="9"/>
    </row>
    <row r="15" ht="14.25" customHeight="1">
      <c r="B15" s="175"/>
      <c r="C15" s="19"/>
      <c r="D15" s="19"/>
      <c r="E15" s="19"/>
      <c r="F15" s="19"/>
      <c r="G15" s="19"/>
      <c r="H15" s="19"/>
      <c r="L15" s="9"/>
      <c r="M15" s="9"/>
      <c r="N15" s="9"/>
    </row>
    <row r="16" ht="14.25" customHeight="1">
      <c r="B16" s="175"/>
      <c r="C16" s="19"/>
      <c r="D16" s="19"/>
      <c r="E16" s="19"/>
      <c r="F16" s="19"/>
      <c r="G16" s="19"/>
      <c r="H16" s="19"/>
    </row>
    <row r="17" ht="14.25" customHeight="1">
      <c r="B17" s="175"/>
      <c r="C17" s="19"/>
      <c r="D17" s="19"/>
      <c r="E17" s="19"/>
      <c r="F17" s="19"/>
      <c r="G17" s="19"/>
      <c r="H17" s="19"/>
    </row>
    <row r="18" ht="14.25" customHeight="1">
      <c r="B18" s="26"/>
      <c r="C18" s="19"/>
      <c r="D18" s="19"/>
      <c r="E18" s="19"/>
      <c r="F18" s="19"/>
      <c r="G18" s="19"/>
      <c r="H18" s="19"/>
    </row>
    <row r="19" ht="14.25" customHeight="1">
      <c r="B19" s="26"/>
      <c r="C19" s="19"/>
      <c r="D19" s="19"/>
      <c r="E19" s="19"/>
      <c r="F19" s="19"/>
      <c r="G19" s="19"/>
      <c r="H19" s="19"/>
    </row>
    <row r="20" ht="14.25" customHeight="1">
      <c r="B20" s="26"/>
      <c r="C20" s="19"/>
      <c r="D20" s="19"/>
      <c r="E20" s="19"/>
      <c r="F20" s="19"/>
      <c r="G20" s="19"/>
      <c r="H20" s="19"/>
    </row>
    <row r="21" ht="14.25" customHeight="1">
      <c r="B21" s="26"/>
      <c r="C21" s="19"/>
      <c r="D21" s="19"/>
      <c r="E21" s="19"/>
      <c r="F21" s="19"/>
      <c r="G21" s="19"/>
      <c r="H21" s="19"/>
    </row>
    <row r="22" ht="14.25" customHeight="1">
      <c r="B22" s="26"/>
      <c r="C22" s="19"/>
      <c r="D22" s="19"/>
      <c r="E22" s="19"/>
      <c r="F22" s="19"/>
      <c r="G22" s="19"/>
      <c r="H22" s="19"/>
    </row>
    <row r="23" ht="14.25" customHeight="1">
      <c r="B23" s="26"/>
      <c r="C23" s="19"/>
      <c r="D23" s="19"/>
      <c r="E23" s="19"/>
      <c r="F23" s="19"/>
      <c r="G23" s="19"/>
      <c r="H23" s="19"/>
    </row>
    <row r="24" ht="14.25" customHeight="1">
      <c r="B24" s="26"/>
      <c r="C24" s="19"/>
      <c r="D24" s="19"/>
      <c r="E24" s="19"/>
      <c r="F24" s="19"/>
      <c r="G24" s="19"/>
      <c r="H24" s="19"/>
    </row>
    <row r="25" ht="14.25" customHeight="1">
      <c r="B25" s="26"/>
      <c r="C25" s="19"/>
      <c r="D25" s="19"/>
      <c r="E25" s="19"/>
      <c r="F25" s="19"/>
      <c r="G25" s="19"/>
      <c r="H25" s="19"/>
    </row>
    <row r="26" ht="14.25" customHeight="1">
      <c r="B26" s="26"/>
      <c r="C26" s="19"/>
      <c r="D26" s="19"/>
      <c r="E26" s="19"/>
      <c r="F26" s="19"/>
      <c r="G26" s="19"/>
      <c r="H26" s="19"/>
    </row>
    <row r="27" ht="14.25" customHeight="1">
      <c r="B27" s="26"/>
      <c r="C27" s="19"/>
      <c r="D27" s="19"/>
      <c r="E27" s="19"/>
      <c r="F27" s="19"/>
      <c r="G27" s="19"/>
      <c r="H27" s="26"/>
    </row>
    <row r="28" ht="14.25" customHeight="1">
      <c r="B28" s="26"/>
      <c r="C28" s="19"/>
      <c r="D28" s="19"/>
      <c r="E28" s="19"/>
      <c r="F28" s="19"/>
      <c r="G28" s="19"/>
      <c r="H28" s="19"/>
    </row>
    <row r="29" ht="14.25" customHeight="1">
      <c r="B29" s="26"/>
      <c r="C29" s="19"/>
      <c r="D29" s="19"/>
      <c r="E29" s="19"/>
      <c r="F29" s="19"/>
      <c r="G29" s="19"/>
      <c r="H29" s="19"/>
    </row>
    <row r="30" ht="14.25" customHeight="1">
      <c r="B30" s="26"/>
      <c r="C30" s="19"/>
      <c r="D30" s="19"/>
      <c r="E30" s="19"/>
      <c r="F30" s="19"/>
      <c r="G30" s="19"/>
      <c r="H30" s="19"/>
    </row>
    <row r="31" ht="14.25" customHeight="1">
      <c r="B31" s="26"/>
      <c r="C31" s="19"/>
      <c r="D31" s="19"/>
      <c r="E31" s="19"/>
      <c r="F31" s="19"/>
      <c r="G31" s="19"/>
      <c r="H31" s="19"/>
    </row>
    <row r="32" ht="14.25" customHeight="1">
      <c r="B32" s="26"/>
      <c r="C32" s="19"/>
      <c r="D32" s="19"/>
      <c r="E32" s="19"/>
      <c r="F32" s="19"/>
      <c r="G32" s="19"/>
      <c r="H32" s="19"/>
    </row>
    <row r="33" ht="14.25" customHeight="1">
      <c r="B33" s="26"/>
      <c r="C33" s="19"/>
      <c r="D33" s="19"/>
      <c r="E33" s="19"/>
      <c r="F33" s="19"/>
      <c r="G33" s="19"/>
      <c r="H33" s="19"/>
    </row>
    <row r="34" ht="14.25" customHeight="1">
      <c r="B34" s="26"/>
      <c r="C34" s="19"/>
      <c r="D34" s="19"/>
      <c r="E34" s="19"/>
      <c r="F34" s="19"/>
      <c r="G34" s="19"/>
      <c r="H34" s="19"/>
    </row>
    <row r="35" ht="14.25" customHeight="1">
      <c r="B35" s="26"/>
      <c r="C35" s="19"/>
      <c r="D35" s="19"/>
      <c r="E35" s="19"/>
      <c r="F35" s="19"/>
      <c r="G35" s="19"/>
      <c r="H35" s="19"/>
    </row>
    <row r="36" ht="14.25" customHeight="1">
      <c r="B36" s="26"/>
      <c r="C36" s="19"/>
      <c r="D36" s="19"/>
      <c r="E36" s="19"/>
      <c r="F36" s="19"/>
      <c r="G36" s="19"/>
      <c r="H36" s="19"/>
    </row>
    <row r="37" ht="14.25" customHeight="1">
      <c r="B37" s="26"/>
      <c r="C37" s="19"/>
      <c r="D37" s="19"/>
      <c r="E37" s="19"/>
      <c r="F37" s="19"/>
      <c r="G37" s="19"/>
      <c r="H37" s="19"/>
    </row>
    <row r="38" ht="14.25" customHeight="1">
      <c r="B38" s="26"/>
      <c r="C38" s="19"/>
      <c r="D38" s="19"/>
      <c r="E38" s="19"/>
      <c r="F38" s="19"/>
      <c r="G38" s="19"/>
      <c r="H38" s="19"/>
    </row>
    <row r="39" ht="14.25" customHeight="1">
      <c r="B39" s="26"/>
      <c r="C39" s="19"/>
      <c r="D39" s="19"/>
      <c r="E39" s="19"/>
      <c r="F39" s="19"/>
      <c r="G39" s="19"/>
      <c r="H39" s="26"/>
    </row>
    <row r="40" ht="14.25" customHeight="1">
      <c r="B40" s="26"/>
      <c r="C40" s="19"/>
      <c r="D40" s="19"/>
      <c r="E40" s="19"/>
      <c r="F40" s="19"/>
      <c r="G40" s="19"/>
      <c r="H40" s="19"/>
    </row>
    <row r="41" ht="14.25" customHeight="1">
      <c r="B41" s="26"/>
      <c r="C41" s="19"/>
      <c r="D41" s="19"/>
      <c r="E41" s="19"/>
      <c r="F41" s="19"/>
      <c r="G41" s="19"/>
      <c r="H41" s="19"/>
    </row>
    <row r="42" ht="14.25" customHeight="1">
      <c r="B42" s="26"/>
      <c r="C42" s="19"/>
      <c r="D42" s="19"/>
      <c r="E42" s="19"/>
      <c r="F42" s="19"/>
      <c r="G42" s="19"/>
      <c r="H42" s="19"/>
    </row>
    <row r="43" ht="14.25" customHeight="1">
      <c r="B43" s="26"/>
      <c r="C43" s="19"/>
      <c r="D43" s="19"/>
      <c r="E43" s="19"/>
      <c r="F43" s="19"/>
      <c r="G43" s="19"/>
      <c r="H43" s="19"/>
    </row>
    <row r="44" ht="14.25" customHeight="1">
      <c r="B44" s="26"/>
      <c r="C44" s="19"/>
      <c r="D44" s="19"/>
      <c r="E44" s="19"/>
      <c r="F44" s="19"/>
      <c r="G44" s="19"/>
      <c r="H44" s="19"/>
    </row>
    <row r="45" ht="14.25" customHeight="1">
      <c r="B45" s="26"/>
      <c r="C45" s="19"/>
      <c r="D45" s="19"/>
      <c r="E45" s="19"/>
      <c r="F45" s="19"/>
      <c r="G45" s="19"/>
      <c r="H45" s="19"/>
    </row>
    <row r="46" ht="14.25" customHeight="1">
      <c r="B46" s="26"/>
      <c r="C46" s="19"/>
      <c r="D46" s="19"/>
      <c r="E46" s="19"/>
      <c r="F46" s="19"/>
      <c r="G46" s="19"/>
      <c r="H46" s="19"/>
    </row>
    <row r="47" ht="14.25" customHeight="1">
      <c r="B47" s="26"/>
      <c r="C47" s="19"/>
      <c r="D47" s="19"/>
      <c r="E47" s="19"/>
      <c r="F47" s="19"/>
      <c r="G47" s="19"/>
      <c r="H47" s="19"/>
    </row>
    <row r="48" ht="14.25" customHeight="1">
      <c r="B48" s="26"/>
      <c r="C48" s="19"/>
      <c r="D48" s="19"/>
      <c r="E48" s="19"/>
      <c r="F48" s="19"/>
      <c r="G48" s="19"/>
      <c r="H48" s="19"/>
    </row>
    <row r="49" ht="14.25" customHeight="1">
      <c r="B49" s="26"/>
      <c r="C49" s="19"/>
      <c r="D49" s="19"/>
      <c r="E49" s="19"/>
      <c r="F49" s="19"/>
      <c r="G49" s="19"/>
      <c r="H49" s="19"/>
    </row>
    <row r="50" ht="14.25" customHeight="1">
      <c r="B50" s="26"/>
      <c r="C50" s="19"/>
      <c r="D50" s="19"/>
      <c r="E50" s="19"/>
      <c r="F50" s="19"/>
      <c r="G50" s="19"/>
      <c r="H50" s="19"/>
    </row>
    <row r="51" ht="14.25" customHeight="1">
      <c r="B51" s="26"/>
      <c r="C51" s="19"/>
      <c r="D51" s="19"/>
      <c r="E51" s="19"/>
      <c r="F51" s="19"/>
      <c r="G51" s="19"/>
      <c r="H51" s="26"/>
    </row>
    <row r="52" ht="14.25" customHeight="1">
      <c r="B52" s="26"/>
      <c r="C52" s="19"/>
      <c r="D52" s="19"/>
      <c r="E52" s="19"/>
      <c r="F52" s="19"/>
      <c r="G52" s="19"/>
      <c r="H52" s="19"/>
    </row>
    <row r="53" ht="14.25" customHeight="1">
      <c r="B53" s="26"/>
      <c r="C53" s="19"/>
      <c r="D53" s="19"/>
      <c r="E53" s="19"/>
      <c r="F53" s="19"/>
      <c r="G53" s="19"/>
      <c r="H53" s="19"/>
    </row>
    <row r="54" ht="14.25" customHeight="1">
      <c r="B54" s="26"/>
      <c r="C54" s="19"/>
      <c r="D54" s="19"/>
      <c r="E54" s="19"/>
      <c r="F54" s="19"/>
      <c r="G54" s="19"/>
      <c r="H54" s="19"/>
    </row>
    <row r="55" ht="14.25" customHeight="1">
      <c r="B55" s="26"/>
      <c r="C55" s="19"/>
      <c r="D55" s="19"/>
      <c r="E55" s="19"/>
      <c r="F55" s="19"/>
      <c r="G55" s="19"/>
      <c r="H55" s="19"/>
    </row>
    <row r="56" ht="14.25" customHeight="1">
      <c r="B56" s="26"/>
      <c r="C56" s="19"/>
      <c r="D56" s="19"/>
      <c r="E56" s="19"/>
      <c r="F56" s="19"/>
      <c r="G56" s="19"/>
      <c r="H56" s="19"/>
    </row>
    <row r="57" ht="14.25" customHeight="1">
      <c r="B57" s="26"/>
      <c r="C57" s="19"/>
      <c r="D57" s="19"/>
      <c r="E57" s="19"/>
      <c r="F57" s="19"/>
      <c r="G57" s="19"/>
      <c r="H57" s="19"/>
    </row>
    <row r="58" ht="14.25" customHeight="1">
      <c r="B58" s="26"/>
      <c r="C58" s="19"/>
      <c r="D58" s="19"/>
      <c r="E58" s="19"/>
      <c r="F58" s="19"/>
      <c r="G58" s="19"/>
      <c r="H58" s="19"/>
    </row>
    <row r="59" ht="14.25" customHeight="1">
      <c r="B59" s="26"/>
      <c r="C59" s="19"/>
      <c r="D59" s="19"/>
      <c r="E59" s="19"/>
      <c r="F59" s="19"/>
      <c r="G59" s="19"/>
      <c r="H59" s="19"/>
    </row>
    <row r="60" ht="14.25" customHeight="1">
      <c r="B60" s="26"/>
      <c r="C60" s="19"/>
      <c r="D60" s="19"/>
      <c r="E60" s="19"/>
      <c r="F60" s="19"/>
      <c r="G60" s="19"/>
      <c r="H60" s="19"/>
    </row>
    <row r="61" ht="14.25" customHeight="1">
      <c r="B61" s="26"/>
      <c r="C61" s="19"/>
      <c r="D61" s="19"/>
      <c r="E61" s="19"/>
      <c r="F61" s="19"/>
      <c r="G61" s="19"/>
      <c r="H61" s="19"/>
    </row>
    <row r="62" ht="14.25" customHeight="1">
      <c r="B62" s="26"/>
      <c r="C62" s="19"/>
      <c r="D62" s="19"/>
      <c r="E62" s="19"/>
      <c r="F62" s="19"/>
      <c r="G62" s="19"/>
      <c r="H62" s="19"/>
    </row>
    <row r="63" ht="14.25" customHeight="1">
      <c r="B63" s="26"/>
      <c r="C63" s="19"/>
      <c r="D63" s="19"/>
      <c r="E63" s="19"/>
      <c r="F63" s="19"/>
      <c r="G63" s="19"/>
      <c r="H63" s="26"/>
    </row>
    <row r="64" ht="14.25" customHeight="1">
      <c r="B64" s="26"/>
      <c r="C64" s="19"/>
      <c r="D64" s="19"/>
      <c r="E64" s="19"/>
      <c r="F64" s="19"/>
      <c r="G64" s="19"/>
      <c r="H64" s="19"/>
    </row>
    <row r="65" ht="14.25" customHeight="1">
      <c r="B65" s="26"/>
      <c r="C65" s="19"/>
      <c r="D65" s="19"/>
      <c r="E65" s="19"/>
      <c r="F65" s="19"/>
      <c r="G65" s="19"/>
      <c r="H65" s="19"/>
    </row>
    <row r="66" ht="14.25" customHeight="1">
      <c r="B66" s="26"/>
      <c r="C66" s="19"/>
      <c r="D66" s="19"/>
      <c r="E66" s="19"/>
      <c r="F66" s="19"/>
      <c r="G66" s="19"/>
      <c r="H66" s="19"/>
    </row>
    <row r="67" ht="14.25" customHeight="1">
      <c r="B67" s="26"/>
      <c r="C67" s="19"/>
      <c r="D67" s="19"/>
      <c r="E67" s="19"/>
      <c r="F67" s="19"/>
      <c r="G67" s="19"/>
      <c r="H67" s="19"/>
    </row>
    <row r="68" ht="14.25" customHeight="1">
      <c r="B68" s="26"/>
      <c r="C68" s="19"/>
      <c r="D68" s="19"/>
      <c r="E68" s="19"/>
      <c r="F68" s="19"/>
      <c r="G68" s="19"/>
      <c r="H68" s="19"/>
    </row>
    <row r="69" ht="14.25" customHeight="1">
      <c r="B69" s="26"/>
      <c r="C69" s="19"/>
      <c r="D69" s="19"/>
      <c r="E69" s="19"/>
      <c r="F69" s="19"/>
      <c r="G69" s="19"/>
      <c r="H69" s="19"/>
    </row>
    <row r="70" ht="14.25" customHeight="1">
      <c r="B70" s="26"/>
      <c r="C70" s="19"/>
      <c r="D70" s="19"/>
      <c r="E70" s="19"/>
      <c r="F70" s="19"/>
      <c r="G70" s="19"/>
      <c r="H70" s="19"/>
    </row>
    <row r="71" ht="14.25" customHeight="1">
      <c r="B71" s="26"/>
      <c r="C71" s="19"/>
      <c r="D71" s="19"/>
      <c r="E71" s="19"/>
      <c r="F71" s="19"/>
      <c r="G71" s="19"/>
      <c r="H71" s="19"/>
    </row>
    <row r="72" ht="14.25" customHeight="1">
      <c r="B72" s="26"/>
      <c r="C72" s="19"/>
      <c r="D72" s="19"/>
      <c r="E72" s="19"/>
      <c r="F72" s="19"/>
      <c r="G72" s="19"/>
      <c r="H72" s="19"/>
    </row>
    <row r="73" ht="14.25" customHeight="1">
      <c r="B73" s="180"/>
      <c r="C73" s="181"/>
      <c r="D73" s="181"/>
      <c r="E73" s="181"/>
      <c r="F73" s="181"/>
      <c r="G73" s="181"/>
      <c r="H73" s="181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6.71"/>
    <col customWidth="1" min="3" max="3" width="38.43"/>
    <col customWidth="1" min="4" max="4" width="16.0"/>
    <col customWidth="1" min="5" max="5" width="18.14"/>
    <col customWidth="1" min="6" max="7" width="20.57"/>
    <col customWidth="1" min="8" max="8" width="65.71"/>
    <col customWidth="1" min="9" max="9" width="14.43"/>
    <col customWidth="1" hidden="1" min="10" max="10" width="12.29"/>
    <col customWidth="1" min="11" max="11" width="42.43"/>
    <col customWidth="1" min="12" max="12" width="14.71"/>
    <col customWidth="1" min="13" max="13" width="17.71"/>
    <col customWidth="1" min="14" max="20" width="8.86"/>
  </cols>
  <sheetData>
    <row r="1" ht="14.25" customHeight="1"/>
    <row r="2" ht="21.0" customHeight="1">
      <c r="B2" s="152" t="s">
        <v>988</v>
      </c>
      <c r="C2" s="4"/>
      <c r="D2" s="4"/>
      <c r="E2" s="4"/>
      <c r="F2" s="4"/>
      <c r="G2" s="4"/>
      <c r="H2" s="5"/>
      <c r="I2" s="6"/>
      <c r="J2" s="6"/>
      <c r="K2" s="6"/>
      <c r="L2" s="6"/>
      <c r="M2" s="6"/>
    </row>
    <row r="3" ht="21.0" customHeight="1">
      <c r="B3" s="7"/>
      <c r="H3" s="8"/>
      <c r="I3" s="6"/>
      <c r="J3" s="6"/>
      <c r="K3" s="6"/>
      <c r="L3" s="6"/>
      <c r="M3" s="6"/>
      <c r="P3" s="9"/>
      <c r="Q3" s="9"/>
      <c r="R3" s="9"/>
      <c r="S3" s="9"/>
      <c r="T3" s="9"/>
    </row>
    <row r="4" ht="15.0" customHeight="1">
      <c r="B4" s="7"/>
      <c r="H4" s="8"/>
      <c r="I4" s="6"/>
      <c r="J4" s="6"/>
      <c r="K4" s="6"/>
      <c r="L4" s="6"/>
      <c r="M4" s="6"/>
      <c r="P4" s="9"/>
      <c r="Q4" s="9"/>
      <c r="R4" s="9"/>
      <c r="S4" s="9"/>
      <c r="T4" s="9"/>
    </row>
    <row r="5" ht="15.0" customHeight="1">
      <c r="B5" s="10"/>
      <c r="C5" s="11"/>
      <c r="D5" s="11"/>
      <c r="E5" s="11"/>
      <c r="F5" s="11"/>
      <c r="G5" s="11"/>
      <c r="H5" s="12"/>
      <c r="I5" s="6"/>
      <c r="J5" s="6"/>
      <c r="K5" s="6"/>
      <c r="L5" s="6"/>
      <c r="M5" s="6"/>
      <c r="Q5" s="9"/>
      <c r="R5" s="9"/>
      <c r="S5" s="9"/>
      <c r="T5" s="9"/>
    </row>
    <row r="6" ht="14.25" customHeight="1">
      <c r="B6" s="174" t="s">
        <v>984</v>
      </c>
      <c r="C6" s="15" t="s">
        <v>5</v>
      </c>
      <c r="D6" s="15" t="s">
        <v>985</v>
      </c>
      <c r="E6" s="15" t="s">
        <v>986</v>
      </c>
      <c r="F6" s="15" t="s">
        <v>987</v>
      </c>
      <c r="G6" s="15" t="s">
        <v>155</v>
      </c>
      <c r="H6" s="15" t="s">
        <v>10</v>
      </c>
      <c r="K6" s="16"/>
      <c r="L6" s="9"/>
      <c r="M6" s="9"/>
      <c r="N6" s="9"/>
    </row>
    <row r="7" ht="14.25" customHeight="1">
      <c r="B7" s="175"/>
      <c r="C7" s="19"/>
      <c r="D7" s="19"/>
      <c r="E7" s="19"/>
      <c r="F7" s="19"/>
      <c r="G7" s="19"/>
      <c r="H7" s="19"/>
      <c r="K7" s="16"/>
      <c r="L7" s="9"/>
      <c r="M7" s="9"/>
      <c r="N7" s="9"/>
    </row>
    <row r="8" ht="14.25" customHeight="1">
      <c r="B8" s="175"/>
      <c r="C8" s="19"/>
      <c r="D8" s="19"/>
      <c r="E8" s="19"/>
      <c r="F8" s="19"/>
      <c r="G8" s="19"/>
      <c r="H8" s="19"/>
      <c r="K8" s="16"/>
      <c r="L8" s="9"/>
      <c r="M8" s="9"/>
      <c r="N8" s="9"/>
    </row>
    <row r="9" ht="14.25" customHeight="1">
      <c r="B9" s="175"/>
      <c r="C9" s="19"/>
      <c r="D9" s="19"/>
      <c r="E9" s="19"/>
      <c r="F9" s="19"/>
      <c r="G9" s="19"/>
      <c r="H9" s="19"/>
      <c r="K9" s="16"/>
      <c r="L9" s="9"/>
      <c r="M9" s="9"/>
      <c r="N9" s="9"/>
    </row>
    <row r="10" ht="14.25" customHeight="1">
      <c r="B10" s="175"/>
      <c r="C10" s="19"/>
      <c r="D10" s="19"/>
      <c r="E10" s="19"/>
      <c r="F10" s="19"/>
      <c r="G10" s="19"/>
      <c r="H10" s="19"/>
      <c r="K10" s="16"/>
      <c r="L10" s="9"/>
      <c r="M10" s="9"/>
      <c r="N10" s="9"/>
    </row>
    <row r="11" ht="14.25" customHeight="1">
      <c r="B11" s="175"/>
      <c r="C11" s="19"/>
      <c r="D11" s="19"/>
      <c r="E11" s="19"/>
      <c r="F11" s="19"/>
      <c r="G11" s="19"/>
      <c r="H11" s="19"/>
      <c r="K11" s="16"/>
      <c r="L11" s="9"/>
      <c r="M11" s="9"/>
      <c r="N11" s="9"/>
    </row>
    <row r="12" ht="14.25" customHeight="1">
      <c r="B12" s="175"/>
      <c r="C12" s="19"/>
      <c r="D12" s="19"/>
      <c r="E12" s="19"/>
      <c r="F12" s="19"/>
      <c r="G12" s="19"/>
      <c r="H12" s="19"/>
      <c r="K12" s="16"/>
      <c r="L12" s="9"/>
      <c r="M12" s="9"/>
      <c r="N12" s="9"/>
    </row>
    <row r="13" ht="14.25" customHeight="1">
      <c r="B13" s="175"/>
      <c r="C13" s="19"/>
      <c r="D13" s="19"/>
      <c r="E13" s="19"/>
      <c r="F13" s="19"/>
      <c r="G13" s="19"/>
      <c r="H13" s="19"/>
      <c r="K13" s="16"/>
      <c r="L13" s="9"/>
      <c r="M13" s="9"/>
      <c r="N13" s="9"/>
    </row>
    <row r="14" ht="14.25" customHeight="1">
      <c r="B14" s="175"/>
      <c r="C14" s="19"/>
      <c r="D14" s="19"/>
      <c r="E14" s="19"/>
      <c r="F14" s="19"/>
      <c r="G14" s="19"/>
      <c r="H14" s="19"/>
      <c r="K14" s="16"/>
      <c r="L14" s="9"/>
      <c r="M14" s="9"/>
      <c r="N14" s="9"/>
    </row>
    <row r="15" ht="14.25" customHeight="1">
      <c r="B15" s="175"/>
      <c r="C15" s="19"/>
      <c r="D15" s="19"/>
      <c r="E15" s="19"/>
      <c r="F15" s="19"/>
      <c r="G15" s="19"/>
      <c r="H15" s="19"/>
      <c r="L15" s="9"/>
      <c r="M15" s="9"/>
      <c r="N15" s="9"/>
    </row>
    <row r="16" ht="14.25" customHeight="1">
      <c r="B16" s="175"/>
      <c r="C16" s="19"/>
      <c r="D16" s="19"/>
      <c r="E16" s="19"/>
      <c r="F16" s="19"/>
      <c r="G16" s="19"/>
      <c r="H16" s="19"/>
    </row>
    <row r="17" ht="14.25" customHeight="1">
      <c r="B17" s="175"/>
      <c r="C17" s="19"/>
      <c r="D17" s="19"/>
      <c r="E17" s="19"/>
      <c r="F17" s="19"/>
      <c r="G17" s="19"/>
      <c r="H17" s="19"/>
    </row>
    <row r="18" ht="14.25" customHeight="1">
      <c r="B18" s="26"/>
      <c r="C18" s="19"/>
      <c r="D18" s="19"/>
      <c r="E18" s="19"/>
      <c r="F18" s="19"/>
      <c r="G18" s="19"/>
      <c r="H18" s="19"/>
    </row>
    <row r="19" ht="14.25" customHeight="1">
      <c r="B19" s="26"/>
      <c r="C19" s="19"/>
      <c r="D19" s="19"/>
      <c r="E19" s="19"/>
      <c r="F19" s="19"/>
      <c r="G19" s="19"/>
      <c r="H19" s="19"/>
    </row>
    <row r="20" ht="14.25" customHeight="1">
      <c r="B20" s="26"/>
      <c r="C20" s="19"/>
      <c r="D20" s="19"/>
      <c r="E20" s="19"/>
      <c r="F20" s="19"/>
      <c r="G20" s="19"/>
      <c r="H20" s="19"/>
    </row>
    <row r="21" ht="14.25" customHeight="1">
      <c r="B21" s="26"/>
      <c r="C21" s="19"/>
      <c r="D21" s="19"/>
      <c r="E21" s="19"/>
      <c r="F21" s="19"/>
      <c r="G21" s="19"/>
      <c r="H21" s="19"/>
    </row>
    <row r="22" ht="14.25" customHeight="1">
      <c r="B22" s="26"/>
      <c r="C22" s="19"/>
      <c r="D22" s="19"/>
      <c r="E22" s="19"/>
      <c r="F22" s="19"/>
      <c r="G22" s="19"/>
      <c r="H22" s="19"/>
    </row>
    <row r="23" ht="14.25" customHeight="1">
      <c r="B23" s="26"/>
      <c r="C23" s="19"/>
      <c r="D23" s="19"/>
      <c r="E23" s="19"/>
      <c r="F23" s="19"/>
      <c r="G23" s="19"/>
      <c r="H23" s="19"/>
    </row>
    <row r="24" ht="14.25" customHeight="1">
      <c r="B24" s="26"/>
      <c r="C24" s="19"/>
      <c r="D24" s="19"/>
      <c r="E24" s="19"/>
      <c r="F24" s="19"/>
      <c r="G24" s="19"/>
      <c r="H24" s="19"/>
    </row>
    <row r="25" ht="14.25" customHeight="1">
      <c r="B25" s="26"/>
      <c r="C25" s="19"/>
      <c r="D25" s="19"/>
      <c r="E25" s="19"/>
      <c r="F25" s="19"/>
      <c r="G25" s="19"/>
      <c r="H25" s="19"/>
    </row>
    <row r="26" ht="14.25" customHeight="1">
      <c r="B26" s="26"/>
      <c r="C26" s="19"/>
      <c r="D26" s="19"/>
      <c r="E26" s="19"/>
      <c r="F26" s="19"/>
      <c r="G26" s="19"/>
      <c r="H26" s="19"/>
    </row>
    <row r="27" ht="14.25" customHeight="1">
      <c r="B27" s="26"/>
      <c r="C27" s="19"/>
      <c r="D27" s="19"/>
      <c r="E27" s="19"/>
      <c r="F27" s="19"/>
      <c r="G27" s="19"/>
      <c r="H27" s="26"/>
    </row>
    <row r="28" ht="14.25" customHeight="1">
      <c r="B28" s="26"/>
      <c r="C28" s="19"/>
      <c r="D28" s="19"/>
      <c r="E28" s="19"/>
      <c r="F28" s="19"/>
      <c r="G28" s="19"/>
      <c r="H28" s="19"/>
    </row>
    <row r="29" ht="14.25" customHeight="1">
      <c r="B29" s="26"/>
      <c r="C29" s="19"/>
      <c r="D29" s="19"/>
      <c r="E29" s="19"/>
      <c r="F29" s="19"/>
      <c r="G29" s="19"/>
      <c r="H29" s="19"/>
    </row>
    <row r="30" ht="14.25" customHeight="1">
      <c r="B30" s="26"/>
      <c r="C30" s="19"/>
      <c r="D30" s="19"/>
      <c r="E30" s="19"/>
      <c r="F30" s="19"/>
      <c r="G30" s="19"/>
      <c r="H30" s="19"/>
    </row>
    <row r="31" ht="14.25" customHeight="1">
      <c r="B31" s="26"/>
      <c r="C31" s="19"/>
      <c r="D31" s="19"/>
      <c r="E31" s="19"/>
      <c r="F31" s="19"/>
      <c r="G31" s="19"/>
      <c r="H31" s="19"/>
    </row>
    <row r="32" ht="14.25" customHeight="1">
      <c r="B32" s="26"/>
      <c r="C32" s="19"/>
      <c r="D32" s="19"/>
      <c r="E32" s="19"/>
      <c r="F32" s="19"/>
      <c r="G32" s="19"/>
      <c r="H32" s="19"/>
    </row>
    <row r="33" ht="14.25" customHeight="1">
      <c r="B33" s="26"/>
      <c r="C33" s="19"/>
      <c r="D33" s="19"/>
      <c r="E33" s="19"/>
      <c r="F33" s="19"/>
      <c r="G33" s="19"/>
      <c r="H33" s="19"/>
    </row>
    <row r="34" ht="14.25" customHeight="1">
      <c r="B34" s="26"/>
      <c r="C34" s="19"/>
      <c r="D34" s="19"/>
      <c r="E34" s="19"/>
      <c r="F34" s="19"/>
      <c r="G34" s="19"/>
      <c r="H34" s="19"/>
    </row>
    <row r="35" ht="14.25" customHeight="1">
      <c r="B35" s="26"/>
      <c r="C35" s="19"/>
      <c r="D35" s="19"/>
      <c r="E35" s="19"/>
      <c r="F35" s="19"/>
      <c r="G35" s="19"/>
      <c r="H35" s="19"/>
    </row>
    <row r="36" ht="14.25" customHeight="1">
      <c r="B36" s="26"/>
      <c r="C36" s="19"/>
      <c r="D36" s="19"/>
      <c r="E36" s="19"/>
      <c r="F36" s="19"/>
      <c r="G36" s="19"/>
      <c r="H36" s="19"/>
    </row>
    <row r="37" ht="14.25" customHeight="1">
      <c r="B37" s="26"/>
      <c r="C37" s="19"/>
      <c r="D37" s="19"/>
      <c r="E37" s="19"/>
      <c r="F37" s="19"/>
      <c r="G37" s="19"/>
      <c r="H37" s="19"/>
    </row>
    <row r="38" ht="14.25" customHeight="1">
      <c r="B38" s="26"/>
      <c r="C38" s="19"/>
      <c r="D38" s="19"/>
      <c r="E38" s="19"/>
      <c r="F38" s="19"/>
      <c r="G38" s="19"/>
      <c r="H38" s="19"/>
    </row>
    <row r="39" ht="14.25" customHeight="1">
      <c r="B39" s="26"/>
      <c r="C39" s="19"/>
      <c r="D39" s="19"/>
      <c r="E39" s="19"/>
      <c r="F39" s="19"/>
      <c r="G39" s="19"/>
      <c r="H39" s="26"/>
    </row>
    <row r="40" ht="14.25" customHeight="1">
      <c r="B40" s="26"/>
      <c r="C40" s="19"/>
      <c r="D40" s="19"/>
      <c r="E40" s="19"/>
      <c r="F40" s="19"/>
      <c r="G40" s="19"/>
      <c r="H40" s="19"/>
    </row>
    <row r="41" ht="14.25" customHeight="1">
      <c r="B41" s="26"/>
      <c r="C41" s="19"/>
      <c r="D41" s="19"/>
      <c r="E41" s="19"/>
      <c r="F41" s="19"/>
      <c r="G41" s="19"/>
      <c r="H41" s="19"/>
    </row>
    <row r="42" ht="14.25" customHeight="1">
      <c r="B42" s="26"/>
      <c r="C42" s="19"/>
      <c r="D42" s="19"/>
      <c r="E42" s="19"/>
      <c r="F42" s="19"/>
      <c r="G42" s="19"/>
      <c r="H42" s="19"/>
    </row>
    <row r="43" ht="14.25" customHeight="1">
      <c r="B43" s="26"/>
      <c r="C43" s="19"/>
      <c r="D43" s="19"/>
      <c r="E43" s="19"/>
      <c r="F43" s="19"/>
      <c r="G43" s="19"/>
      <c r="H43" s="19"/>
    </row>
    <row r="44" ht="14.25" customHeight="1">
      <c r="B44" s="26"/>
      <c r="C44" s="19"/>
      <c r="D44" s="19"/>
      <c r="E44" s="19"/>
      <c r="F44" s="19"/>
      <c r="G44" s="19"/>
      <c r="H44" s="19"/>
    </row>
    <row r="45" ht="14.25" customHeight="1">
      <c r="B45" s="26"/>
      <c r="C45" s="19"/>
      <c r="D45" s="19"/>
      <c r="E45" s="19"/>
      <c r="F45" s="19"/>
      <c r="G45" s="19"/>
      <c r="H45" s="19"/>
    </row>
    <row r="46" ht="14.25" customHeight="1">
      <c r="B46" s="26"/>
      <c r="C46" s="19"/>
      <c r="D46" s="19"/>
      <c r="E46" s="19"/>
      <c r="F46" s="19"/>
      <c r="G46" s="19"/>
      <c r="H46" s="19"/>
    </row>
    <row r="47" ht="14.25" customHeight="1">
      <c r="B47" s="26"/>
      <c r="C47" s="19"/>
      <c r="D47" s="19"/>
      <c r="E47" s="19"/>
      <c r="F47" s="19"/>
      <c r="G47" s="19"/>
      <c r="H47" s="19"/>
    </row>
    <row r="48" ht="14.25" customHeight="1">
      <c r="B48" s="26"/>
      <c r="C48" s="19"/>
      <c r="D48" s="19"/>
      <c r="E48" s="19"/>
      <c r="F48" s="19"/>
      <c r="G48" s="19"/>
      <c r="H48" s="19"/>
    </row>
    <row r="49" ht="14.25" customHeight="1">
      <c r="B49" s="26"/>
      <c r="C49" s="19"/>
      <c r="D49" s="19"/>
      <c r="E49" s="19"/>
      <c r="F49" s="19"/>
      <c r="G49" s="19"/>
      <c r="H49" s="19"/>
    </row>
    <row r="50" ht="14.25" customHeight="1">
      <c r="B50" s="26"/>
      <c r="C50" s="19"/>
      <c r="D50" s="19"/>
      <c r="E50" s="19"/>
      <c r="F50" s="19"/>
      <c r="G50" s="19"/>
      <c r="H50" s="19"/>
    </row>
    <row r="51" ht="14.25" customHeight="1">
      <c r="B51" s="26"/>
      <c r="C51" s="19"/>
      <c r="D51" s="19"/>
      <c r="E51" s="19"/>
      <c r="F51" s="19"/>
      <c r="G51" s="19"/>
      <c r="H51" s="26"/>
    </row>
    <row r="52" ht="14.25" customHeight="1">
      <c r="B52" s="26"/>
      <c r="C52" s="19"/>
      <c r="D52" s="19"/>
      <c r="E52" s="19"/>
      <c r="F52" s="19"/>
      <c r="G52" s="19"/>
      <c r="H52" s="19"/>
    </row>
    <row r="53" ht="14.25" customHeight="1">
      <c r="B53" s="26"/>
      <c r="C53" s="19"/>
      <c r="D53" s="19"/>
      <c r="E53" s="19"/>
      <c r="F53" s="19"/>
      <c r="G53" s="19"/>
      <c r="H53" s="19"/>
    </row>
    <row r="54" ht="14.25" customHeight="1">
      <c r="B54" s="26"/>
      <c r="C54" s="19"/>
      <c r="D54" s="19"/>
      <c r="E54" s="19"/>
      <c r="F54" s="19"/>
      <c r="G54" s="19"/>
      <c r="H54" s="19"/>
    </row>
    <row r="55" ht="14.25" customHeight="1">
      <c r="B55" s="26"/>
      <c r="C55" s="19"/>
      <c r="D55" s="19"/>
      <c r="E55" s="19"/>
      <c r="F55" s="19"/>
      <c r="G55" s="19"/>
      <c r="H55" s="19"/>
    </row>
    <row r="56" ht="14.25" customHeight="1">
      <c r="B56" s="26"/>
      <c r="C56" s="19"/>
      <c r="D56" s="19"/>
      <c r="E56" s="19"/>
      <c r="F56" s="19"/>
      <c r="G56" s="19"/>
      <c r="H56" s="19"/>
    </row>
    <row r="57" ht="14.25" customHeight="1">
      <c r="B57" s="26"/>
      <c r="C57" s="19"/>
      <c r="D57" s="19"/>
      <c r="E57" s="19"/>
      <c r="F57" s="19"/>
      <c r="G57" s="19"/>
      <c r="H57" s="19"/>
    </row>
    <row r="58" ht="14.25" customHeight="1">
      <c r="B58" s="26"/>
      <c r="C58" s="19"/>
      <c r="D58" s="19"/>
      <c r="E58" s="19"/>
      <c r="F58" s="19"/>
      <c r="G58" s="19"/>
      <c r="H58" s="19"/>
    </row>
    <row r="59" ht="14.25" customHeight="1">
      <c r="B59" s="26"/>
      <c r="C59" s="19"/>
      <c r="D59" s="19"/>
      <c r="E59" s="19"/>
      <c r="F59" s="19"/>
      <c r="G59" s="19"/>
      <c r="H59" s="19"/>
    </row>
    <row r="60" ht="14.25" customHeight="1">
      <c r="B60" s="26"/>
      <c r="C60" s="19"/>
      <c r="D60" s="19"/>
      <c r="E60" s="19"/>
      <c r="F60" s="19"/>
      <c r="G60" s="19"/>
      <c r="H60" s="19"/>
    </row>
    <row r="61" ht="14.25" customHeight="1">
      <c r="B61" s="26"/>
      <c r="C61" s="19"/>
      <c r="D61" s="19"/>
      <c r="E61" s="19"/>
      <c r="F61" s="19"/>
      <c r="G61" s="19"/>
      <c r="H61" s="19"/>
    </row>
    <row r="62" ht="14.25" customHeight="1">
      <c r="B62" s="26"/>
      <c r="C62" s="19"/>
      <c r="D62" s="19"/>
      <c r="E62" s="19"/>
      <c r="F62" s="19"/>
      <c r="G62" s="19"/>
      <c r="H62" s="19"/>
    </row>
    <row r="63" ht="14.25" customHeight="1">
      <c r="B63" s="26"/>
      <c r="C63" s="19"/>
      <c r="D63" s="19"/>
      <c r="E63" s="19"/>
      <c r="F63" s="19"/>
      <c r="G63" s="19"/>
      <c r="H63" s="26"/>
    </row>
    <row r="64" ht="14.25" customHeight="1">
      <c r="B64" s="26"/>
      <c r="C64" s="19"/>
      <c r="D64" s="19"/>
      <c r="E64" s="19"/>
      <c r="F64" s="19"/>
      <c r="G64" s="19"/>
      <c r="H64" s="19"/>
    </row>
    <row r="65" ht="14.25" customHeight="1">
      <c r="B65" s="26"/>
      <c r="C65" s="19"/>
      <c r="D65" s="19"/>
      <c r="E65" s="19"/>
      <c r="F65" s="19"/>
      <c r="G65" s="19"/>
      <c r="H65" s="19"/>
    </row>
    <row r="66" ht="14.25" customHeight="1">
      <c r="B66" s="26"/>
      <c r="C66" s="19"/>
      <c r="D66" s="19"/>
      <c r="E66" s="19"/>
      <c r="F66" s="19"/>
      <c r="G66" s="19"/>
      <c r="H66" s="19"/>
    </row>
    <row r="67" ht="14.25" customHeight="1">
      <c r="B67" s="26"/>
      <c r="C67" s="19"/>
      <c r="D67" s="19"/>
      <c r="E67" s="19"/>
      <c r="F67" s="19"/>
      <c r="G67" s="19"/>
      <c r="H67" s="19"/>
    </row>
    <row r="68" ht="14.25" customHeight="1">
      <c r="B68" s="26"/>
      <c r="C68" s="19"/>
      <c r="D68" s="19"/>
      <c r="E68" s="19"/>
      <c r="F68" s="19"/>
      <c r="G68" s="19"/>
      <c r="H68" s="19"/>
    </row>
    <row r="69" ht="14.25" customHeight="1">
      <c r="B69" s="26"/>
      <c r="C69" s="19"/>
      <c r="D69" s="19"/>
      <c r="E69" s="19"/>
      <c r="F69" s="19"/>
      <c r="G69" s="19"/>
      <c r="H69" s="19"/>
    </row>
    <row r="70" ht="14.25" customHeight="1">
      <c r="B70" s="26"/>
      <c r="C70" s="19"/>
      <c r="D70" s="19"/>
      <c r="E70" s="19"/>
      <c r="F70" s="19"/>
      <c r="G70" s="19"/>
      <c r="H70" s="19"/>
    </row>
    <row r="71" ht="14.25" customHeight="1">
      <c r="B71" s="26"/>
      <c r="C71" s="19"/>
      <c r="D71" s="19"/>
      <c r="E71" s="19"/>
      <c r="F71" s="19"/>
      <c r="G71" s="19"/>
      <c r="H71" s="19"/>
    </row>
    <row r="72" ht="14.25" customHeight="1">
      <c r="B72" s="26"/>
      <c r="C72" s="19"/>
      <c r="D72" s="19"/>
      <c r="E72" s="19"/>
      <c r="F72" s="19"/>
      <c r="G72" s="19"/>
      <c r="H72" s="19"/>
    </row>
    <row r="73" ht="14.25" customHeight="1">
      <c r="B73" s="180"/>
      <c r="C73" s="181"/>
      <c r="D73" s="181"/>
      <c r="E73" s="181"/>
      <c r="F73" s="181"/>
      <c r="G73" s="181"/>
      <c r="H73" s="181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1.57"/>
    <col customWidth="1" min="3" max="3" width="12.43"/>
    <col customWidth="1" min="4" max="4" width="12.71"/>
    <col customWidth="1" min="5" max="5" width="12.86"/>
    <col customWidth="1" min="6" max="6" width="15.0"/>
    <col customWidth="1" min="7" max="7" width="14.43"/>
    <col customWidth="1" min="8" max="8" width="15.43"/>
    <col customWidth="1" min="9" max="9" width="9.43"/>
    <col customWidth="1" min="10" max="10" width="10.71"/>
    <col customWidth="1" min="11" max="11" width="49.71"/>
    <col customWidth="1" min="12" max="23" width="8.71"/>
  </cols>
  <sheetData>
    <row r="1" ht="21.0" customHeight="1">
      <c r="B1" s="152" t="s">
        <v>0</v>
      </c>
      <c r="C1" s="4"/>
      <c r="D1" s="4"/>
      <c r="E1" s="4"/>
      <c r="F1" s="4"/>
      <c r="G1" s="4"/>
      <c r="H1" s="4"/>
      <c r="I1" s="4"/>
      <c r="J1" s="4"/>
      <c r="K1" s="5"/>
      <c r="L1" s="6"/>
      <c r="M1" s="6"/>
      <c r="N1" s="6"/>
      <c r="O1" s="6"/>
      <c r="P1" s="6"/>
    </row>
    <row r="2" ht="21.0" customHeight="1">
      <c r="B2" s="7"/>
      <c r="K2" s="8"/>
      <c r="L2" s="6"/>
      <c r="M2" s="6"/>
      <c r="N2" s="6"/>
      <c r="O2" s="6"/>
      <c r="P2" s="6"/>
      <c r="S2" s="9"/>
      <c r="T2" s="9"/>
      <c r="U2" s="9"/>
      <c r="V2" s="9"/>
      <c r="W2" s="9"/>
    </row>
    <row r="3" ht="15.0" customHeight="1">
      <c r="B3" s="7"/>
      <c r="K3" s="8"/>
      <c r="L3" s="6"/>
      <c r="M3" s="6"/>
      <c r="N3" s="6"/>
      <c r="O3" s="6"/>
      <c r="P3" s="6"/>
      <c r="S3" s="9"/>
      <c r="T3" s="9"/>
      <c r="U3" s="9"/>
      <c r="V3" s="9"/>
      <c r="W3" s="9"/>
    </row>
    <row r="4" ht="29.25" customHeight="1">
      <c r="B4" s="10"/>
      <c r="C4" s="11"/>
      <c r="D4" s="11"/>
      <c r="E4" s="11"/>
      <c r="F4" s="11"/>
      <c r="G4" s="11"/>
      <c r="H4" s="11"/>
      <c r="I4" s="11"/>
      <c r="J4" s="11"/>
      <c r="K4" s="12"/>
      <c r="L4" s="6"/>
      <c r="M4" s="6"/>
      <c r="N4" s="6"/>
      <c r="O4" s="6"/>
      <c r="P4" s="6"/>
      <c r="T4" s="9"/>
      <c r="U4" s="9"/>
      <c r="V4" s="9"/>
      <c r="W4" s="9"/>
    </row>
    <row r="5" ht="14.25" customHeight="1">
      <c r="B5" s="174" t="s">
        <v>1</v>
      </c>
      <c r="C5" s="15" t="s">
        <v>2</v>
      </c>
      <c r="D5" s="15" t="s">
        <v>3</v>
      </c>
      <c r="E5" s="15" t="s">
        <v>5</v>
      </c>
      <c r="F5" s="15" t="s">
        <v>270</v>
      </c>
      <c r="G5" s="15" t="s">
        <v>271</v>
      </c>
      <c r="H5" s="15" t="s">
        <v>272</v>
      </c>
      <c r="I5" s="15" t="s">
        <v>155</v>
      </c>
      <c r="J5" s="15" t="s">
        <v>989</v>
      </c>
      <c r="K5" s="15" t="s">
        <v>10</v>
      </c>
      <c r="N5" s="16"/>
      <c r="O5" s="9"/>
      <c r="P5" s="9"/>
      <c r="Q5" s="9"/>
    </row>
    <row r="6" ht="14.25" customHeight="1">
      <c r="B6" s="175">
        <v>45133.0</v>
      </c>
      <c r="C6" s="175">
        <v>45138.0</v>
      </c>
      <c r="D6" s="18" t="s">
        <v>227</v>
      </c>
      <c r="E6" s="19" t="s">
        <v>259</v>
      </c>
      <c r="F6" s="19">
        <v>7248.8</v>
      </c>
      <c r="G6" s="19">
        <v>7296.1</v>
      </c>
      <c r="H6" s="19">
        <f t="shared" ref="H6:H59" si="1">G6-F6</f>
        <v>47.3</v>
      </c>
      <c r="I6" s="19"/>
      <c r="J6" s="19"/>
      <c r="K6" s="19" t="s">
        <v>990</v>
      </c>
      <c r="N6" s="16"/>
      <c r="O6" s="9"/>
      <c r="P6" s="9"/>
      <c r="Q6" s="9"/>
    </row>
    <row r="7" ht="14.25" customHeight="1">
      <c r="B7" s="175">
        <v>45139.0</v>
      </c>
      <c r="C7" s="179">
        <v>45139.0</v>
      </c>
      <c r="D7" s="18" t="s">
        <v>237</v>
      </c>
      <c r="E7" s="19" t="s">
        <v>429</v>
      </c>
      <c r="F7" s="19">
        <v>7296.1</v>
      </c>
      <c r="G7" s="19">
        <v>7301.1</v>
      </c>
      <c r="H7" s="19">
        <f t="shared" si="1"/>
        <v>5</v>
      </c>
      <c r="I7" s="19"/>
      <c r="J7" s="19"/>
      <c r="K7" s="19" t="s">
        <v>990</v>
      </c>
      <c r="N7" s="16"/>
      <c r="O7" s="9"/>
      <c r="P7" s="9"/>
      <c r="Q7" s="9"/>
    </row>
    <row r="8" ht="14.25" customHeight="1">
      <c r="B8" s="179"/>
      <c r="C8" s="179"/>
      <c r="E8" s="19"/>
      <c r="F8" s="19"/>
      <c r="G8" s="19"/>
      <c r="H8" s="19">
        <f t="shared" si="1"/>
        <v>0</v>
      </c>
    </row>
    <row r="9" ht="14.25" customHeight="1">
      <c r="B9" s="175"/>
      <c r="C9" s="18"/>
      <c r="D9" s="18"/>
      <c r="E9" s="19"/>
      <c r="F9" s="19"/>
      <c r="G9" s="19"/>
      <c r="H9" s="19">
        <f t="shared" si="1"/>
        <v>0</v>
      </c>
      <c r="I9" s="19"/>
      <c r="J9" s="19"/>
      <c r="K9" s="19"/>
    </row>
    <row r="10" ht="14.25" customHeight="1">
      <c r="B10" s="175"/>
      <c r="C10" s="18"/>
      <c r="D10" s="18"/>
      <c r="E10" s="19"/>
      <c r="F10" s="19"/>
      <c r="G10" s="19"/>
      <c r="H10" s="19">
        <f t="shared" si="1"/>
        <v>0</v>
      </c>
      <c r="I10" s="19"/>
      <c r="J10" s="177"/>
      <c r="K10" s="19"/>
    </row>
    <row r="11" ht="14.25" customHeight="1">
      <c r="B11" s="18"/>
      <c r="C11" s="18"/>
      <c r="D11" s="18"/>
      <c r="E11" s="19"/>
      <c r="F11" s="19"/>
      <c r="G11" s="19"/>
      <c r="H11" s="19">
        <f t="shared" si="1"/>
        <v>0</v>
      </c>
      <c r="I11" s="19"/>
      <c r="J11" s="177"/>
      <c r="K11" s="19"/>
    </row>
    <row r="12" ht="14.25" customHeight="1">
      <c r="B12" s="18"/>
      <c r="C12" s="18"/>
      <c r="D12" s="18"/>
      <c r="E12" s="19"/>
      <c r="F12" s="19"/>
      <c r="G12" s="19"/>
      <c r="H12" s="19">
        <f t="shared" si="1"/>
        <v>0</v>
      </c>
      <c r="I12" s="19"/>
      <c r="J12" s="177"/>
      <c r="K12" s="19"/>
    </row>
    <row r="13" ht="14.25" customHeight="1">
      <c r="B13" s="18"/>
      <c r="C13" s="18"/>
      <c r="D13" s="18"/>
      <c r="E13" s="19"/>
      <c r="F13" s="19"/>
      <c r="G13" s="19"/>
      <c r="H13" s="19">
        <f t="shared" si="1"/>
        <v>0</v>
      </c>
      <c r="I13" s="19"/>
      <c r="J13" s="177"/>
      <c r="K13" s="19"/>
    </row>
    <row r="14" ht="14.25" customHeight="1">
      <c r="B14" s="18"/>
      <c r="C14" s="18"/>
      <c r="D14" s="18"/>
      <c r="E14" s="19"/>
      <c r="F14" s="19"/>
      <c r="G14" s="19"/>
      <c r="H14" s="19">
        <f t="shared" si="1"/>
        <v>0</v>
      </c>
      <c r="I14" s="19"/>
      <c r="J14" s="177"/>
      <c r="K14" s="19"/>
    </row>
    <row r="15" ht="14.25" customHeight="1">
      <c r="B15" s="175"/>
      <c r="C15" s="18"/>
      <c r="D15" s="18"/>
      <c r="E15" s="19"/>
      <c r="F15" s="19"/>
      <c r="G15" s="19"/>
      <c r="H15" s="19">
        <f t="shared" si="1"/>
        <v>0</v>
      </c>
      <c r="I15" s="19"/>
      <c r="J15" s="177"/>
      <c r="K15" s="19"/>
    </row>
    <row r="16" ht="14.25" customHeight="1">
      <c r="B16" s="175"/>
      <c r="C16" s="18"/>
      <c r="D16" s="19"/>
      <c r="E16" s="19"/>
      <c r="F16" s="19"/>
      <c r="G16" s="19"/>
      <c r="H16" s="19">
        <f t="shared" si="1"/>
        <v>0</v>
      </c>
      <c r="I16" s="19"/>
      <c r="J16" s="177"/>
      <c r="K16" s="19"/>
    </row>
    <row r="17" ht="14.25" customHeight="1">
      <c r="B17" s="175"/>
      <c r="C17" s="18"/>
      <c r="D17" s="19"/>
      <c r="E17" s="19"/>
      <c r="F17" s="19"/>
      <c r="G17" s="19"/>
      <c r="H17" s="19">
        <f t="shared" si="1"/>
        <v>0</v>
      </c>
      <c r="I17" s="19"/>
      <c r="J17" s="177"/>
      <c r="K17" s="19"/>
    </row>
    <row r="18" ht="14.25" customHeight="1">
      <c r="B18" s="175"/>
      <c r="C18" s="18"/>
      <c r="D18" s="19"/>
      <c r="E18" s="19"/>
      <c r="F18" s="19"/>
      <c r="G18" s="19"/>
      <c r="H18" s="19">
        <f t="shared" si="1"/>
        <v>0</v>
      </c>
      <c r="I18" s="19"/>
      <c r="J18" s="177"/>
      <c r="K18" s="19"/>
    </row>
    <row r="19" ht="14.25" customHeight="1">
      <c r="B19" s="175"/>
      <c r="C19" s="18"/>
      <c r="D19" s="19"/>
      <c r="E19" s="19"/>
      <c r="F19" s="19"/>
      <c r="G19" s="19"/>
      <c r="H19" s="19">
        <f t="shared" si="1"/>
        <v>0</v>
      </c>
      <c r="I19" s="19"/>
      <c r="J19" s="177"/>
      <c r="K19" s="19"/>
    </row>
    <row r="20" ht="14.25" customHeight="1">
      <c r="B20" s="175"/>
      <c r="C20" s="18"/>
      <c r="D20" s="19"/>
      <c r="E20" s="19"/>
      <c r="F20" s="19"/>
      <c r="G20" s="19"/>
      <c r="H20" s="19">
        <f t="shared" si="1"/>
        <v>0</v>
      </c>
      <c r="I20" s="19"/>
      <c r="J20" s="177"/>
      <c r="K20" s="19"/>
    </row>
    <row r="21" ht="14.25" customHeight="1">
      <c r="B21" s="175"/>
      <c r="C21" s="18"/>
      <c r="D21" s="18"/>
      <c r="E21" s="19"/>
      <c r="F21" s="19"/>
      <c r="G21" s="19"/>
      <c r="H21" s="19">
        <f t="shared" si="1"/>
        <v>0</v>
      </c>
      <c r="I21" s="19"/>
      <c r="J21" s="177"/>
      <c r="K21" s="19"/>
    </row>
    <row r="22" ht="14.25" customHeight="1">
      <c r="B22" s="175"/>
      <c r="C22" s="18"/>
      <c r="D22" s="19"/>
      <c r="E22" s="19"/>
      <c r="F22" s="19"/>
      <c r="G22" s="19"/>
      <c r="H22" s="19">
        <f t="shared" si="1"/>
        <v>0</v>
      </c>
      <c r="I22" s="19"/>
      <c r="J22" s="177"/>
      <c r="K22" s="19"/>
    </row>
    <row r="23" ht="14.25" customHeight="1">
      <c r="B23" s="175"/>
      <c r="C23" s="18"/>
      <c r="D23" s="19"/>
      <c r="E23" s="19"/>
      <c r="F23" s="19"/>
      <c r="G23" s="19"/>
      <c r="H23" s="19">
        <f t="shared" si="1"/>
        <v>0</v>
      </c>
      <c r="I23" s="19"/>
      <c r="J23" s="177"/>
      <c r="K23" s="19"/>
    </row>
    <row r="24" ht="14.25" customHeight="1">
      <c r="B24" s="175"/>
      <c r="C24" s="18"/>
      <c r="D24" s="19"/>
      <c r="E24" s="19"/>
      <c r="F24" s="19"/>
      <c r="G24" s="19"/>
      <c r="H24" s="19">
        <f t="shared" si="1"/>
        <v>0</v>
      </c>
      <c r="I24" s="19"/>
      <c r="J24" s="177"/>
      <c r="K24" s="19"/>
    </row>
    <row r="25" ht="14.25" customHeight="1">
      <c r="B25" s="175"/>
      <c r="C25" s="19"/>
      <c r="D25" s="19"/>
      <c r="E25" s="19"/>
      <c r="F25" s="19"/>
      <c r="G25" s="19"/>
      <c r="H25" s="19">
        <f t="shared" si="1"/>
        <v>0</v>
      </c>
      <c r="I25" s="19"/>
      <c r="J25" s="177"/>
      <c r="K25" s="19"/>
    </row>
    <row r="26" ht="14.25" customHeight="1">
      <c r="B26" s="26"/>
      <c r="C26" s="19"/>
      <c r="D26" s="19"/>
      <c r="E26" s="19"/>
      <c r="F26" s="19"/>
      <c r="G26" s="19"/>
      <c r="H26" s="19">
        <f t="shared" si="1"/>
        <v>0</v>
      </c>
      <c r="I26" s="19"/>
      <c r="J26" s="177"/>
      <c r="K26" s="19"/>
    </row>
    <row r="27" ht="14.25" customHeight="1">
      <c r="B27" s="26"/>
      <c r="C27" s="19"/>
      <c r="D27" s="19"/>
      <c r="E27" s="19"/>
      <c r="F27" s="19"/>
      <c r="G27" s="19"/>
      <c r="H27" s="19">
        <f t="shared" si="1"/>
        <v>0</v>
      </c>
      <c r="I27" s="19"/>
      <c r="J27" s="177"/>
      <c r="K27" s="19"/>
    </row>
    <row r="28" ht="14.25" customHeight="1">
      <c r="B28" s="26"/>
      <c r="C28" s="19"/>
      <c r="D28" s="19"/>
      <c r="E28" s="19"/>
      <c r="F28" s="19"/>
      <c r="G28" s="19"/>
      <c r="H28" s="19">
        <f t="shared" si="1"/>
        <v>0</v>
      </c>
      <c r="I28" s="19"/>
      <c r="J28" s="177"/>
      <c r="K28" s="19"/>
    </row>
    <row r="29" ht="14.25" customHeight="1">
      <c r="B29" s="26"/>
      <c r="C29" s="19"/>
      <c r="D29" s="19"/>
      <c r="E29" s="19"/>
      <c r="F29" s="19"/>
      <c r="G29" s="19"/>
      <c r="H29" s="19">
        <f t="shared" si="1"/>
        <v>0</v>
      </c>
      <c r="I29" s="19"/>
      <c r="J29" s="177"/>
      <c r="K29" s="19"/>
    </row>
    <row r="30" ht="14.25" customHeight="1">
      <c r="B30" s="26"/>
      <c r="C30" s="19"/>
      <c r="D30" s="19"/>
      <c r="E30" s="19"/>
      <c r="F30" s="19"/>
      <c r="G30" s="19"/>
      <c r="H30" s="19">
        <f t="shared" si="1"/>
        <v>0</v>
      </c>
      <c r="I30" s="19"/>
      <c r="J30" s="177"/>
      <c r="K30" s="26"/>
    </row>
    <row r="31" ht="14.25" customHeight="1">
      <c r="B31" s="26"/>
      <c r="C31" s="19"/>
      <c r="D31" s="19"/>
      <c r="E31" s="19"/>
      <c r="F31" s="19"/>
      <c r="G31" s="19"/>
      <c r="H31" s="19">
        <f t="shared" si="1"/>
        <v>0</v>
      </c>
      <c r="I31" s="19"/>
      <c r="J31" s="177"/>
      <c r="K31" s="19"/>
    </row>
    <row r="32" ht="14.25" customHeight="1">
      <c r="B32" s="26"/>
      <c r="C32" s="19"/>
      <c r="D32" s="19"/>
      <c r="E32" s="19"/>
      <c r="F32" s="19"/>
      <c r="G32" s="19"/>
      <c r="H32" s="19">
        <f t="shared" si="1"/>
        <v>0</v>
      </c>
      <c r="I32" s="19"/>
      <c r="J32" s="177"/>
      <c r="K32" s="19"/>
    </row>
    <row r="33" ht="14.25" customHeight="1">
      <c r="B33" s="26"/>
      <c r="C33" s="19"/>
      <c r="D33" s="19"/>
      <c r="E33" s="19"/>
      <c r="F33" s="19"/>
      <c r="G33" s="19"/>
      <c r="H33" s="19">
        <f t="shared" si="1"/>
        <v>0</v>
      </c>
      <c r="I33" s="19"/>
      <c r="J33" s="177"/>
      <c r="K33" s="19"/>
    </row>
    <row r="34" ht="14.25" customHeight="1">
      <c r="B34" s="26"/>
      <c r="C34" s="19"/>
      <c r="D34" s="19"/>
      <c r="E34" s="19"/>
      <c r="F34" s="19"/>
      <c r="G34" s="19"/>
      <c r="H34" s="19">
        <f t="shared" si="1"/>
        <v>0</v>
      </c>
      <c r="I34" s="19"/>
      <c r="J34" s="177"/>
      <c r="K34" s="19"/>
    </row>
    <row r="35" ht="14.25" customHeight="1">
      <c r="B35" s="26"/>
      <c r="C35" s="19"/>
      <c r="D35" s="19"/>
      <c r="E35" s="19"/>
      <c r="F35" s="19"/>
      <c r="G35" s="19"/>
      <c r="H35" s="19">
        <f t="shared" si="1"/>
        <v>0</v>
      </c>
      <c r="I35" s="19"/>
      <c r="J35" s="177"/>
      <c r="K35" s="19"/>
    </row>
    <row r="36" ht="14.25" customHeight="1">
      <c r="B36" s="26"/>
      <c r="C36" s="19"/>
      <c r="D36" s="19"/>
      <c r="E36" s="19"/>
      <c r="F36" s="19"/>
      <c r="G36" s="19"/>
      <c r="H36" s="19">
        <f t="shared" si="1"/>
        <v>0</v>
      </c>
      <c r="I36" s="19"/>
      <c r="J36" s="177"/>
      <c r="K36" s="19"/>
    </row>
    <row r="37" ht="14.25" customHeight="1">
      <c r="B37" s="26"/>
      <c r="C37" s="19"/>
      <c r="D37" s="19"/>
      <c r="E37" s="19"/>
      <c r="F37" s="19"/>
      <c r="G37" s="19"/>
      <c r="H37" s="19">
        <f t="shared" si="1"/>
        <v>0</v>
      </c>
      <c r="I37" s="19"/>
      <c r="J37" s="177"/>
      <c r="K37" s="19"/>
    </row>
    <row r="38" ht="14.25" customHeight="1">
      <c r="B38" s="26"/>
      <c r="C38" s="19"/>
      <c r="D38" s="19"/>
      <c r="E38" s="19"/>
      <c r="F38" s="19"/>
      <c r="G38" s="19"/>
      <c r="H38" s="19">
        <f t="shared" si="1"/>
        <v>0</v>
      </c>
      <c r="I38" s="19"/>
      <c r="J38" s="177"/>
      <c r="K38" s="19"/>
    </row>
    <row r="39" ht="14.25" customHeight="1">
      <c r="B39" s="26"/>
      <c r="C39" s="19"/>
      <c r="D39" s="19"/>
      <c r="E39" s="19"/>
      <c r="F39" s="19"/>
      <c r="G39" s="19"/>
      <c r="H39" s="19">
        <f t="shared" si="1"/>
        <v>0</v>
      </c>
      <c r="I39" s="19"/>
      <c r="J39" s="177"/>
      <c r="K39" s="19"/>
    </row>
    <row r="40" ht="14.25" customHeight="1">
      <c r="B40" s="26"/>
      <c r="C40" s="19"/>
      <c r="D40" s="19"/>
      <c r="E40" s="19"/>
      <c r="F40" s="19"/>
      <c r="G40" s="19"/>
      <c r="H40" s="19">
        <f t="shared" si="1"/>
        <v>0</v>
      </c>
      <c r="I40" s="19"/>
      <c r="J40" s="177"/>
      <c r="K40" s="19"/>
    </row>
    <row r="41" ht="14.25" customHeight="1">
      <c r="B41" s="26"/>
      <c r="C41" s="19"/>
      <c r="D41" s="19"/>
      <c r="E41" s="19"/>
      <c r="F41" s="19"/>
      <c r="G41" s="19"/>
      <c r="H41" s="19">
        <f t="shared" si="1"/>
        <v>0</v>
      </c>
      <c r="I41" s="19"/>
      <c r="J41" s="177"/>
      <c r="K41" s="19"/>
    </row>
    <row r="42" ht="14.25" customHeight="1">
      <c r="B42" s="26"/>
      <c r="C42" s="19"/>
      <c r="D42" s="19"/>
      <c r="E42" s="19"/>
      <c r="F42" s="19"/>
      <c r="G42" s="19"/>
      <c r="H42" s="19">
        <f t="shared" si="1"/>
        <v>0</v>
      </c>
      <c r="I42" s="19"/>
      <c r="J42" s="177"/>
      <c r="K42" s="26"/>
    </row>
    <row r="43" ht="14.25" customHeight="1">
      <c r="B43" s="26"/>
      <c r="C43" s="19"/>
      <c r="D43" s="19"/>
      <c r="E43" s="19"/>
      <c r="F43" s="19"/>
      <c r="G43" s="19"/>
      <c r="H43" s="19">
        <f t="shared" si="1"/>
        <v>0</v>
      </c>
      <c r="I43" s="19"/>
      <c r="J43" s="177"/>
      <c r="K43" s="19"/>
    </row>
    <row r="44" ht="14.25" customHeight="1">
      <c r="B44" s="26"/>
      <c r="C44" s="19"/>
      <c r="D44" s="19"/>
      <c r="E44" s="19"/>
      <c r="F44" s="19"/>
      <c r="G44" s="19"/>
      <c r="H44" s="19">
        <f t="shared" si="1"/>
        <v>0</v>
      </c>
      <c r="I44" s="19"/>
      <c r="J44" s="177"/>
      <c r="K44" s="19"/>
    </row>
    <row r="45" ht="14.25" customHeight="1">
      <c r="B45" s="26"/>
      <c r="C45" s="19"/>
      <c r="D45" s="19"/>
      <c r="E45" s="19"/>
      <c r="F45" s="19"/>
      <c r="G45" s="19"/>
      <c r="H45" s="19">
        <f t="shared" si="1"/>
        <v>0</v>
      </c>
      <c r="I45" s="19"/>
      <c r="J45" s="177"/>
      <c r="K45" s="19"/>
    </row>
    <row r="46" ht="14.25" customHeight="1">
      <c r="B46" s="26"/>
      <c r="C46" s="19"/>
      <c r="D46" s="19"/>
      <c r="E46" s="19"/>
      <c r="F46" s="19"/>
      <c r="G46" s="19"/>
      <c r="H46" s="19">
        <f t="shared" si="1"/>
        <v>0</v>
      </c>
      <c r="I46" s="19"/>
      <c r="J46" s="177"/>
      <c r="K46" s="19"/>
    </row>
    <row r="47" ht="14.25" customHeight="1">
      <c r="B47" s="26"/>
      <c r="C47" s="19"/>
      <c r="D47" s="19"/>
      <c r="E47" s="19"/>
      <c r="F47" s="19"/>
      <c r="G47" s="19"/>
      <c r="H47" s="19">
        <f t="shared" si="1"/>
        <v>0</v>
      </c>
      <c r="I47" s="19"/>
      <c r="J47" s="177"/>
      <c r="K47" s="19"/>
    </row>
    <row r="48" ht="14.25" customHeight="1">
      <c r="B48" s="26"/>
      <c r="C48" s="19"/>
      <c r="D48" s="19"/>
      <c r="E48" s="19"/>
      <c r="F48" s="19"/>
      <c r="G48" s="19"/>
      <c r="H48" s="19">
        <f t="shared" si="1"/>
        <v>0</v>
      </c>
      <c r="I48" s="19"/>
      <c r="J48" s="177"/>
      <c r="K48" s="19"/>
    </row>
    <row r="49" ht="14.25" customHeight="1">
      <c r="B49" s="26"/>
      <c r="C49" s="19"/>
      <c r="D49" s="19"/>
      <c r="E49" s="19"/>
      <c r="F49" s="19"/>
      <c r="G49" s="19"/>
      <c r="H49" s="19">
        <f t="shared" si="1"/>
        <v>0</v>
      </c>
      <c r="I49" s="19"/>
      <c r="J49" s="177"/>
      <c r="K49" s="19"/>
    </row>
    <row r="50" ht="14.25" customHeight="1">
      <c r="B50" s="26"/>
      <c r="C50" s="19"/>
      <c r="D50" s="19"/>
      <c r="E50" s="19"/>
      <c r="F50" s="19"/>
      <c r="G50" s="19"/>
      <c r="H50" s="19">
        <f t="shared" si="1"/>
        <v>0</v>
      </c>
      <c r="I50" s="19"/>
      <c r="J50" s="177"/>
      <c r="K50" s="19"/>
    </row>
    <row r="51" ht="14.25" customHeight="1">
      <c r="B51" s="26"/>
      <c r="C51" s="19"/>
      <c r="D51" s="19"/>
      <c r="E51" s="19"/>
      <c r="F51" s="19"/>
      <c r="G51" s="19"/>
      <c r="H51" s="19">
        <f t="shared" si="1"/>
        <v>0</v>
      </c>
      <c r="I51" s="19"/>
      <c r="J51" s="177"/>
      <c r="K51" s="19"/>
    </row>
    <row r="52" ht="14.25" customHeight="1">
      <c r="B52" s="26"/>
      <c r="C52" s="19"/>
      <c r="D52" s="19"/>
      <c r="E52" s="19"/>
      <c r="F52" s="19"/>
      <c r="G52" s="19"/>
      <c r="H52" s="19">
        <f t="shared" si="1"/>
        <v>0</v>
      </c>
      <c r="I52" s="19"/>
      <c r="J52" s="177"/>
      <c r="K52" s="19"/>
    </row>
    <row r="53" ht="14.25" customHeight="1">
      <c r="B53" s="26"/>
      <c r="C53" s="19"/>
      <c r="D53" s="19"/>
      <c r="E53" s="19"/>
      <c r="F53" s="19"/>
      <c r="G53" s="19"/>
      <c r="H53" s="19">
        <f t="shared" si="1"/>
        <v>0</v>
      </c>
      <c r="I53" s="19"/>
      <c r="J53" s="177"/>
      <c r="K53" s="19"/>
    </row>
    <row r="54" ht="14.25" customHeight="1">
      <c r="B54" s="26"/>
      <c r="C54" s="19"/>
      <c r="D54" s="19"/>
      <c r="E54" s="19"/>
      <c r="F54" s="19"/>
      <c r="G54" s="19"/>
      <c r="H54" s="19">
        <f t="shared" si="1"/>
        <v>0</v>
      </c>
      <c r="I54" s="19"/>
      <c r="J54" s="177"/>
      <c r="K54" s="26"/>
    </row>
    <row r="55" ht="14.25" customHeight="1">
      <c r="B55" s="26"/>
      <c r="C55" s="19"/>
      <c r="D55" s="19"/>
      <c r="E55" s="19"/>
      <c r="F55" s="19"/>
      <c r="G55" s="19"/>
      <c r="H55" s="19">
        <f t="shared" si="1"/>
        <v>0</v>
      </c>
      <c r="I55" s="19"/>
      <c r="J55" s="177"/>
      <c r="K55" s="19"/>
    </row>
    <row r="56" ht="14.25" customHeight="1">
      <c r="B56" s="26"/>
      <c r="C56" s="19"/>
      <c r="D56" s="19"/>
      <c r="E56" s="19"/>
      <c r="F56" s="19"/>
      <c r="G56" s="19"/>
      <c r="H56" s="19">
        <f t="shared" si="1"/>
        <v>0</v>
      </c>
      <c r="I56" s="19"/>
      <c r="J56" s="177"/>
      <c r="K56" s="19"/>
    </row>
    <row r="57" ht="14.25" customHeight="1">
      <c r="B57" s="26"/>
      <c r="C57" s="19"/>
      <c r="D57" s="19"/>
      <c r="E57" s="19"/>
      <c r="F57" s="19"/>
      <c r="G57" s="19"/>
      <c r="H57" s="19">
        <f t="shared" si="1"/>
        <v>0</v>
      </c>
      <c r="I57" s="19"/>
      <c r="J57" s="177"/>
      <c r="K57" s="19"/>
    </row>
    <row r="58" ht="14.25" customHeight="1">
      <c r="B58" s="26"/>
      <c r="C58" s="19"/>
      <c r="D58" s="19"/>
      <c r="E58" s="19"/>
      <c r="F58" s="19"/>
      <c r="G58" s="19"/>
      <c r="H58" s="19">
        <f t="shared" si="1"/>
        <v>0</v>
      </c>
      <c r="I58" s="19"/>
      <c r="J58" s="177"/>
      <c r="K58" s="19"/>
    </row>
    <row r="59" ht="14.25" customHeight="1">
      <c r="B59" s="26"/>
      <c r="C59" s="19"/>
      <c r="D59" s="19"/>
      <c r="E59" s="19"/>
      <c r="F59" s="19"/>
      <c r="G59" s="19"/>
      <c r="H59" s="19">
        <f t="shared" si="1"/>
        <v>0</v>
      </c>
      <c r="I59" s="19"/>
      <c r="J59" s="177"/>
      <c r="K59" s="19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4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2023-02-10T18:07:53Z</dcterms:created>
  <dc:creator>Cliente</dc:creator>
</cp:coreProperties>
</file>